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BA0B7C1-FC1F-45A4-8103-38C83E7CA91A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45" i="4" l="1"/>
  <c r="H946" i="4"/>
  <c r="H947" i="4"/>
  <c r="H948" i="4"/>
  <c r="A945" i="4"/>
  <c r="A946" i="4"/>
  <c r="A947" i="4"/>
  <c r="A948" i="4"/>
  <c r="A639" i="7"/>
  <c r="A640" i="7"/>
  <c r="A641" i="7"/>
  <c r="A642" i="7"/>
  <c r="A643" i="7"/>
  <c r="H679" i="4" l="1"/>
  <c r="A18" i="8" l="1"/>
  <c r="A17" i="8"/>
  <c r="A16" i="8"/>
  <c r="A631" i="7" l="1"/>
  <c r="A632" i="7"/>
  <c r="A633" i="7"/>
  <c r="A634" i="7"/>
  <c r="A635" i="7"/>
  <c r="A636" i="7"/>
  <c r="A637" i="7"/>
  <c r="A638" i="7"/>
  <c r="H937" i="4"/>
  <c r="H938" i="4"/>
  <c r="H939" i="4"/>
  <c r="H940" i="4"/>
  <c r="H942" i="4"/>
  <c r="H941" i="4"/>
  <c r="H943" i="4"/>
  <c r="H944" i="4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H900" i="4"/>
  <c r="H901" i="4"/>
  <c r="H930" i="4"/>
  <c r="H931" i="4"/>
  <c r="H932" i="4"/>
  <c r="H933" i="4"/>
  <c r="H934" i="4"/>
  <c r="H935" i="4"/>
  <c r="H936" i="4"/>
  <c r="A930" i="4"/>
  <c r="A931" i="4"/>
  <c r="A932" i="4"/>
  <c r="A933" i="4"/>
  <c r="A934" i="4"/>
  <c r="A935" i="4"/>
  <c r="A936" i="4"/>
  <c r="A624" i="7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<sst xmlns="http://schemas.openxmlformats.org/spreadsheetml/2006/main" count="29359" uniqueCount="11835">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</sst>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48" totalsRowShown="0" headerRowDxfId="91" dataDxfId="90">
  <autoFilter ref="A1:R948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18" totalsRowShown="0" headerRowDxfId="46" dataDxfId="45">
  <autoFilter ref="A2:J18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43" totalsRowShown="0" headerRowDxfId="34" dataDxfId="33">
  <autoFilter ref="A2:H64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16"/>
  <sheetViews>
    <sheetView tabSelected="1" topLeftCell="A933" zoomScaleNormal="100" workbookViewId="0">
      <selection activeCell="E949" sqref="E94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11694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 t="s">
        <v>11833</v>
      </c>
      <c r="N108" s="22">
        <v>46213</v>
      </c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11401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11402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11403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11400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>IF(LEFT(I679,4)="JK13","PULWAMA",IF(LEFT(I679,4)="JK01","SRINAGAR",IF(LEFT(I679,4)="JK04","BUDGAM",IF(LEFT(I679,4)="JK03","ANANTNAG",IF(LEFT(I679,4)="LA01","KARGIL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)</f>
        <v>BHARAT</v>
      </c>
      <c r="I679" s="21" t="s">
        <v>11804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 t="s">
        <v>10190</v>
      </c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11693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11422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10853</v>
      </c>
      <c r="R776" s="21" t="s">
        <v>11661</v>
      </c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11515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 t="s">
        <v>11695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11704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 t="s">
        <v>519</v>
      </c>
      <c r="N829" s="22">
        <v>46209</v>
      </c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11426</v>
      </c>
    </row>
    <row r="834" spans="1:18" x14ac:dyDescent="0.25">
      <c r="A834" s="21">
        <f t="shared" ref="A834:A911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11582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11126</v>
      </c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11469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11420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11219</v>
      </c>
      <c r="C851" s="21" t="s">
        <v>11216</v>
      </c>
      <c r="D851" s="21" t="s">
        <v>11217</v>
      </c>
      <c r="E851" s="21" t="s">
        <v>11218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11235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11221</v>
      </c>
      <c r="C852" s="21" t="s">
        <v>11222</v>
      </c>
      <c r="D852" s="21" t="s">
        <v>11223</v>
      </c>
      <c r="E852" s="21" t="s">
        <v>11224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11236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11229</v>
      </c>
      <c r="C853" s="21" t="s">
        <v>11225</v>
      </c>
      <c r="D853" s="21" t="s">
        <v>11226</v>
      </c>
      <c r="E853" s="21" t="s">
        <v>11227</v>
      </c>
      <c r="F853" s="21" t="s">
        <v>11228</v>
      </c>
      <c r="G853" s="21" t="s">
        <v>196</v>
      </c>
      <c r="H853" s="21" t="str">
        <f t="shared" si="27"/>
        <v>SRINAGAR</v>
      </c>
      <c r="I853" s="21" t="s">
        <v>11234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11230</v>
      </c>
      <c r="C854" s="21" t="s">
        <v>11231</v>
      </c>
      <c r="D854" s="21" t="s">
        <v>11232</v>
      </c>
      <c r="E854" s="21" t="s">
        <v>11233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11237</v>
      </c>
      <c r="J854" s="22">
        <v>46185</v>
      </c>
      <c r="K854" s="21">
        <v>7006783199</v>
      </c>
      <c r="L854" s="21" t="s">
        <v>10242</v>
      </c>
      <c r="M854" s="23" t="s">
        <v>11168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11238</v>
      </c>
      <c r="C855" s="21" t="s">
        <v>11239</v>
      </c>
      <c r="D855" s="21" t="s">
        <v>11240</v>
      </c>
      <c r="E855" s="21" t="s">
        <v>11241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11246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11242</v>
      </c>
      <c r="C856" s="21" t="s">
        <v>11243</v>
      </c>
      <c r="D856" s="21" t="s">
        <v>11244</v>
      </c>
      <c r="E856" s="21" t="s">
        <v>11245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11247</v>
      </c>
      <c r="J856" s="22">
        <v>46185</v>
      </c>
      <c r="K856" s="21">
        <v>9906265335</v>
      </c>
      <c r="L856" s="21" t="s">
        <v>6534</v>
      </c>
      <c r="M856" s="23" t="s">
        <v>11331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11263</v>
      </c>
      <c r="C857" s="21" t="s">
        <v>11264</v>
      </c>
      <c r="D857" s="21" t="s">
        <v>11265</v>
      </c>
      <c r="E857" s="21" t="s">
        <v>11266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11272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11259</v>
      </c>
      <c r="C858" s="21" t="s">
        <v>11260</v>
      </c>
      <c r="D858" s="21" t="s">
        <v>11261</v>
      </c>
      <c r="E858" s="21" t="s">
        <v>11262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11273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11258</v>
      </c>
      <c r="C859" s="21" t="s">
        <v>11256</v>
      </c>
      <c r="D859" s="21" t="s">
        <v>11257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11271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11267</v>
      </c>
      <c r="C860" s="21" t="s">
        <v>11268</v>
      </c>
      <c r="D860" s="21" t="s">
        <v>11269</v>
      </c>
      <c r="E860" s="21" t="s">
        <v>11270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11279</v>
      </c>
      <c r="J860" s="22">
        <v>46186</v>
      </c>
      <c r="K860" s="21">
        <v>7889741742</v>
      </c>
      <c r="L860" s="21" t="s">
        <v>6446</v>
      </c>
      <c r="M860" s="23" t="s">
        <v>11693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11274</v>
      </c>
      <c r="C861" s="21" t="s">
        <v>11275</v>
      </c>
      <c r="D861" s="21" t="s">
        <v>11276</v>
      </c>
      <c r="E861" s="21" t="s">
        <v>11277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11278</v>
      </c>
      <c r="J861" s="22">
        <v>46186</v>
      </c>
      <c r="K861" s="21">
        <v>7006047465</v>
      </c>
      <c r="L861" s="21" t="s">
        <v>8857</v>
      </c>
      <c r="M861" s="23" t="s">
        <v>11285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11289</v>
      </c>
      <c r="C862" s="21" t="s">
        <v>11286</v>
      </c>
      <c r="D862" s="21" t="s">
        <v>11287</v>
      </c>
      <c r="E862" s="21" t="s">
        <v>11288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11294</v>
      </c>
      <c r="J862" s="22">
        <v>46188</v>
      </c>
      <c r="K862" s="21">
        <v>7006208490</v>
      </c>
      <c r="L862" s="21" t="s">
        <v>11309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11293</v>
      </c>
      <c r="C863" s="21" t="s">
        <v>11290</v>
      </c>
      <c r="D863" s="21" t="s">
        <v>11291</v>
      </c>
      <c r="E863" s="21" t="s">
        <v>11292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11295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11311</v>
      </c>
      <c r="C864" s="21" t="s">
        <v>11312</v>
      </c>
      <c r="D864" s="21" t="s">
        <v>11313</v>
      </c>
      <c r="E864" s="21" t="s">
        <v>11314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11316</v>
      </c>
      <c r="J864" s="22">
        <v>46189</v>
      </c>
      <c r="K864" s="21">
        <v>7051890552</v>
      </c>
      <c r="L864" s="21" t="s">
        <v>11315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11308</v>
      </c>
      <c r="C865" s="21" t="s">
        <v>11305</v>
      </c>
      <c r="D865" s="21" t="s">
        <v>11306</v>
      </c>
      <c r="E865" s="21" t="s">
        <v>11307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11310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11299</v>
      </c>
      <c r="C866" s="21" t="s">
        <v>11296</v>
      </c>
      <c r="D866" s="21" t="s">
        <v>11297</v>
      </c>
      <c r="E866" s="21" t="s">
        <v>11298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11333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11334</v>
      </c>
      <c r="C867" s="21" t="s">
        <v>11335</v>
      </c>
      <c r="D867" s="21" t="s">
        <v>11336</v>
      </c>
      <c r="E867" s="21" t="s">
        <v>11337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11338</v>
      </c>
      <c r="J867" s="22">
        <v>46191</v>
      </c>
      <c r="K867" s="21">
        <v>9718916222</v>
      </c>
      <c r="L867" s="21" t="s">
        <v>11309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11454</v>
      </c>
    </row>
    <row r="868" spans="1:18" x14ac:dyDescent="0.25">
      <c r="A868" s="21">
        <f t="shared" si="26"/>
        <v>867</v>
      </c>
      <c r="B868" s="21" t="s">
        <v>11340</v>
      </c>
      <c r="C868" s="21" t="s">
        <v>11341</v>
      </c>
      <c r="D868" s="21" t="s">
        <v>11342</v>
      </c>
      <c r="E868" s="21" t="s">
        <v>11343</v>
      </c>
      <c r="F868" s="21" t="s">
        <v>11344</v>
      </c>
      <c r="G868" s="21" t="s">
        <v>197</v>
      </c>
      <c r="H868" s="21" t="str">
        <f t="shared" si="27"/>
        <v>SRINAGAR</v>
      </c>
      <c r="I868" s="21" t="s">
        <v>11345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11349</v>
      </c>
      <c r="C869" s="21" t="s">
        <v>11346</v>
      </c>
      <c r="D869" s="21" t="s">
        <v>11347</v>
      </c>
      <c r="E869" s="21" t="s">
        <v>11348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11370</v>
      </c>
      <c r="J869" s="22">
        <v>46191</v>
      </c>
      <c r="K869" s="21">
        <v>7889983332</v>
      </c>
      <c r="L869" s="21" t="s">
        <v>11192</v>
      </c>
      <c r="M869" s="23" t="s">
        <v>11404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11351</v>
      </c>
      <c r="D870" s="21" t="s">
        <v>11352</v>
      </c>
      <c r="E870" s="21" t="s">
        <v>11353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11371</v>
      </c>
      <c r="J870" s="22">
        <v>46192</v>
      </c>
      <c r="K870" s="21">
        <v>7006689214</v>
      </c>
      <c r="L870" s="21" t="s">
        <v>11354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11355</v>
      </c>
      <c r="C871" s="21" t="s">
        <v>11356</v>
      </c>
      <c r="D871" s="21" t="s">
        <v>11357</v>
      </c>
      <c r="E871" s="21" t="s">
        <v>11358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11369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11362</v>
      </c>
      <c r="C872" s="21" t="s">
        <v>11359</v>
      </c>
      <c r="D872" s="21" t="s">
        <v>11360</v>
      </c>
      <c r="E872" s="21" t="s">
        <v>11361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11367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11364</v>
      </c>
      <c r="D873" s="21" t="s">
        <v>11365</v>
      </c>
      <c r="E873" s="21" t="s">
        <v>11366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11368</v>
      </c>
      <c r="J873" s="22">
        <v>46192</v>
      </c>
      <c r="K873" s="21">
        <v>9419040502</v>
      </c>
      <c r="L873" s="21" t="s">
        <v>10162</v>
      </c>
      <c r="M873" s="23" t="s">
        <v>11390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11375</v>
      </c>
      <c r="C874" s="21" t="s">
        <v>11372</v>
      </c>
      <c r="D874" s="21" t="s">
        <v>11373</v>
      </c>
      <c r="E874" s="21" t="s">
        <v>11374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11379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11384</v>
      </c>
      <c r="C875" s="21" t="s">
        <v>11381</v>
      </c>
      <c r="D875" s="21" t="s">
        <v>11382</v>
      </c>
      <c r="E875" s="21" t="s">
        <v>11383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11385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11391</v>
      </c>
      <c r="C876" s="21" t="s">
        <v>11392</v>
      </c>
      <c r="D876" s="21" t="s">
        <v>11393</v>
      </c>
      <c r="E876" s="21" t="s">
        <v>11394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11398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11386</v>
      </c>
      <c r="C877" s="21" t="s">
        <v>11387</v>
      </c>
      <c r="D877" s="21" t="s">
        <v>11388</v>
      </c>
      <c r="E877" s="21" t="s">
        <v>11389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11407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11410</v>
      </c>
      <c r="C878" s="21" t="s">
        <v>11411</v>
      </c>
      <c r="D878" s="21" t="s">
        <v>11412</v>
      </c>
      <c r="E878" s="21" t="s">
        <v>11413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11414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11423</v>
      </c>
      <c r="C879" s="21" t="s">
        <v>11424</v>
      </c>
      <c r="D879" s="21" t="s">
        <v>11425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11432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11428</v>
      </c>
      <c r="C880" s="21" t="s">
        <v>11429</v>
      </c>
      <c r="D880" s="21" t="s">
        <v>11430</v>
      </c>
      <c r="E880" s="21" t="s">
        <v>11431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11434</v>
      </c>
      <c r="C881" s="21" t="s">
        <v>11435</v>
      </c>
      <c r="D881" s="21" t="s">
        <v>11436</v>
      </c>
      <c r="E881" s="21" t="s">
        <v>11437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11438</v>
      </c>
      <c r="J881" s="22">
        <v>46195</v>
      </c>
      <c r="K881" s="21">
        <v>7006623287</v>
      </c>
      <c r="L881" s="21" t="s">
        <v>9902</v>
      </c>
      <c r="M881" s="23" t="s">
        <v>11329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11439</v>
      </c>
      <c r="C882" s="21" t="s">
        <v>11440</v>
      </c>
      <c r="D882" s="21" t="s">
        <v>11441</v>
      </c>
      <c r="E882" s="21" t="s">
        <v>11442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11453</v>
      </c>
      <c r="J882" s="22">
        <v>46196</v>
      </c>
      <c r="K882" s="21">
        <v>9149740071</v>
      </c>
      <c r="L882" s="21" t="s">
        <v>7689</v>
      </c>
      <c r="M882" s="23" t="s">
        <v>11703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11446</v>
      </c>
      <c r="C883" s="21" t="s">
        <v>11443</v>
      </c>
      <c r="D883" s="21" t="s">
        <v>11444</v>
      </c>
      <c r="E883" s="21" t="s">
        <v>11445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11452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11450</v>
      </c>
      <c r="C884" s="21" t="s">
        <v>11447</v>
      </c>
      <c r="D884" s="21" t="s">
        <v>11448</v>
      </c>
      <c r="E884" s="21" t="s">
        <v>11449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11451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11457</v>
      </c>
      <c r="C885" s="21" t="s">
        <v>11458</v>
      </c>
      <c r="D885" s="21" t="s">
        <v>11459</v>
      </c>
      <c r="E885" s="21" t="s">
        <v>11460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11461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11378</v>
      </c>
      <c r="C886" s="21" t="s">
        <v>11377</v>
      </c>
      <c r="D886" s="21" t="s">
        <v>11380</v>
      </c>
      <c r="E886" s="21" t="s">
        <v>11376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11462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11463</v>
      </c>
      <c r="C887" s="21" t="s">
        <v>11464</v>
      </c>
      <c r="D887" s="21" t="s">
        <v>11465</v>
      </c>
      <c r="E887" s="21" t="s">
        <v>11466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11468</v>
      </c>
      <c r="J887" s="22">
        <v>46196</v>
      </c>
      <c r="K887" s="21">
        <v>7006467400</v>
      </c>
      <c r="L887" s="21" t="s">
        <v>11467</v>
      </c>
      <c r="M887" s="23" t="s">
        <v>11602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11473</v>
      </c>
      <c r="C888" s="21" t="s">
        <v>11470</v>
      </c>
      <c r="D888" s="21" t="s">
        <v>11471</v>
      </c>
      <c r="E888" s="21" t="s">
        <v>11472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11488</v>
      </c>
      <c r="J888" s="22">
        <v>46196</v>
      </c>
      <c r="K888" s="21">
        <v>9419944287</v>
      </c>
      <c r="L888" s="21" t="s">
        <v>10162</v>
      </c>
      <c r="M888" s="23" t="s">
        <v>10507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11477</v>
      </c>
      <c r="C889" s="21" t="s">
        <v>11474</v>
      </c>
      <c r="D889" s="21" t="s">
        <v>11475</v>
      </c>
      <c r="E889" s="21" t="s">
        <v>11476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11486</v>
      </c>
      <c r="J889" s="22">
        <v>46196</v>
      </c>
      <c r="K889" s="21">
        <v>9070193564</v>
      </c>
      <c r="L889" s="21" t="s">
        <v>11076</v>
      </c>
      <c r="M889" s="21" t="s">
        <v>11076</v>
      </c>
      <c r="N889" s="22">
        <v>46210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11481</v>
      </c>
      <c r="C890" s="21" t="s">
        <v>11478</v>
      </c>
      <c r="D890" s="21" t="s">
        <v>11479</v>
      </c>
      <c r="E890" s="21" t="s">
        <v>11480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11487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11489</v>
      </c>
      <c r="C891" s="21" t="s">
        <v>11490</v>
      </c>
      <c r="D891" s="21" t="s">
        <v>11491</v>
      </c>
      <c r="E891" s="21" t="s">
        <v>11492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11501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11499</v>
      </c>
    </row>
    <row r="892" spans="1:18" x14ac:dyDescent="0.25">
      <c r="A892" s="21">
        <f t="shared" si="26"/>
        <v>891</v>
      </c>
      <c r="B892" s="21" t="s">
        <v>11496</v>
      </c>
      <c r="C892" s="21" t="s">
        <v>11493</v>
      </c>
      <c r="D892" s="21" t="s">
        <v>11494</v>
      </c>
      <c r="E892" s="21" t="s">
        <v>11495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11500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11502</v>
      </c>
      <c r="C893" s="21" t="s">
        <v>11503</v>
      </c>
      <c r="D893" s="21" t="s">
        <v>11504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11509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11505</v>
      </c>
      <c r="C894" s="21" t="s">
        <v>11507</v>
      </c>
      <c r="D894" s="21" t="s">
        <v>11508</v>
      </c>
      <c r="E894" s="21" t="s">
        <v>11506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11510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11513</v>
      </c>
      <c r="C895" s="21" t="s">
        <v>11511</v>
      </c>
      <c r="D895" s="21" t="s">
        <v>11512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11520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11523</v>
      </c>
      <c r="C896" s="21" t="s">
        <v>11524</v>
      </c>
      <c r="D896" s="21" t="s">
        <v>11526</v>
      </c>
      <c r="E896" s="21" t="s">
        <v>11525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11527</v>
      </c>
      <c r="J896" s="22">
        <v>46198</v>
      </c>
      <c r="K896" s="21">
        <v>7889628489</v>
      </c>
      <c r="L896" s="21" t="s">
        <v>6515</v>
      </c>
      <c r="M896" s="23" t="s">
        <v>6436</v>
      </c>
      <c r="N896" s="22">
        <v>46209</v>
      </c>
      <c r="O896" s="21"/>
      <c r="P896" s="24"/>
      <c r="Q896" s="21"/>
      <c r="R896" s="21"/>
    </row>
    <row r="897" spans="1:18" x14ac:dyDescent="0.25">
      <c r="A897" s="21">
        <f t="shared" ref="A897:A948" si="33">ROW()-1</f>
        <v>896</v>
      </c>
      <c r="B897" s="21" t="s">
        <v>11532</v>
      </c>
      <c r="C897" s="21" t="s">
        <v>11530</v>
      </c>
      <c r="D897" s="21" t="s">
        <v>11531</v>
      </c>
      <c r="E897" s="21" t="s">
        <v>11529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11528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11536</v>
      </c>
      <c r="C898" s="21" t="s">
        <v>11533</v>
      </c>
      <c r="D898" s="21" t="s">
        <v>11534</v>
      </c>
      <c r="E898" s="21" t="s">
        <v>11535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11537</v>
      </c>
      <c r="J898" s="22">
        <v>46198</v>
      </c>
      <c r="K898" s="21">
        <v>8899098549</v>
      </c>
      <c r="L898" s="21" t="s">
        <v>11568</v>
      </c>
      <c r="M898" s="23" t="s">
        <v>11748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11542</v>
      </c>
      <c r="C899" s="21" t="s">
        <v>11540</v>
      </c>
      <c r="D899" s="21" t="s">
        <v>11541</v>
      </c>
      <c r="E899" s="21" t="s">
        <v>11539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11538</v>
      </c>
      <c r="J899" s="22">
        <v>46198</v>
      </c>
      <c r="K899" s="21">
        <v>7006598384</v>
      </c>
      <c r="L899" s="21" t="s">
        <v>10242</v>
      </c>
      <c r="M899" s="23" t="s">
        <v>11168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33"/>
        <v>899</v>
      </c>
      <c r="B900" s="21" t="s">
        <v>11546</v>
      </c>
      <c r="C900" s="21" t="s">
        <v>11543</v>
      </c>
      <c r="D900" s="21" t="s">
        <v>11544</v>
      </c>
      <c r="E900" s="21" t="s">
        <v>11545</v>
      </c>
      <c r="F900" s="21" t="s">
        <v>277</v>
      </c>
      <c r="G900" s="21" t="s">
        <v>196</v>
      </c>
      <c r="H900" s="21" t="str">
        <f t="shared" si="32"/>
        <v>NEW</v>
      </c>
      <c r="I900" s="21" t="s">
        <v>11732</v>
      </c>
      <c r="J900" s="22">
        <v>46198</v>
      </c>
      <c r="K900" s="21">
        <v>7889410951</v>
      </c>
      <c r="L900" s="21" t="s">
        <v>11560</v>
      </c>
      <c r="M900" s="23"/>
      <c r="N900" s="22"/>
      <c r="O900" s="21"/>
      <c r="P900" s="24"/>
      <c r="Q900" s="21"/>
      <c r="R900" s="21" t="s">
        <v>11776</v>
      </c>
    </row>
    <row r="901" spans="1:18" x14ac:dyDescent="0.25">
      <c r="A901" s="21">
        <f t="shared" si="33"/>
        <v>900</v>
      </c>
      <c r="B901" s="21" t="s">
        <v>11547</v>
      </c>
      <c r="C901" s="21" t="s">
        <v>11554</v>
      </c>
      <c r="D901" s="21" t="s">
        <v>11555</v>
      </c>
      <c r="E901" s="21" t="s">
        <v>11553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11552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11551</v>
      </c>
      <c r="C902" s="21" t="s">
        <v>11549</v>
      </c>
      <c r="D902" s="21" t="s">
        <v>11548</v>
      </c>
      <c r="E902" s="21" t="s">
        <v>11550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11567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11557</v>
      </c>
      <c r="C903" s="21" t="s">
        <v>11558</v>
      </c>
      <c r="D903" s="21" t="s">
        <v>11559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11565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11564</v>
      </c>
      <c r="C904" s="21" t="s">
        <v>11561</v>
      </c>
      <c r="D904" s="21" t="s">
        <v>11562</v>
      </c>
      <c r="E904" s="21" t="s">
        <v>11563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11566</v>
      </c>
      <c r="J904" s="22">
        <v>46199</v>
      </c>
      <c r="K904" s="21">
        <v>9596191449</v>
      </c>
      <c r="L904" s="21" t="s">
        <v>547</v>
      </c>
      <c r="M904" s="23" t="s">
        <v>11696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11572</v>
      </c>
      <c r="C905" s="21" t="s">
        <v>11573</v>
      </c>
      <c r="D905" s="21" t="s">
        <v>11574</v>
      </c>
      <c r="E905" s="21" t="s">
        <v>11575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11580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11579</v>
      </c>
      <c r="C906" s="21" t="s">
        <v>11576</v>
      </c>
      <c r="D906" s="21" t="s">
        <v>11577</v>
      </c>
      <c r="E906" s="21" t="s">
        <v>11578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11581</v>
      </c>
      <c r="J906" s="22">
        <v>46202</v>
      </c>
      <c r="K906" s="21">
        <v>7006560058</v>
      </c>
      <c r="L906" s="21" t="s">
        <v>26</v>
      </c>
      <c r="M906" s="23" t="s">
        <v>11578</v>
      </c>
      <c r="N906" s="22">
        <v>46210</v>
      </c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11593</v>
      </c>
      <c r="C907" s="21" t="s">
        <v>11594</v>
      </c>
      <c r="D907" s="21" t="s">
        <v>11595</v>
      </c>
      <c r="E907" s="21" t="s">
        <v>11596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11597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11601</v>
      </c>
      <c r="C908" s="21" t="s">
        <v>11598</v>
      </c>
      <c r="D908" s="21" t="s">
        <v>11599</v>
      </c>
      <c r="E908" s="21" t="s">
        <v>11600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11608</v>
      </c>
      <c r="J908" s="22">
        <v>46202</v>
      </c>
      <c r="K908" s="21">
        <v>7006438844</v>
      </c>
      <c r="L908" s="21" t="s">
        <v>10242</v>
      </c>
      <c r="M908" s="23" t="s">
        <v>11168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11606</v>
      </c>
      <c r="C909" s="21" t="s">
        <v>11603</v>
      </c>
      <c r="D909" s="21" t="s">
        <v>11604</v>
      </c>
      <c r="E909" s="21" t="s">
        <v>11605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11607</v>
      </c>
      <c r="J909" s="22">
        <v>46202</v>
      </c>
      <c r="K909" s="21">
        <v>8491965615</v>
      </c>
      <c r="L909" s="21" t="s">
        <v>11309</v>
      </c>
      <c r="M909" s="23" t="s">
        <v>11723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11585</v>
      </c>
      <c r="C910" s="21" t="s">
        <v>11586</v>
      </c>
      <c r="D910" s="21" t="s">
        <v>11588</v>
      </c>
      <c r="E910" s="21" t="s">
        <v>11587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11609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11199</v>
      </c>
      <c r="C911" s="21" t="s">
        <v>11197</v>
      </c>
      <c r="D911" s="21" t="s">
        <v>11198</v>
      </c>
      <c r="E911" s="21" t="s">
        <v>11196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11615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11614</v>
      </c>
      <c r="C912" s="21" t="s">
        <v>11610</v>
      </c>
      <c r="D912" s="21" t="s">
        <v>11611</v>
      </c>
      <c r="E912" s="21" t="s">
        <v>11612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11630</v>
      </c>
      <c r="J912" s="22">
        <v>46203</v>
      </c>
      <c r="K912" s="21">
        <v>9599281803</v>
      </c>
      <c r="L912" s="21" t="s">
        <v>11613</v>
      </c>
      <c r="M912" s="23" t="s">
        <v>11722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33"/>
        <v>912</v>
      </c>
      <c r="B913" s="21" t="s">
        <v>11622</v>
      </c>
      <c r="C913" s="21" t="s">
        <v>11623</v>
      </c>
      <c r="D913" s="21" t="s">
        <v>11624</v>
      </c>
      <c r="E913" s="21" t="s">
        <v>11625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11644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11629</v>
      </c>
      <c r="C914" s="21" t="s">
        <v>11627</v>
      </c>
      <c r="D914" s="21" t="s">
        <v>11628</v>
      </c>
      <c r="E914" s="21" t="s">
        <v>11626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11643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11631</v>
      </c>
      <c r="C915" s="21" t="s">
        <v>11632</v>
      </c>
      <c r="D915" s="21" t="s">
        <v>11633</v>
      </c>
      <c r="E915" s="21" t="s">
        <v>11634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11645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2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11639</v>
      </c>
      <c r="C916" s="21" t="s">
        <v>11640</v>
      </c>
      <c r="D916" s="21" t="s">
        <v>11641</v>
      </c>
      <c r="E916" s="21" t="s">
        <v>11642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11646</v>
      </c>
      <c r="J916" s="22">
        <v>46203</v>
      </c>
      <c r="K916" s="21">
        <v>8899111905</v>
      </c>
      <c r="L916" s="21" t="s">
        <v>68</v>
      </c>
      <c r="M916" s="23" t="s">
        <v>11400</v>
      </c>
      <c r="N916" s="22">
        <v>46210</v>
      </c>
      <c r="O916" s="21" t="s">
        <v>23</v>
      </c>
      <c r="P916" s="22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11635</v>
      </c>
      <c r="C917" s="21" t="s">
        <v>11636</v>
      </c>
      <c r="D917" s="21" t="s">
        <v>11637</v>
      </c>
      <c r="E917" s="21" t="s">
        <v>11638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11647</v>
      </c>
      <c r="J917" s="22">
        <v>46203</v>
      </c>
      <c r="K917" s="21">
        <v>9419067489</v>
      </c>
      <c r="L917" s="21" t="s">
        <v>10242</v>
      </c>
      <c r="M917" s="23"/>
      <c r="N917" s="22"/>
      <c r="O917" s="21"/>
      <c r="P917" s="22"/>
      <c r="Q917" s="21"/>
      <c r="R917" s="21"/>
    </row>
    <row r="918" spans="1:18" x14ac:dyDescent="0.25">
      <c r="A918" s="21">
        <f t="shared" si="33"/>
        <v>917</v>
      </c>
      <c r="B918" s="21" t="s">
        <v>11648</v>
      </c>
      <c r="C918" s="21" t="s">
        <v>11649</v>
      </c>
      <c r="D918" s="21" t="s">
        <v>11650</v>
      </c>
      <c r="E918" s="21" t="s">
        <v>11651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11658</v>
      </c>
      <c r="J918" s="22">
        <v>46203</v>
      </c>
      <c r="K918" s="21">
        <v>9682641134</v>
      </c>
      <c r="L918" s="21" t="s">
        <v>303</v>
      </c>
      <c r="M918" s="23" t="s">
        <v>11688</v>
      </c>
      <c r="N918" s="22">
        <v>46205</v>
      </c>
      <c r="O918" s="21" t="s">
        <v>23</v>
      </c>
      <c r="P918" s="22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11655</v>
      </c>
      <c r="C919" s="21" t="s">
        <v>11652</v>
      </c>
      <c r="D919" s="21" t="s">
        <v>11653</v>
      </c>
      <c r="E919" s="21" t="s">
        <v>11654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11657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2"/>
      <c r="Q919" s="21"/>
      <c r="R919" s="21"/>
    </row>
    <row r="920" spans="1:18" x14ac:dyDescent="0.25">
      <c r="A920" s="21">
        <f t="shared" si="33"/>
        <v>919</v>
      </c>
      <c r="B920" s="21" t="s">
        <v>11666</v>
      </c>
      <c r="C920" s="21" t="s">
        <v>11667</v>
      </c>
      <c r="D920" s="21" t="s">
        <v>11668</v>
      </c>
      <c r="E920" s="21" t="s">
        <v>11669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11670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2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11674</v>
      </c>
      <c r="C921" s="21" t="s">
        <v>11671</v>
      </c>
      <c r="D921" s="21" t="s">
        <v>11672</v>
      </c>
      <c r="E921" s="21" t="s">
        <v>11673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11675</v>
      </c>
      <c r="J921" s="22">
        <v>46204</v>
      </c>
      <c r="K921" s="21">
        <v>9906022076</v>
      </c>
      <c r="L921" s="21" t="s">
        <v>9902</v>
      </c>
      <c r="M921" s="23"/>
      <c r="N921" s="22"/>
      <c r="O921" s="21"/>
      <c r="P921" s="22"/>
      <c r="Q921" s="21"/>
      <c r="R921" s="21"/>
    </row>
    <row r="922" spans="1:18" x14ac:dyDescent="0.25">
      <c r="A922" s="21">
        <f t="shared" si="33"/>
        <v>921</v>
      </c>
      <c r="B922" s="21" t="s">
        <v>11677</v>
      </c>
      <c r="C922" s="21" t="s">
        <v>11681</v>
      </c>
      <c r="D922" s="21" t="s">
        <v>11678</v>
      </c>
      <c r="E922" s="21" t="s">
        <v>11679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11680</v>
      </c>
      <c r="J922" s="22">
        <v>46205</v>
      </c>
      <c r="K922" s="21">
        <v>9596080368</v>
      </c>
      <c r="L922" s="21" t="s">
        <v>9241</v>
      </c>
      <c r="M922" s="23" t="s">
        <v>11703</v>
      </c>
      <c r="N922" s="22">
        <v>46206</v>
      </c>
      <c r="O922" s="21" t="s">
        <v>23</v>
      </c>
      <c r="P922" s="22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11683</v>
      </c>
      <c r="C923" s="21" t="s">
        <v>11684</v>
      </c>
      <c r="D923" s="21" t="s">
        <v>11685</v>
      </c>
      <c r="E923" s="21" t="s">
        <v>11686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11687</v>
      </c>
      <c r="J923" s="22">
        <v>46205</v>
      </c>
      <c r="K923" s="21">
        <v>9906667265</v>
      </c>
      <c r="L923" s="21" t="s">
        <v>1122</v>
      </c>
      <c r="M923" s="23" t="s">
        <v>11697</v>
      </c>
      <c r="N923" s="22">
        <v>46206</v>
      </c>
      <c r="O923" s="21" t="s">
        <v>23</v>
      </c>
      <c r="P923" s="22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11698</v>
      </c>
      <c r="C924" s="21" t="s">
        <v>11700</v>
      </c>
      <c r="D924" s="21" t="s">
        <v>11701</v>
      </c>
      <c r="E924" s="21" t="s">
        <v>11702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11699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2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11705</v>
      </c>
      <c r="C925" s="21" t="s">
        <v>11706</v>
      </c>
      <c r="D925" s="21" t="s">
        <v>11707</v>
      </c>
      <c r="E925" s="21" t="s">
        <v>11708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11721</v>
      </c>
      <c r="J925" s="22">
        <v>46206</v>
      </c>
      <c r="K925" s="21">
        <v>9541816171</v>
      </c>
      <c r="L925" s="21" t="s">
        <v>6446</v>
      </c>
      <c r="M925" s="23" t="s">
        <v>11834</v>
      </c>
      <c r="N925" s="22">
        <v>46213</v>
      </c>
      <c r="O925" s="21"/>
      <c r="P925" s="22"/>
      <c r="Q925" s="21"/>
      <c r="R925" s="21"/>
    </row>
    <row r="926" spans="1:18" x14ac:dyDescent="0.25">
      <c r="A926" s="21">
        <f t="shared" si="33"/>
        <v>925</v>
      </c>
      <c r="B926" s="21" t="s">
        <v>11709</v>
      </c>
      <c r="C926" s="21" t="s">
        <v>11711</v>
      </c>
      <c r="D926" s="21" t="s">
        <v>11712</v>
      </c>
      <c r="E926" s="21" t="s">
        <v>11710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11720</v>
      </c>
      <c r="J926" s="22">
        <v>46206</v>
      </c>
      <c r="K926" s="21">
        <v>7006171701</v>
      </c>
      <c r="L926" s="21" t="s">
        <v>191</v>
      </c>
      <c r="M926" s="23" t="s">
        <v>191</v>
      </c>
      <c r="N926" s="22">
        <v>46209</v>
      </c>
      <c r="O926" s="21" t="s">
        <v>23</v>
      </c>
      <c r="P926" s="22">
        <v>46209</v>
      </c>
      <c r="Q926" s="21" t="s">
        <v>6454</v>
      </c>
      <c r="R926" s="21"/>
    </row>
    <row r="927" spans="1:18" x14ac:dyDescent="0.25">
      <c r="A927" s="21">
        <f t="shared" si="33"/>
        <v>926</v>
      </c>
      <c r="B927" s="21" t="s">
        <v>11724</v>
      </c>
      <c r="C927" s="21" t="s">
        <v>11725</v>
      </c>
      <c r="D927" s="21" t="s">
        <v>11726</v>
      </c>
      <c r="E927" s="21" t="s">
        <v>11727</v>
      </c>
      <c r="F927" s="21" t="s">
        <v>12</v>
      </c>
      <c r="G927" s="21" t="s">
        <v>197</v>
      </c>
      <c r="H927" s="21" t="str">
        <f t="shared" si="37"/>
        <v>SRINAGAR</v>
      </c>
      <c r="I927" s="21" t="s">
        <v>11734</v>
      </c>
      <c r="J927" s="22">
        <v>46207</v>
      </c>
      <c r="K927" s="21">
        <v>6006424311</v>
      </c>
      <c r="L927" s="21" t="s">
        <v>2168</v>
      </c>
      <c r="M927" s="23" t="s">
        <v>2168</v>
      </c>
      <c r="N927" s="22">
        <v>46209</v>
      </c>
      <c r="O927" s="21" t="s">
        <v>23</v>
      </c>
      <c r="P927" s="22">
        <v>46207</v>
      </c>
      <c r="Q927" s="21" t="s">
        <v>6454</v>
      </c>
      <c r="R927" s="21"/>
    </row>
    <row r="928" spans="1:18" x14ac:dyDescent="0.25">
      <c r="A928" s="21">
        <f t="shared" si="33"/>
        <v>927</v>
      </c>
      <c r="B928" s="21" t="s">
        <v>11731</v>
      </c>
      <c r="C928" s="21" t="s">
        <v>11728</v>
      </c>
      <c r="D928" s="21" t="s">
        <v>11729</v>
      </c>
      <c r="E928" s="21" t="s">
        <v>11730</v>
      </c>
      <c r="F928" s="21" t="s">
        <v>98</v>
      </c>
      <c r="G928" s="21" t="s">
        <v>171</v>
      </c>
      <c r="H928" s="21" t="str">
        <f t="shared" si="37"/>
        <v>SRINAGAR</v>
      </c>
      <c r="I928" s="21" t="s">
        <v>11733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2">
        <v>46207</v>
      </c>
      <c r="Q928" s="21" t="s">
        <v>6454</v>
      </c>
      <c r="R928" s="21"/>
    </row>
    <row r="929" spans="1:18" x14ac:dyDescent="0.25">
      <c r="A929" s="21">
        <f t="shared" si="33"/>
        <v>928</v>
      </c>
      <c r="B929" s="21" t="s">
        <v>11735</v>
      </c>
      <c r="C929" s="21" t="s">
        <v>11736</v>
      </c>
      <c r="D929" s="21" t="s">
        <v>11737</v>
      </c>
      <c r="E929" s="21" t="s">
        <v>11738</v>
      </c>
      <c r="F929" s="21" t="s">
        <v>98</v>
      </c>
      <c r="G929" s="21" t="s">
        <v>197</v>
      </c>
      <c r="H929" s="21" t="str">
        <f t="shared" si="37"/>
        <v>POONCH</v>
      </c>
      <c r="I929" s="21" t="s">
        <v>11747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2">
        <v>46207</v>
      </c>
      <c r="Q929" s="21" t="s">
        <v>6454</v>
      </c>
      <c r="R929" s="21"/>
    </row>
    <row r="930" spans="1:18" x14ac:dyDescent="0.25">
      <c r="A930" s="21">
        <f t="shared" si="33"/>
        <v>929</v>
      </c>
      <c r="B930" s="21" t="s">
        <v>11742</v>
      </c>
      <c r="C930" s="21" t="s">
        <v>11740</v>
      </c>
      <c r="D930" s="21" t="s">
        <v>11741</v>
      </c>
      <c r="E930" s="21" t="s">
        <v>11739</v>
      </c>
      <c r="F930" s="21" t="s">
        <v>5</v>
      </c>
      <c r="G930" s="21" t="s">
        <v>197</v>
      </c>
      <c r="H930" s="21" t="str">
        <f t="shared" ref="H930:H936" si="38">IF(LEFT(I930,4)="JK13","PULWAMA",IF(LEFT(I930,4)="JK01","SRINAGAR",IF(LEFT(I930,4)="JK04","BUDGAM",IF(LEFT(I930,4)="JK03","ANANTNAG",IF(LEFT(I930,4)="LA01","KARGIL",IF(LEFT(I930,4)="JK05","BARAMULLA",IF(LEFT(I930,4)="26BH","BHARAT",IF(LEFT(I930,4)="25BH","BHARAT",IF(LEFT(I930,4)="JK12","POONCH",IF(LEFT(I930,4)="JK16","GANDERBAL",IF(LEFT(I930,4)="JK18","KULGAM",IF(LEFT(I930,4)="JK22","SHOPIAN",IF(LEFT(I930,4)="JK02","JAMMU",IF(LEFT(I930,4)="JK09","KUPWARA",IF(LEFT(I930,4)="JK15","BANDIPORA",IF(LEFT(I930,4)="JK17","KISHTWAR",IF(LEFT(I930,4)="LA01","KARGIL",IF(LEFT(I930,1)="T","TEMP","NEW"))))))))))))))))))</f>
        <v>TEMP</v>
      </c>
      <c r="I930" s="21" t="s">
        <v>11743</v>
      </c>
      <c r="J930" s="22">
        <v>46207</v>
      </c>
      <c r="K930" s="21">
        <v>6005346937</v>
      </c>
      <c r="L930" s="21" t="s">
        <v>11309</v>
      </c>
      <c r="M930" s="23"/>
      <c r="N930" s="22"/>
      <c r="O930" s="21"/>
      <c r="P930" s="22"/>
      <c r="Q930" s="21"/>
      <c r="R930" s="21"/>
    </row>
    <row r="931" spans="1:18" x14ac:dyDescent="0.25">
      <c r="A931" s="21">
        <f t="shared" si="33"/>
        <v>930</v>
      </c>
      <c r="B931" s="21" t="s">
        <v>11753</v>
      </c>
      <c r="C931" s="21" t="s">
        <v>11750</v>
      </c>
      <c r="D931" s="21" t="s">
        <v>11751</v>
      </c>
      <c r="E931" s="21" t="s">
        <v>11752</v>
      </c>
      <c r="F931" s="21" t="s">
        <v>36</v>
      </c>
      <c r="G931" s="21" t="s">
        <v>223</v>
      </c>
      <c r="H931" s="21" t="str">
        <f t="shared" si="38"/>
        <v>KULGAM</v>
      </c>
      <c r="I931" s="21" t="s">
        <v>11756</v>
      </c>
      <c r="J931" s="22">
        <v>46209</v>
      </c>
      <c r="K931" s="21">
        <v>9682595915</v>
      </c>
      <c r="L931" s="21" t="s">
        <v>11076</v>
      </c>
      <c r="M931" s="21" t="s">
        <v>11076</v>
      </c>
      <c r="N931" s="22">
        <v>46210</v>
      </c>
      <c r="O931" s="21" t="s">
        <v>23</v>
      </c>
      <c r="P931" s="22">
        <v>46210</v>
      </c>
      <c r="Q931" s="21" t="s">
        <v>6454</v>
      </c>
      <c r="R931" s="21"/>
    </row>
    <row r="932" spans="1:18" x14ac:dyDescent="0.25">
      <c r="A932" s="21">
        <f t="shared" si="33"/>
        <v>931</v>
      </c>
      <c r="B932" s="21" t="s">
        <v>11759</v>
      </c>
      <c r="C932" s="21" t="s">
        <v>11757</v>
      </c>
      <c r="D932" s="21" t="s">
        <v>11758</v>
      </c>
      <c r="E932" s="21" t="s">
        <v>6428</v>
      </c>
      <c r="F932" s="21" t="s">
        <v>65</v>
      </c>
      <c r="G932" s="21" t="s">
        <v>196</v>
      </c>
      <c r="H932" s="21" t="str">
        <f t="shared" si="38"/>
        <v>SRINAGAR</v>
      </c>
      <c r="I932" s="21" t="s">
        <v>11768</v>
      </c>
      <c r="J932" s="22">
        <v>46209</v>
      </c>
      <c r="K932" s="21">
        <v>9906773886</v>
      </c>
      <c r="L932" s="21" t="s">
        <v>303</v>
      </c>
      <c r="M932" s="23" t="s">
        <v>303</v>
      </c>
      <c r="N932" s="22">
        <v>46210</v>
      </c>
      <c r="O932" s="21" t="s">
        <v>23</v>
      </c>
      <c r="P932" s="22">
        <v>46210</v>
      </c>
      <c r="Q932" s="21" t="s">
        <v>6454</v>
      </c>
      <c r="R932" s="21"/>
    </row>
    <row r="933" spans="1:18" x14ac:dyDescent="0.25">
      <c r="A933" s="21">
        <f t="shared" si="33"/>
        <v>932</v>
      </c>
      <c r="B933" s="21" t="s">
        <v>11763</v>
      </c>
      <c r="C933" s="21" t="s">
        <v>11760</v>
      </c>
      <c r="D933" s="21" t="s">
        <v>11761</v>
      </c>
      <c r="E933" s="21" t="s">
        <v>11762</v>
      </c>
      <c r="F933" s="21" t="s">
        <v>12</v>
      </c>
      <c r="G933" s="21" t="s">
        <v>171</v>
      </c>
      <c r="H933" s="21" t="str">
        <f t="shared" si="38"/>
        <v>SRINAGAR</v>
      </c>
      <c r="I933" s="21" t="s">
        <v>11769</v>
      </c>
      <c r="J933" s="22">
        <v>46209</v>
      </c>
      <c r="K933" s="21">
        <v>9419424931</v>
      </c>
      <c r="L933" s="21" t="s">
        <v>303</v>
      </c>
      <c r="M933" s="23" t="s">
        <v>303</v>
      </c>
      <c r="N933" s="22">
        <v>46211</v>
      </c>
      <c r="O933" s="21" t="s">
        <v>23</v>
      </c>
      <c r="P933" s="22">
        <v>46210</v>
      </c>
      <c r="Q933" s="21" t="s">
        <v>6454</v>
      </c>
      <c r="R933" s="21"/>
    </row>
    <row r="934" spans="1:18" x14ac:dyDescent="0.25">
      <c r="A934" s="21">
        <f t="shared" si="33"/>
        <v>933</v>
      </c>
      <c r="B934" s="21" t="s">
        <v>11767</v>
      </c>
      <c r="C934" s="21" t="s">
        <v>11764</v>
      </c>
      <c r="D934" s="21" t="s">
        <v>11765</v>
      </c>
      <c r="E934" s="21" t="s">
        <v>11766</v>
      </c>
      <c r="F934" s="21" t="s">
        <v>36</v>
      </c>
      <c r="G934" s="21" t="s">
        <v>197</v>
      </c>
      <c r="H934" s="21" t="str">
        <f t="shared" si="38"/>
        <v>TEMP</v>
      </c>
      <c r="I934" s="21" t="s">
        <v>11770</v>
      </c>
      <c r="J934" s="22">
        <v>46209</v>
      </c>
      <c r="K934" s="21">
        <v>7889837576</v>
      </c>
      <c r="L934" s="21" t="s">
        <v>26</v>
      </c>
      <c r="M934" s="23"/>
      <c r="N934" s="22"/>
      <c r="O934" s="21"/>
      <c r="P934" s="22"/>
      <c r="Q934" s="21"/>
      <c r="R934" s="21"/>
    </row>
    <row r="935" spans="1:18" x14ac:dyDescent="0.25">
      <c r="A935" s="21">
        <f t="shared" si="33"/>
        <v>934</v>
      </c>
      <c r="B935" s="21" t="s">
        <v>11774</v>
      </c>
      <c r="C935" s="21" t="s">
        <v>11771</v>
      </c>
      <c r="D935" s="21" t="s">
        <v>11772</v>
      </c>
      <c r="E935" s="21" t="s">
        <v>11773</v>
      </c>
      <c r="F935" s="21" t="s">
        <v>12</v>
      </c>
      <c r="G935" s="21" t="s">
        <v>197</v>
      </c>
      <c r="H935" s="21" t="str">
        <f t="shared" si="38"/>
        <v>SHOPIAN</v>
      </c>
      <c r="I935" s="21" t="s">
        <v>11775</v>
      </c>
      <c r="J935" s="22">
        <v>46209</v>
      </c>
      <c r="K935" s="21">
        <v>7889497638</v>
      </c>
      <c r="L935" s="21" t="s">
        <v>6574</v>
      </c>
      <c r="M935" s="23"/>
      <c r="N935" s="22"/>
      <c r="O935" s="21"/>
      <c r="P935" s="22"/>
      <c r="Q935" s="21"/>
      <c r="R935" s="21"/>
    </row>
    <row r="936" spans="1:18" x14ac:dyDescent="0.25">
      <c r="A936" s="21">
        <f t="shared" si="33"/>
        <v>935</v>
      </c>
      <c r="B936" s="21" t="s">
        <v>11780</v>
      </c>
      <c r="C936" s="21" t="s">
        <v>11777</v>
      </c>
      <c r="D936" s="21" t="s">
        <v>11778</v>
      </c>
      <c r="E936" s="21" t="s">
        <v>11779</v>
      </c>
      <c r="F936" s="21" t="s">
        <v>98</v>
      </c>
      <c r="G936" s="21" t="s">
        <v>6435</v>
      </c>
      <c r="H936" s="21" t="str">
        <f t="shared" si="38"/>
        <v>SRINAGAR</v>
      </c>
      <c r="I936" s="21" t="s">
        <v>11781</v>
      </c>
      <c r="J936" s="22">
        <v>46210</v>
      </c>
      <c r="K936" s="21">
        <v>9622221606</v>
      </c>
      <c r="L936" s="21" t="s">
        <v>11309</v>
      </c>
      <c r="M936" s="23"/>
      <c r="N936" s="22"/>
      <c r="O936" s="21"/>
      <c r="P936" s="22"/>
      <c r="Q936" s="21"/>
      <c r="R936" s="21"/>
    </row>
    <row r="937" spans="1:18" x14ac:dyDescent="0.25">
      <c r="A937" s="21">
        <f t="shared" si="33"/>
        <v>936</v>
      </c>
      <c r="B937" s="21" t="s">
        <v>11784</v>
      </c>
      <c r="C937" s="21" t="s">
        <v>11785</v>
      </c>
      <c r="D937" s="21" t="s">
        <v>11786</v>
      </c>
      <c r="E937" s="21" t="s">
        <v>11787</v>
      </c>
      <c r="F937" s="21" t="s">
        <v>190</v>
      </c>
      <c r="G937" s="21" t="s">
        <v>197</v>
      </c>
      <c r="H937" s="21" t="str">
        <f t="shared" ref="H937:H944" si="39">IF(LEFT(I937,4)="JK13","PULWAMA",IF(LEFT(I937,4)="JK01","SRINAGAR",IF(LEFT(I937,4)="JK04","BUDGAM",IF(LEFT(I937,4)="JK03","ANANTNAG",IF(LEFT(I937,4)="LA01","KARGIL",IF(LEFT(I937,4)="JK05","BARAMULLA",IF(LEFT(I937,4)="26BH","BHARAT",IF(LEFT(I937,4)="25BH","BHARAT",IF(LEFT(I937,4)="JK12","POONCH",IF(LEFT(I937,4)="JK16","GANDERBAL",IF(LEFT(I937,4)="JK18","KULGAM",IF(LEFT(I937,4)="JK22","SHOPIAN",IF(LEFT(I937,4)="JK02","JAMMU",IF(LEFT(I937,4)="JK09","KUPWARA",IF(LEFT(I937,4)="JK15","BANDIPORA",IF(LEFT(I937,4)="JK17","KISHTWAR",IF(LEFT(I937,4)="LA01","KARGIL",IF(LEFT(I937,1)="T","TEMP","NEW"))))))))))))))))))</f>
        <v>SRINAGAR</v>
      </c>
      <c r="I937" s="21" t="s">
        <v>11788</v>
      </c>
      <c r="J937" s="22">
        <v>46210</v>
      </c>
      <c r="K937" s="21">
        <v>8491929247</v>
      </c>
      <c r="L937" s="21" t="s">
        <v>18</v>
      </c>
      <c r="M937" s="23" t="s">
        <v>11791</v>
      </c>
      <c r="N937" s="22">
        <v>46210</v>
      </c>
      <c r="O937" s="21" t="s">
        <v>23</v>
      </c>
      <c r="P937" s="22">
        <v>46210</v>
      </c>
      <c r="Q937" s="21" t="s">
        <v>6454</v>
      </c>
      <c r="R937" s="21"/>
    </row>
    <row r="938" spans="1:18" x14ac:dyDescent="0.25">
      <c r="A938" s="21">
        <f t="shared" si="33"/>
        <v>937</v>
      </c>
      <c r="B938" s="21" t="s">
        <v>11795</v>
      </c>
      <c r="C938" s="21" t="s">
        <v>11792</v>
      </c>
      <c r="D938" s="21" t="s">
        <v>11793</v>
      </c>
      <c r="E938" s="21" t="s">
        <v>11794</v>
      </c>
      <c r="F938" s="21" t="s">
        <v>5</v>
      </c>
      <c r="G938" s="21" t="s">
        <v>171</v>
      </c>
      <c r="H938" s="21" t="str">
        <f t="shared" si="39"/>
        <v>BUDGAM</v>
      </c>
      <c r="I938" s="21" t="s">
        <v>11800</v>
      </c>
      <c r="J938" s="22">
        <v>46211</v>
      </c>
      <c r="K938" s="21">
        <v>7889410452</v>
      </c>
      <c r="L938" s="21" t="s">
        <v>73</v>
      </c>
      <c r="M938" s="23"/>
      <c r="N938" s="22"/>
      <c r="O938" s="21" t="s">
        <v>23</v>
      </c>
      <c r="P938" s="22">
        <v>46211</v>
      </c>
      <c r="Q938" s="21" t="s">
        <v>6454</v>
      </c>
      <c r="R938" s="21"/>
    </row>
    <row r="939" spans="1:18" x14ac:dyDescent="0.25">
      <c r="A939" s="21">
        <f t="shared" si="33"/>
        <v>938</v>
      </c>
      <c r="B939" s="21" t="s">
        <v>11796</v>
      </c>
      <c r="C939" s="21" t="s">
        <v>11797</v>
      </c>
      <c r="D939" s="21" t="s">
        <v>11798</v>
      </c>
      <c r="E939" s="21" t="s">
        <v>11799</v>
      </c>
      <c r="F939" s="21" t="s">
        <v>3126</v>
      </c>
      <c r="G939" s="21" t="s">
        <v>6469</v>
      </c>
      <c r="H939" s="21" t="str">
        <f t="shared" si="39"/>
        <v>SRINAGAR</v>
      </c>
      <c r="I939" s="21" t="s">
        <v>11801</v>
      </c>
      <c r="J939" s="22">
        <v>46211</v>
      </c>
      <c r="K939" s="21">
        <v>8803723191</v>
      </c>
      <c r="L939" s="21" t="s">
        <v>1122</v>
      </c>
      <c r="M939" s="23" t="s">
        <v>3910</v>
      </c>
      <c r="N939" s="22">
        <v>46212</v>
      </c>
      <c r="O939" s="21" t="s">
        <v>23</v>
      </c>
      <c r="P939" s="22">
        <v>46211</v>
      </c>
      <c r="Q939" s="21" t="s">
        <v>6454</v>
      </c>
      <c r="R939" s="21"/>
    </row>
    <row r="940" spans="1:18" x14ac:dyDescent="0.25">
      <c r="A940" s="21">
        <f t="shared" si="33"/>
        <v>939</v>
      </c>
      <c r="B940" s="21" t="s">
        <v>11807</v>
      </c>
      <c r="C940" s="21" t="s">
        <v>11808</v>
      </c>
      <c r="D940" s="21" t="s">
        <v>11809</v>
      </c>
      <c r="E940" s="21" t="s">
        <v>11810</v>
      </c>
      <c r="F940" s="21" t="s">
        <v>98</v>
      </c>
      <c r="G940" s="21" t="s">
        <v>197</v>
      </c>
      <c r="H940" s="21" t="str">
        <f t="shared" si="39"/>
        <v>SRINAGAR</v>
      </c>
      <c r="I940" s="21" t="s">
        <v>11814</v>
      </c>
      <c r="J940" s="22">
        <v>46211</v>
      </c>
      <c r="K940" s="21">
        <v>6005207984</v>
      </c>
      <c r="L940" s="21" t="s">
        <v>6446</v>
      </c>
      <c r="M940" s="23"/>
      <c r="N940" s="22"/>
      <c r="O940" s="21"/>
      <c r="P940" s="22"/>
      <c r="Q940" s="21"/>
      <c r="R940" s="21"/>
    </row>
    <row r="941" spans="1:18" x14ac:dyDescent="0.25">
      <c r="A941" s="21">
        <f t="shared" si="33"/>
        <v>940</v>
      </c>
      <c r="B941" s="21" t="s">
        <v>11819</v>
      </c>
      <c r="C941" s="21" t="s">
        <v>11820</v>
      </c>
      <c r="D941" s="21" t="s">
        <v>11821</v>
      </c>
      <c r="E941" s="21" t="s">
        <v>11822</v>
      </c>
      <c r="F941" s="21" t="s">
        <v>12</v>
      </c>
      <c r="G941" s="21" t="s">
        <v>178</v>
      </c>
      <c r="H941" s="21" t="str">
        <f>IF(LEFT(I941,4)="JK13","PULWAMA",IF(LEFT(I941,4)="JK01","SRINAGAR",IF(LEFT(I941,4)="JK04","BUDGAM",IF(LEFT(I941,4)="JK03","ANANTNAG",IF(LEFT(I941,4)="LA01","KARGIL",IF(LEFT(I941,4)="JK05","BARAMULLA",IF(LEFT(I941,4)="26BH","BHARAT",IF(LEFT(I941,4)="25BH","BHARAT",IF(LEFT(I941,4)="JK12","POONCH",IF(LEFT(I941,4)="JK16","GANDERBAL",IF(LEFT(I941,4)="JK18","KULGAM",IF(LEFT(I941,4)="JK22","SHOPIAN",IF(LEFT(I941,4)="JK02","JAMMU",IF(LEFT(I941,4)="JK09","KUPWARA",IF(LEFT(I941,4)="JK15","BANDIPORA",IF(LEFT(I941,4)="JK17","KISHTWAR",IF(LEFT(I941,4)="LA01","KARGIL",IF(LEFT(I941,1)="T","TEMP","NEW"))))))))))))))))))</f>
        <v>SRINAGAR</v>
      </c>
      <c r="I941" s="21" t="s">
        <v>11827</v>
      </c>
      <c r="J941" s="22">
        <v>46212</v>
      </c>
      <c r="K941" s="21">
        <v>8825088209</v>
      </c>
      <c r="L941" s="21" t="s">
        <v>6446</v>
      </c>
      <c r="M941" s="23"/>
      <c r="N941" s="22"/>
      <c r="O941" s="21"/>
      <c r="P941" s="24"/>
      <c r="Q941" s="21"/>
      <c r="R941" s="21"/>
    </row>
    <row r="942" spans="1:18" x14ac:dyDescent="0.25">
      <c r="A942" s="21">
        <f t="shared" si="33"/>
        <v>941</v>
      </c>
      <c r="B942" s="21" t="s">
        <v>11818</v>
      </c>
      <c r="C942" s="21" t="s">
        <v>11815</v>
      </c>
      <c r="D942" s="21" t="s">
        <v>11816</v>
      </c>
      <c r="E942" s="21" t="s">
        <v>11817</v>
      </c>
      <c r="F942" s="21" t="s">
        <v>234</v>
      </c>
      <c r="G942" s="21" t="s">
        <v>6469</v>
      </c>
      <c r="H942" s="21" t="str">
        <f t="shared" si="39"/>
        <v>GANDERBAL</v>
      </c>
      <c r="I942" s="51" t="s">
        <v>11828</v>
      </c>
      <c r="J942" s="22">
        <v>46212</v>
      </c>
      <c r="K942" s="21">
        <v>7006756798</v>
      </c>
      <c r="L942" s="21" t="s">
        <v>6823</v>
      </c>
      <c r="M942" s="23" t="s">
        <v>6823</v>
      </c>
      <c r="N942" s="22">
        <v>46213</v>
      </c>
      <c r="O942" s="21" t="s">
        <v>23</v>
      </c>
      <c r="P942" s="22">
        <v>46212</v>
      </c>
      <c r="Q942" s="21" t="s">
        <v>6454</v>
      </c>
      <c r="R942" s="21"/>
    </row>
    <row r="943" spans="1:18" x14ac:dyDescent="0.25">
      <c r="A943" s="21">
        <f t="shared" si="33"/>
        <v>942</v>
      </c>
      <c r="B943" s="21" t="s">
        <v>11826</v>
      </c>
      <c r="C943" s="21" t="s">
        <v>11824</v>
      </c>
      <c r="D943" s="21" t="s">
        <v>11825</v>
      </c>
      <c r="E943" s="21" t="s">
        <v>11823</v>
      </c>
      <c r="F943" s="21" t="s">
        <v>98</v>
      </c>
      <c r="G943" s="21" t="s">
        <v>171</v>
      </c>
      <c r="H943" s="21" t="str">
        <f t="shared" si="39"/>
        <v>BUDGAM</v>
      </c>
      <c r="I943" s="51" t="s">
        <v>11829</v>
      </c>
      <c r="J943" s="22">
        <v>46212</v>
      </c>
      <c r="K943" s="21">
        <v>9541461005</v>
      </c>
      <c r="L943" s="21" t="s">
        <v>11309</v>
      </c>
      <c r="M943" s="23"/>
      <c r="N943" s="22"/>
      <c r="O943" s="21" t="s">
        <v>23</v>
      </c>
      <c r="P943" s="22">
        <v>46212</v>
      </c>
      <c r="Q943" s="21" t="s">
        <v>6454</v>
      </c>
      <c r="R943" s="21"/>
    </row>
    <row r="944" spans="1:18" x14ac:dyDescent="0.25">
      <c r="A944" s="21">
        <f t="shared" si="33"/>
        <v>943</v>
      </c>
      <c r="B944" s="21"/>
      <c r="C944" s="21"/>
      <c r="D944" s="21"/>
      <c r="E944" s="21"/>
      <c r="F944" s="21"/>
      <c r="G944" s="21"/>
      <c r="H944" s="21" t="str">
        <f t="shared" si="39"/>
        <v>NEW</v>
      </c>
      <c r="I944" s="21"/>
      <c r="J944" s="22"/>
      <c r="K944" s="21"/>
      <c r="L944" s="21"/>
      <c r="M944" s="23"/>
      <c r="N944" s="22"/>
      <c r="O944" s="21"/>
      <c r="P944" s="24"/>
      <c r="Q944" s="21"/>
      <c r="R944" s="21"/>
    </row>
    <row r="945" spans="1:18" x14ac:dyDescent="0.25">
      <c r="A945" s="21">
        <f t="shared" si="33"/>
        <v>944</v>
      </c>
      <c r="B945" s="56"/>
      <c r="C945" s="56"/>
      <c r="D945" s="56"/>
      <c r="E945" s="56"/>
      <c r="F945" s="56"/>
      <c r="G945" s="56"/>
      <c r="H945" s="57" t="str">
        <f t="shared" ref="H945:H948" si="40">IF(LEFT(I945,4)="JK13","PULWAMA",IF(LEFT(I945,4)="JK01","SRINAGAR",IF(LEFT(I945,4)="JK04","BUDGAM",IF(LEFT(I945,4)="JK03","ANANTNAG",IF(LEFT(I945,4)="LA01","KARGIL",IF(LEFT(I945,4)="JK05","BARAMULLA",IF(LEFT(I945,4)="26BH","BHARAT",IF(LEFT(I945,4)="25BH","BHARAT",IF(LEFT(I945,4)="JK12","POONCH",IF(LEFT(I945,4)="JK16","GANDERBAL",IF(LEFT(I945,4)="JK18","KULGAM",IF(LEFT(I945,4)="JK22","SHOPIAN",IF(LEFT(I945,4)="JK02","JAMMU",IF(LEFT(I945,4)="JK09","KUPWARA",IF(LEFT(I945,4)="JK15","BANDIPORA",IF(LEFT(I945,4)="JK17","KISHTWAR",IF(LEFT(I945,4)="LA01","KARGIL",IF(LEFT(I945,1)="T","TEMP","NEW"))))))))))))))))))</f>
        <v>NEW</v>
      </c>
      <c r="I945" s="56"/>
      <c r="J945" s="58"/>
      <c r="K945" s="59"/>
      <c r="L945" s="56"/>
      <c r="M945" s="60"/>
      <c r="N945" s="58"/>
      <c r="O945" s="56"/>
      <c r="P945" s="61"/>
      <c r="Q945" s="56"/>
      <c r="R945" s="56"/>
    </row>
    <row r="946" spans="1:18" x14ac:dyDescent="0.25">
      <c r="A946" s="21">
        <f t="shared" si="33"/>
        <v>945</v>
      </c>
      <c r="B946" s="56"/>
      <c r="C946" s="56"/>
      <c r="D946" s="56"/>
      <c r="E946" s="56"/>
      <c r="F946" s="56"/>
      <c r="G946" s="56"/>
      <c r="H946" s="57" t="str">
        <f t="shared" si="40"/>
        <v>NEW</v>
      </c>
      <c r="I946" s="56"/>
      <c r="J946" s="58"/>
      <c r="K946" s="59"/>
      <c r="L946" s="56"/>
      <c r="M946" s="60"/>
      <c r="N946" s="58"/>
      <c r="O946" s="56"/>
      <c r="P946" s="61"/>
      <c r="Q946" s="56"/>
      <c r="R946" s="56"/>
    </row>
    <row r="947" spans="1:18" x14ac:dyDescent="0.25">
      <c r="A947" s="21">
        <f t="shared" si="33"/>
        <v>946</v>
      </c>
      <c r="B947" s="56"/>
      <c r="C947" s="56"/>
      <c r="D947" s="56"/>
      <c r="E947" s="56"/>
      <c r="F947" s="56"/>
      <c r="G947" s="56"/>
      <c r="H947" s="57" t="str">
        <f t="shared" si="40"/>
        <v>NEW</v>
      </c>
      <c r="I947" s="56"/>
      <c r="J947" s="58"/>
      <c r="K947" s="59"/>
      <c r="L947" s="56"/>
      <c r="M947" s="60"/>
      <c r="N947" s="58"/>
      <c r="O947" s="56"/>
      <c r="P947" s="61"/>
      <c r="Q947" s="56"/>
      <c r="R947" s="56"/>
    </row>
    <row r="948" spans="1:18" x14ac:dyDescent="0.25">
      <c r="A948" s="21">
        <f t="shared" si="33"/>
        <v>947</v>
      </c>
      <c r="B948" s="56"/>
      <c r="C948" s="56"/>
      <c r="D948" s="56"/>
      <c r="E948" s="56"/>
      <c r="F948" s="56"/>
      <c r="G948" s="56"/>
      <c r="H948" s="57" t="str">
        <f t="shared" si="40"/>
        <v>NEW</v>
      </c>
      <c r="I948" s="56"/>
      <c r="J948" s="58"/>
      <c r="K948" s="59"/>
      <c r="L948" s="56"/>
      <c r="M948" s="60"/>
      <c r="N948" s="58"/>
      <c r="O948" s="56"/>
      <c r="P948" s="61"/>
      <c r="Q948" s="56"/>
      <c r="R948" s="56"/>
    </row>
    <row r="949" spans="1:18" ht="15.75" x14ac:dyDescent="0.25">
      <c r="A949" s="21"/>
      <c r="B949" s="21"/>
      <c r="C949" s="21"/>
      <c r="D949" s="21"/>
      <c r="E949" s="21"/>
      <c r="F949" s="21"/>
      <c r="G949" s="21"/>
      <c r="H949" s="21"/>
      <c r="I949" s="21"/>
      <c r="J949" s="12"/>
      <c r="K949" s="21"/>
      <c r="L949" s="21"/>
      <c r="M949" t="s">
        <v>43</v>
      </c>
    </row>
    <row r="950" spans="1:18" ht="15.75" x14ac:dyDescent="0.25">
      <c r="A950" s="21"/>
      <c r="B950" s="21"/>
      <c r="C950" s="21"/>
      <c r="D950" s="21"/>
      <c r="E950" s="21"/>
      <c r="F950" s="21"/>
      <c r="G950" s="21"/>
      <c r="H950" s="1"/>
      <c r="I950" s="13"/>
      <c r="K950" s="21"/>
      <c r="L950" s="21"/>
    </row>
    <row r="951" spans="1:18" x14ac:dyDescent="0.25">
      <c r="K951" s="21"/>
    </row>
    <row r="952" spans="1:18" x14ac:dyDescent="0.25">
      <c r="K952" s="21"/>
    </row>
    <row r="953" spans="1:18" x14ac:dyDescent="0.25">
      <c r="K953" s="21"/>
    </row>
    <row r="954" spans="1:18" x14ac:dyDescent="0.25">
      <c r="K954" s="21"/>
    </row>
    <row r="955" spans="1:18" x14ac:dyDescent="0.25">
      <c r="K955" s="21"/>
    </row>
    <row r="957" spans="1:18" x14ac:dyDescent="0.25">
      <c r="K957" s="21"/>
    </row>
    <row r="958" spans="1:18" x14ac:dyDescent="0.25">
      <c r="K958" s="21"/>
    </row>
    <row r="959" spans="1:18" x14ac:dyDescent="0.25">
      <c r="K959" s="21"/>
    </row>
    <row r="960" spans="1:18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x14ac:dyDescent="0.25">
      <c r="K1017" s="21"/>
    </row>
    <row r="1018" spans="11:11" x14ac:dyDescent="0.25">
      <c r="K1018" s="21"/>
    </row>
    <row r="1019" spans="11:11" x14ac:dyDescent="0.25">
      <c r="K1019" s="21"/>
    </row>
    <row r="1020" spans="11:11" x14ac:dyDescent="0.25">
      <c r="K1020" s="21"/>
    </row>
    <row r="1021" spans="11:11" x14ac:dyDescent="0.25">
      <c r="K1021" s="21"/>
    </row>
    <row r="1022" spans="11:11" x14ac:dyDescent="0.25">
      <c r="K1022" s="21"/>
    </row>
    <row r="1023" spans="11:11" x14ac:dyDescent="0.25">
      <c r="K1023" s="21"/>
    </row>
    <row r="1024" spans="11:11" x14ac:dyDescent="0.25">
      <c r="K1024" s="21"/>
    </row>
    <row r="1025" spans="11:11" x14ac:dyDescent="0.25">
      <c r="K1025" s="21"/>
    </row>
    <row r="1026" spans="11:11" x14ac:dyDescent="0.25">
      <c r="K1026" s="21"/>
    </row>
    <row r="1027" spans="11:11" x14ac:dyDescent="0.25">
      <c r="K1027" s="21"/>
    </row>
    <row r="1028" spans="11:11" x14ac:dyDescent="0.25">
      <c r="K1028" s="21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x14ac:dyDescent="0.25">
      <c r="K1078" s="20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1 H900:H901 H902:I904 H905:J906 H907:R907 A907:G915 G908:H908 J908:J909 M908:N909 O908:R910 H909:H910 J910:N910 H911:K911 K911:R924 J912:K912 H912:I915 J913:J917 B915:G942 P915:P942 A916:I917 H918:J918 A918:A942 G919:K919 H920:J920 I920:I928 H921 J921 H922:K923 G924:H924 J924:K927 H925:H928 J928 K928:K942 H929:J931 I930:I933 G932:H932 J932:J933 H933 H934:J941 H941:R941 H942 J942:K943 A943:H943 L949:L950 L925:R943 A944:R948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72:G772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43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49:I949 K949:K955 A950:G950 K957:K1028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49:O950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49:Q950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18"/>
  <sheetViews>
    <sheetView workbookViewId="0">
      <selection activeCell="J22" sqref="J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20.140625" style="36" customWidth="1"/>
    <col min="10" max="10" width="37" style="36" customWidth="1"/>
    <col min="11" max="16384" width="8.140625" style="36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11805</v>
      </c>
      <c r="J2" s="36" t="s">
        <v>9576</v>
      </c>
    </row>
    <row r="3" spans="1:10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/>
      <c r="J3" s="21" t="s">
        <v>9578</v>
      </c>
    </row>
    <row r="4" spans="1:10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/>
      <c r="J4" s="21" t="s">
        <v>9578</v>
      </c>
    </row>
    <row r="5" spans="1:10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/>
      <c r="J5" s="21" t="s">
        <v>9578</v>
      </c>
    </row>
    <row r="6" spans="1:10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/>
      <c r="J6" s="21" t="s">
        <v>9578</v>
      </c>
    </row>
    <row r="7" spans="1:10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  <c r="J7" s="21"/>
    </row>
    <row r="8" spans="1:10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11416</v>
      </c>
      <c r="F8" s="49">
        <v>617194917012</v>
      </c>
      <c r="G8" s="25">
        <v>46193</v>
      </c>
      <c r="H8" s="21">
        <v>280</v>
      </c>
      <c r="I8" s="21"/>
      <c r="J8" s="21" t="s">
        <v>11328</v>
      </c>
    </row>
    <row r="9" spans="1:10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11416</v>
      </c>
      <c r="F9" s="49">
        <v>617194917012</v>
      </c>
      <c r="G9" s="25">
        <v>46193</v>
      </c>
      <c r="H9" s="21">
        <v>543</v>
      </c>
      <c r="I9" s="21"/>
      <c r="J9" s="21" t="s">
        <v>11328</v>
      </c>
    </row>
    <row r="10" spans="1:10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11416</v>
      </c>
      <c r="F10" s="49">
        <v>617194917012</v>
      </c>
      <c r="G10" s="25">
        <v>46193</v>
      </c>
      <c r="H10" s="21">
        <v>543</v>
      </c>
      <c r="I10" s="21"/>
      <c r="J10" s="21" t="s">
        <v>11328</v>
      </c>
    </row>
    <row r="11" spans="1:10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11416</v>
      </c>
      <c r="F11" s="49">
        <v>617194917012</v>
      </c>
      <c r="G11" s="25">
        <v>46193</v>
      </c>
      <c r="H11" s="21">
        <v>543</v>
      </c>
      <c r="I11" s="21"/>
      <c r="J11" s="21" t="s">
        <v>11328</v>
      </c>
    </row>
    <row r="12" spans="1:10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11416</v>
      </c>
      <c r="F12" s="49">
        <v>617194917012</v>
      </c>
      <c r="G12" s="25">
        <v>46193</v>
      </c>
      <c r="H12" s="21">
        <v>543</v>
      </c>
      <c r="I12" s="21"/>
      <c r="J12" s="21" t="s">
        <v>11328</v>
      </c>
    </row>
    <row r="13" spans="1:10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11416</v>
      </c>
      <c r="F13" s="49">
        <v>617194917012</v>
      </c>
      <c r="G13" s="25">
        <v>46193</v>
      </c>
      <c r="H13" s="21">
        <v>280</v>
      </c>
      <c r="I13" s="21"/>
      <c r="J13" s="21" t="s">
        <v>11328</v>
      </c>
    </row>
    <row r="14" spans="1:10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11416</v>
      </c>
      <c r="F14" s="49">
        <v>617194917012</v>
      </c>
      <c r="G14" s="25">
        <v>46193</v>
      </c>
      <c r="H14" s="21">
        <v>543</v>
      </c>
      <c r="I14" s="21"/>
      <c r="J14" s="21" t="s">
        <v>11328</v>
      </c>
    </row>
    <row r="15" spans="1:10" x14ac:dyDescent="0.25">
      <c r="A15" s="21">
        <f t="shared" si="0"/>
        <v>13</v>
      </c>
      <c r="B15" s="25">
        <v>46191</v>
      </c>
      <c r="C15" s="21" t="s">
        <v>11332</v>
      </c>
      <c r="D15" s="21" t="s">
        <v>337</v>
      </c>
      <c r="E15" s="21" t="s">
        <v>11416</v>
      </c>
      <c r="F15" s="49">
        <v>617194917012</v>
      </c>
      <c r="G15" s="25">
        <v>46193</v>
      </c>
      <c r="H15" s="21">
        <v>543</v>
      </c>
      <c r="I15" s="21"/>
      <c r="J15" s="21" t="s">
        <v>11328</v>
      </c>
    </row>
    <row r="16" spans="1:10" x14ac:dyDescent="0.25">
      <c r="A16" s="21">
        <f>ROW()-2</f>
        <v>14</v>
      </c>
      <c r="B16" s="25">
        <v>46211</v>
      </c>
      <c r="C16" s="21" t="s">
        <v>11802</v>
      </c>
      <c r="D16" s="21" t="s">
        <v>11803</v>
      </c>
      <c r="E16" s="21" t="s">
        <v>9923</v>
      </c>
      <c r="F16" s="49">
        <v>618929352992</v>
      </c>
      <c r="G16" s="25">
        <v>46211</v>
      </c>
      <c r="H16" s="21">
        <v>280</v>
      </c>
      <c r="I16" s="21" t="s">
        <v>11806</v>
      </c>
      <c r="J16" s="21" t="s">
        <v>9578</v>
      </c>
    </row>
    <row r="17" spans="1:10" x14ac:dyDescent="0.25">
      <c r="A17" s="21">
        <f>ROW()-2</f>
        <v>15</v>
      </c>
      <c r="B17" s="21"/>
      <c r="C17" s="21"/>
      <c r="D17" s="21"/>
      <c r="E17" s="21"/>
      <c r="F17" s="49"/>
      <c r="G17" s="21"/>
      <c r="H17" s="21"/>
      <c r="I17" s="21"/>
      <c r="J17" s="21"/>
    </row>
    <row r="18" spans="1:10" x14ac:dyDescent="0.25">
      <c r="A18" s="21">
        <f>ROW()-2</f>
        <v>16</v>
      </c>
      <c r="B18" s="21"/>
      <c r="C18" s="21"/>
      <c r="D18" s="21"/>
      <c r="E18" s="21"/>
      <c r="F18" s="21"/>
      <c r="G18" s="21"/>
      <c r="H18" s="21"/>
      <c r="I18" s="21"/>
      <c r="J18" s="21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44"/>
  <sheetViews>
    <sheetView topLeftCell="A630" zoomScaleNormal="100" workbookViewId="0">
      <selection activeCell="A638" sqref="A638:A64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11339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11361</v>
      </c>
      <c r="C573" s="21">
        <v>9149654809</v>
      </c>
      <c r="D573" s="21" t="s">
        <v>11395</v>
      </c>
      <c r="E573" s="21" t="s">
        <v>11367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11366</v>
      </c>
      <c r="C574" s="21">
        <v>6006939791</v>
      </c>
      <c r="D574" s="21" t="s">
        <v>11396</v>
      </c>
      <c r="E574" s="21" t="s">
        <v>11368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11358</v>
      </c>
      <c r="C575" s="21">
        <v>9811039202</v>
      </c>
      <c r="D575" s="21" t="s">
        <v>11397</v>
      </c>
      <c r="E575" s="21" t="s">
        <v>11369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11343</v>
      </c>
      <c r="C576" s="21">
        <v>8082196159</v>
      </c>
      <c r="D576" s="21" t="s">
        <v>11399</v>
      </c>
      <c r="E576" s="21" t="s">
        <v>11345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11405</v>
      </c>
      <c r="C577" s="21">
        <v>6005461613</v>
      </c>
      <c r="D577" s="21" t="s">
        <v>11406</v>
      </c>
      <c r="E577" s="21" t="s">
        <v>11370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11408</v>
      </c>
      <c r="C578" s="21">
        <v>7006079082</v>
      </c>
      <c r="D578" s="21" t="s">
        <v>11409</v>
      </c>
      <c r="E578" s="21" t="s">
        <v>11379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11383</v>
      </c>
      <c r="C579" s="21">
        <v>9469765393</v>
      </c>
      <c r="D579" s="21" t="s">
        <v>11415</v>
      </c>
      <c r="E579" s="21" t="s">
        <v>11385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11413</v>
      </c>
      <c r="C580" s="21">
        <v>8899566980</v>
      </c>
      <c r="D580" s="21" t="s">
        <v>11417</v>
      </c>
      <c r="E580" s="21" t="s">
        <v>11414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11418</v>
      </c>
      <c r="C581" s="21">
        <v>7006789699</v>
      </c>
      <c r="D581" s="21" t="s">
        <v>11419</v>
      </c>
      <c r="E581" s="21" t="s">
        <v>11407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11394</v>
      </c>
      <c r="C582" s="21">
        <v>9622847452</v>
      </c>
      <c r="D582" s="21" t="s">
        <v>11421</v>
      </c>
      <c r="E582" s="21" t="s">
        <v>11398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11427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43" si="9">ROW()-2</f>
        <v>582</v>
      </c>
      <c r="B584" s="21" t="s">
        <v>11337</v>
      </c>
      <c r="C584" s="21">
        <v>9718916222</v>
      </c>
      <c r="D584" s="21" t="s">
        <v>11455</v>
      </c>
      <c r="E584" s="21" t="s">
        <v>11338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11456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11466</v>
      </c>
      <c r="C586" s="21">
        <v>7006467400</v>
      </c>
      <c r="D586" s="21" t="s">
        <v>11482</v>
      </c>
      <c r="E586" s="21" t="s">
        <v>11468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11449</v>
      </c>
      <c r="C587" s="21">
        <v>9797131308</v>
      </c>
      <c r="D587" s="21" t="s">
        <v>11483</v>
      </c>
      <c r="E587" s="21" t="s">
        <v>11451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11460</v>
      </c>
      <c r="C588" s="21">
        <v>9906377896</v>
      </c>
      <c r="D588" s="21" t="s">
        <v>11484</v>
      </c>
      <c r="E588" s="21" t="s">
        <v>11461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11445</v>
      </c>
      <c r="C589" s="21">
        <v>9622600868</v>
      </c>
      <c r="D589" s="21" t="s">
        <v>11485</v>
      </c>
      <c r="E589" s="21" t="s">
        <v>11452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11497</v>
      </c>
      <c r="E590" s="21" t="s">
        <v>11498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11476</v>
      </c>
      <c r="C591" s="21">
        <v>8899528913</v>
      </c>
      <c r="D591" s="21" t="s">
        <v>11514</v>
      </c>
      <c r="E591" s="21" t="s">
        <v>11486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11480</v>
      </c>
      <c r="C592" s="21">
        <v>7006231817</v>
      </c>
      <c r="D592" s="21" t="s">
        <v>11516</v>
      </c>
      <c r="E592" s="21" t="s">
        <v>11487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11495</v>
      </c>
      <c r="C593" s="21">
        <v>9419093820</v>
      </c>
      <c r="D593" s="21" t="s">
        <v>11517</v>
      </c>
      <c r="E593" s="21" t="s">
        <v>11500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11518</v>
      </c>
      <c r="E594" s="21" t="s">
        <v>11509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11506</v>
      </c>
      <c r="C595" s="21">
        <v>9622701314</v>
      </c>
      <c r="D595" s="21" t="s">
        <v>11519</v>
      </c>
      <c r="E595" s="21" t="s">
        <v>11510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11492</v>
      </c>
      <c r="C596" s="21">
        <v>9622647542</v>
      </c>
      <c r="D596" s="21" t="s">
        <v>11521</v>
      </c>
      <c r="E596" s="21" t="s">
        <v>11501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11472</v>
      </c>
      <c r="C597" s="21">
        <v>7889705631</v>
      </c>
      <c r="D597" s="21" t="s">
        <v>11522</v>
      </c>
      <c r="E597" s="21" t="s">
        <v>11488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11529</v>
      </c>
      <c r="C598" s="21">
        <v>6006350073</v>
      </c>
      <c r="D598" s="21" t="s">
        <v>11556</v>
      </c>
      <c r="E598" s="21" t="s">
        <v>11528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11535</v>
      </c>
      <c r="C599" s="21">
        <v>8899098549</v>
      </c>
      <c r="D599" s="21" t="s">
        <v>11569</v>
      </c>
      <c r="E599" s="21" t="s">
        <v>11537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11570</v>
      </c>
      <c r="C600" s="21">
        <v>7006246665</v>
      </c>
      <c r="D600" s="21" t="s">
        <v>11571</v>
      </c>
      <c r="E600" s="21" t="s">
        <v>11520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11583</v>
      </c>
      <c r="E601" s="21" t="s">
        <v>11565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11575</v>
      </c>
      <c r="C602" s="21">
        <v>9622773989</v>
      </c>
      <c r="D602" s="21" t="s">
        <v>11584</v>
      </c>
      <c r="E602" s="21" t="s">
        <v>11580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11589</v>
      </c>
      <c r="C603" s="21">
        <v>6006567480</v>
      </c>
      <c r="D603" s="21" t="s">
        <v>11590</v>
      </c>
      <c r="E603" s="21" t="s">
        <v>11591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11578</v>
      </c>
      <c r="C604" s="21">
        <v>7006560058</v>
      </c>
      <c r="D604" s="21" t="s">
        <v>11592</v>
      </c>
      <c r="E604" s="21" t="s">
        <v>11581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11605</v>
      </c>
      <c r="C605" s="21">
        <v>8082780835</v>
      </c>
      <c r="D605" s="21" t="s">
        <v>11616</v>
      </c>
      <c r="E605" s="21" t="s">
        <v>11607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11600</v>
      </c>
      <c r="C606" s="21">
        <v>7006438844</v>
      </c>
      <c r="D606" s="21" t="s">
        <v>11617</v>
      </c>
      <c r="E606" s="21" t="s">
        <v>11608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11596</v>
      </c>
      <c r="C607" s="21">
        <v>9086419987</v>
      </c>
      <c r="D607" s="21" t="s">
        <v>11618</v>
      </c>
      <c r="E607" s="21" t="s">
        <v>11597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11196</v>
      </c>
      <c r="C608" s="12">
        <v>7006588862</v>
      </c>
      <c r="D608" s="12" t="s">
        <v>11619</v>
      </c>
      <c r="E608" s="12" t="s">
        <v>11615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11031</v>
      </c>
      <c r="C609" s="12">
        <v>9682138541</v>
      </c>
      <c r="D609" s="12" t="s">
        <v>11620</v>
      </c>
      <c r="E609" s="12" t="s">
        <v>11033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7006172661</v>
      </c>
      <c r="D610" s="12" t="s">
        <v>11621</v>
      </c>
      <c r="E610" s="12" t="s">
        <v>10749</v>
      </c>
      <c r="F610" s="14">
        <v>46203</v>
      </c>
      <c r="G610" s="14" t="s">
        <v>337</v>
      </c>
      <c r="H610" s="12"/>
    </row>
    <row r="611" spans="1:8" ht="15.75" x14ac:dyDescent="0.25">
      <c r="A611" s="12">
        <f t="shared" si="9"/>
        <v>609</v>
      </c>
      <c r="B611" s="12" t="s">
        <v>11682</v>
      </c>
      <c r="C611" s="12">
        <v>7006713773</v>
      </c>
      <c r="D611" s="12" t="s">
        <v>11656</v>
      </c>
      <c r="E611" s="12" t="s">
        <v>11645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11626</v>
      </c>
      <c r="C612" s="12">
        <v>9596170967</v>
      </c>
      <c r="D612" s="12" t="s">
        <v>11659</v>
      </c>
      <c r="E612" s="12" t="s">
        <v>11643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11625</v>
      </c>
      <c r="C613" s="12">
        <v>7780830410</v>
      </c>
      <c r="D613" s="12" t="s">
        <v>11660</v>
      </c>
      <c r="E613" s="12" t="s">
        <v>11644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11539</v>
      </c>
      <c r="C614" s="12">
        <v>7006598384</v>
      </c>
      <c r="D614" s="12" t="s">
        <v>11662</v>
      </c>
      <c r="E614" s="12" t="s">
        <v>11538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11664</v>
      </c>
      <c r="C615" s="12">
        <v>7006125015</v>
      </c>
      <c r="D615" s="12" t="s">
        <v>11663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11642</v>
      </c>
      <c r="C616" s="12">
        <v>8899111905</v>
      </c>
      <c r="D616" s="12" t="s">
        <v>11665</v>
      </c>
      <c r="E616" s="12" t="s">
        <v>11646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11669</v>
      </c>
      <c r="C617" s="12">
        <v>6006239704</v>
      </c>
      <c r="D617" s="12" t="s">
        <v>11676</v>
      </c>
      <c r="E617" s="12" t="s">
        <v>11670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11651</v>
      </c>
      <c r="C618" s="12">
        <v>7889749147</v>
      </c>
      <c r="D618" s="12" t="s">
        <v>11689</v>
      </c>
      <c r="E618" s="12" t="s">
        <v>11658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11686</v>
      </c>
      <c r="C619" s="12">
        <v>9906667265</v>
      </c>
      <c r="D619" s="12" t="s">
        <v>11690</v>
      </c>
      <c r="E619" s="12" t="s">
        <v>11687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11691</v>
      </c>
      <c r="C620" s="12">
        <v>6005335080</v>
      </c>
      <c r="D620" s="12" t="s">
        <v>11692</v>
      </c>
      <c r="E620" s="12" t="s">
        <v>11609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11679</v>
      </c>
      <c r="C621" s="12">
        <v>9596080368</v>
      </c>
      <c r="D621" s="12" t="s">
        <v>11713</v>
      </c>
      <c r="E621" s="12" t="s">
        <v>11680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11442</v>
      </c>
      <c r="C622" s="12">
        <v>9149740071</v>
      </c>
      <c r="D622" s="12" t="s">
        <v>11714</v>
      </c>
      <c r="E622" s="12" t="s">
        <v>11453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11715</v>
      </c>
      <c r="C623" s="12">
        <v>6005807002</v>
      </c>
      <c r="D623" s="12" t="s">
        <v>11716</v>
      </c>
      <c r="E623" s="12" t="s">
        <v>11699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11717</v>
      </c>
      <c r="C624" s="12">
        <v>7006247464</v>
      </c>
      <c r="D624" s="12" t="s">
        <v>11718</v>
      </c>
      <c r="E624" s="12" t="s">
        <v>11719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11730</v>
      </c>
      <c r="C625" s="12">
        <v>9086494459</v>
      </c>
      <c r="D625" s="12" t="s">
        <v>11744</v>
      </c>
      <c r="E625" s="12" t="s">
        <v>11733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11727</v>
      </c>
      <c r="C626" s="12">
        <v>6006424311</v>
      </c>
      <c r="D626" s="12" t="s">
        <v>11745</v>
      </c>
      <c r="E626" s="12" t="s">
        <v>11734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11612</v>
      </c>
      <c r="C627" s="12">
        <v>9599281803</v>
      </c>
      <c r="D627" s="12" t="s">
        <v>11746</v>
      </c>
      <c r="E627" s="12" t="s">
        <v>11630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11738</v>
      </c>
      <c r="C628" s="12">
        <v>7006421617</v>
      </c>
      <c r="D628" s="12" t="s">
        <v>11749</v>
      </c>
      <c r="E628" s="12" t="s">
        <v>11747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11754</v>
      </c>
      <c r="C629" s="12">
        <v>7006171701</v>
      </c>
      <c r="D629" s="12" t="s">
        <v>11755</v>
      </c>
      <c r="E629" s="12" t="s">
        <v>11720</v>
      </c>
      <c r="F629" s="14">
        <v>46209</v>
      </c>
      <c r="G629" s="14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11782</v>
      </c>
      <c r="E630" s="12" t="s">
        <v>11769</v>
      </c>
      <c r="F630" s="14">
        <v>46210</v>
      </c>
      <c r="G630" s="14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11783</v>
      </c>
      <c r="E631" s="12" t="s">
        <v>11768</v>
      </c>
      <c r="F631" s="14">
        <v>46210</v>
      </c>
      <c r="G631" s="14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11752</v>
      </c>
      <c r="C632" s="12">
        <v>9682595915</v>
      </c>
      <c r="D632" s="12" t="s">
        <v>11789</v>
      </c>
      <c r="E632" s="12" t="s">
        <v>11756</v>
      </c>
      <c r="F632" s="14">
        <v>46210</v>
      </c>
      <c r="G632" s="14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11787</v>
      </c>
      <c r="C633" s="12">
        <v>9596033371</v>
      </c>
      <c r="D633" s="12" t="s">
        <v>11790</v>
      </c>
      <c r="E633" s="12" t="s">
        <v>11788</v>
      </c>
      <c r="F633" s="14">
        <v>46210</v>
      </c>
      <c r="G633" s="14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11811</v>
      </c>
      <c r="C634" s="12">
        <v>7889410452</v>
      </c>
      <c r="D634" s="12" t="s">
        <v>11812</v>
      </c>
      <c r="E634" s="12" t="s">
        <v>11800</v>
      </c>
      <c r="F634" s="14">
        <v>46213</v>
      </c>
      <c r="G634" s="14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11799</v>
      </c>
      <c r="C635" s="12">
        <v>8803723191</v>
      </c>
      <c r="D635" s="12" t="s">
        <v>11813</v>
      </c>
      <c r="E635" s="12" t="s">
        <v>11801</v>
      </c>
      <c r="F635" s="14">
        <v>46212</v>
      </c>
      <c r="G635" s="14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11817</v>
      </c>
      <c r="C636" s="12">
        <v>7006756798</v>
      </c>
      <c r="D636" s="12" t="s">
        <v>11830</v>
      </c>
      <c r="E636" s="12" t="s">
        <v>11828</v>
      </c>
      <c r="F636" s="14">
        <v>46213</v>
      </c>
      <c r="G636" s="14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11832</v>
      </c>
      <c r="C637" s="12">
        <v>9541461005</v>
      </c>
      <c r="D637" s="12" t="s">
        <v>11831</v>
      </c>
      <c r="E637" s="12" t="s">
        <v>11829</v>
      </c>
      <c r="F637" s="14">
        <v>46213</v>
      </c>
      <c r="G637" s="14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/>
      <c r="C638" s="12"/>
      <c r="D638" s="12"/>
      <c r="E638" s="12"/>
      <c r="F638" s="14"/>
      <c r="G638" s="14"/>
      <c r="H638" s="12"/>
    </row>
    <row r="639" spans="1:8" ht="15.75" x14ac:dyDescent="0.25">
      <c r="A639" s="12">
        <f t="shared" si="9"/>
        <v>637</v>
      </c>
      <c r="B639" s="12"/>
      <c r="C639" s="12"/>
      <c r="D639" s="12"/>
      <c r="E639" s="12"/>
      <c r="F639" s="14"/>
      <c r="G639" s="14"/>
      <c r="H639" s="12"/>
    </row>
    <row r="640" spans="1:8" ht="15.75" x14ac:dyDescent="0.25">
      <c r="A640" s="12">
        <f t="shared" si="9"/>
        <v>638</v>
      </c>
      <c r="B640" s="12"/>
      <c r="C640" s="12"/>
      <c r="D640" s="12"/>
      <c r="E640" s="12"/>
      <c r="F640" s="14"/>
      <c r="G640" s="14"/>
      <c r="H640" s="12"/>
    </row>
    <row r="641" spans="1:8" ht="15.75" x14ac:dyDescent="0.25">
      <c r="A641" s="12">
        <f t="shared" si="9"/>
        <v>639</v>
      </c>
      <c r="B641" s="12"/>
      <c r="C641" s="12"/>
      <c r="D641" s="12"/>
      <c r="E641" s="12"/>
      <c r="F641" s="14"/>
      <c r="G641" s="14"/>
      <c r="H641" s="12"/>
    </row>
    <row r="642" spans="1:8" ht="15.75" x14ac:dyDescent="0.25">
      <c r="A642" s="12">
        <f t="shared" si="9"/>
        <v>640</v>
      </c>
      <c r="B642" s="12"/>
      <c r="C642" s="12"/>
      <c r="D642" s="12"/>
      <c r="E642" s="12"/>
      <c r="F642" s="14"/>
      <c r="G642" s="14"/>
      <c r="H642" s="12"/>
    </row>
    <row r="643" spans="1:8" ht="15.75" x14ac:dyDescent="0.25">
      <c r="A643" s="12">
        <f t="shared" si="9"/>
        <v>641</v>
      </c>
      <c r="B643" s="12"/>
      <c r="C643" s="12"/>
      <c r="D643" s="12"/>
      <c r="E643" s="12"/>
      <c r="F643" s="14"/>
      <c r="G643" s="14"/>
      <c r="H643" s="12"/>
    </row>
    <row r="644" spans="1:8" ht="15.75" x14ac:dyDescent="0.25">
      <c r="C644" s="12"/>
    </row>
  </sheetData>
  <mergeCells count="1">
    <mergeCell ref="A1:H1"/>
  </mergeCells>
  <phoneticPr fontId="26" type="noConversion"/>
  <conditionalFormatting sqref="B568:E587 C586:E590 B588 B589:E595 E595:E597 B596:D597 B598:E609 D610 C638:C644">
    <cfRule type="expression" dxfId="1" priority="7">
      <formula>CELL("row")=ROW()</formula>
    </cfRule>
  </conditionalFormatting>
  <conditionalFormatting sqref="B612:E632 D635 B633:B634 D633:E634 C633:C637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10712</v>
      </c>
      <c r="B1" s="54"/>
      <c r="C1" s="42"/>
      <c r="D1" s="36"/>
    </row>
    <row r="2" spans="1:6" ht="23.25" x14ac:dyDescent="0.35">
      <c r="A2" s="55" t="s">
        <v>10713</v>
      </c>
      <c r="B2" s="55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2026-07-10T12:30:16Z</dcterms:modified>
</cp:coreProperties>
</file>