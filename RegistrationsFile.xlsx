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ABE30E0-2416-43F2-BD24-8DE2DFC91684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438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<sst xmlns="http://schemas.openxmlformats.org/spreadsheetml/2006/main" count="23194" uniqueCount="9156">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</sst>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30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3" dataDxfId="92">
  <autoFilter ref="A1:R553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8" dataDxfId="47">
  <autoFilter ref="A2:H305" xr:uid="{B21CDF53-EB04-406A-8D52-FCF5CCB609E9}"/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A505" zoomScaleNormal="100" workbookViewId="0">
      <selection activeCell="R514" sqref="R51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56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ref="A57:A120" si="2">ROW()-1</f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2"/>
        <v>57</v>
      </c>
      <c r="B58" s="43" t="s">
        <v>6422</v>
      </c>
      <c r="C58" s="43" t="s">
        <v>6424</v>
      </c>
      <c r="D58" s="43"/>
      <c r="E58" s="43" t="s">
        <v>6423</v>
      </c>
      <c r="F58" s="43" t="s">
        <v>5</v>
      </c>
      <c r="G58" s="43" t="s">
        <v>200</v>
      </c>
      <c r="H58" s="43" t="str">
        <f t="shared" si="1"/>
        <v>POONCH</v>
      </c>
      <c r="I58" s="43" t="s">
        <v>6427</v>
      </c>
      <c r="J58" s="44">
        <v>45973</v>
      </c>
      <c r="K58" s="43"/>
      <c r="L58" s="43" t="s">
        <v>6426</v>
      </c>
      <c r="M58" s="45" t="s">
        <v>6446</v>
      </c>
      <c r="N58" s="44">
        <v>45975</v>
      </c>
      <c r="O58" s="43" t="s">
        <v>23</v>
      </c>
      <c r="P58" s="46">
        <v>45976</v>
      </c>
      <c r="Q58" s="43"/>
      <c r="R58" s="43"/>
    </row>
    <row r="59" spans="1:18" x14ac:dyDescent="0.25">
      <c r="A59" s="43">
        <f t="shared" si="2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2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2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2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2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2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2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si="2"/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si="1"/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256</v>
      </c>
      <c r="C76" s="43" t="s">
        <v>257</v>
      </c>
      <c r="D76" s="43"/>
      <c r="E76" s="43" t="s">
        <v>258</v>
      </c>
      <c r="F76" s="43" t="s">
        <v>31</v>
      </c>
      <c r="G76" s="43" t="s">
        <v>174</v>
      </c>
      <c r="H76" s="43" t="str">
        <f t="shared" si="3"/>
        <v>POONCH</v>
      </c>
      <c r="I76" s="43" t="s">
        <v>259</v>
      </c>
      <c r="J76" s="44">
        <v>45968</v>
      </c>
      <c r="K76" s="43"/>
      <c r="L76" s="43"/>
      <c r="M76" s="45" t="s">
        <v>9093</v>
      </c>
      <c r="N76" s="44">
        <v>45983</v>
      </c>
      <c r="O76" s="43"/>
      <c r="P76" s="46"/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 t="s">
        <v>9092</v>
      </c>
      <c r="N87" s="44">
        <v>46008</v>
      </c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44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ref="A121:A184" si="4">ROW()-1</f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4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4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4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4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4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4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8960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4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4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si="4"/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si="3"/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ref="H131:H194" si="5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16","GANDERBAL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</f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ref="A185:A248" si="6">ROW()-1</f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6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6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6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6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6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6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6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6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si="6"/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si="5"/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ref="H195:H258" si="7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16","GANDERBAL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</f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 t="s">
        <v>9092</v>
      </c>
      <c r="N203" s="44">
        <v>46008</v>
      </c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GANDERBAL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ref="A249:A312" si="8">ROW()-1</f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8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8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 t="s">
        <v>8224</v>
      </c>
      <c r="N251" s="44">
        <v>46078</v>
      </c>
      <c r="O251" s="43"/>
      <c r="P251" s="46"/>
      <c r="Q251" s="43"/>
      <c r="R251" s="43"/>
    </row>
    <row r="252" spans="1:18" x14ac:dyDescent="0.25">
      <c r="A252" s="43">
        <f t="shared" si="8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8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8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8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8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8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8960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si="8"/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si="7"/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ref="H259:H322" si="9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16","GANDERBAL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</f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8960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>
        <v>46044</v>
      </c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ref="A313:A376" si="10">ROW()-1</f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10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10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10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10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10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10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8960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10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8960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10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si="10"/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si="9"/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ref="H323:H386" si="11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16","GANDERBAL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</f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8331</v>
      </c>
      <c r="C365" s="43" t="s">
        <v>8328</v>
      </c>
      <c r="D365" s="43" t="s">
        <v>8329</v>
      </c>
      <c r="E365" s="43" t="s">
        <v>8330</v>
      </c>
      <c r="F365" s="43" t="s">
        <v>31</v>
      </c>
      <c r="G365" s="43" t="s">
        <v>200</v>
      </c>
      <c r="H365" s="43" t="str">
        <f t="shared" si="11"/>
        <v>POONCH</v>
      </c>
      <c r="I365" s="43" t="s">
        <v>8348</v>
      </c>
      <c r="J365" s="44">
        <v>46043</v>
      </c>
      <c r="K365" s="43">
        <v>8899313265</v>
      </c>
      <c r="L365" s="43" t="s">
        <v>195</v>
      </c>
      <c r="M365" s="45" t="s">
        <v>8880</v>
      </c>
      <c r="N365" s="44">
        <v>46067</v>
      </c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ref="A377:A440" si="12">ROW()-1</f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2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2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2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2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2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2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2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2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si="12"/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si="11"/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ref="H387:H450" si="13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16","GANDERBAL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</f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8105</v>
      </c>
      <c r="C391" s="43" t="s">
        <v>8106</v>
      </c>
      <c r="D391" s="43" t="s">
        <v>8107</v>
      </c>
      <c r="E391" s="43" t="s">
        <v>2303</v>
      </c>
      <c r="F391" s="43" t="s">
        <v>31</v>
      </c>
      <c r="G391" s="43" t="s">
        <v>175</v>
      </c>
      <c r="H391" s="43" t="str">
        <f t="shared" si="13"/>
        <v>POONCH</v>
      </c>
      <c r="I391" s="43" t="s">
        <v>8113</v>
      </c>
      <c r="J391" s="44">
        <v>46028</v>
      </c>
      <c r="K391" s="43">
        <v>9797443009</v>
      </c>
      <c r="L391" s="43" t="s">
        <v>195</v>
      </c>
      <c r="M391" s="45" t="s">
        <v>8224</v>
      </c>
      <c r="N391" s="44">
        <v>46080</v>
      </c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 t="s">
        <v>8224</v>
      </c>
      <c r="N392" s="44">
        <v>46080</v>
      </c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 t="s">
        <v>9043</v>
      </c>
      <c r="N412" s="44">
        <v>46078</v>
      </c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8960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ref="A441:A488" si="14">ROW()-1</f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4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4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4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4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4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4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4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4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4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si="13"/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4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ref="H451:H514" si="15">IF(LEFT(I451,4)="JK13","PULWAMA",IF(LEFT(I451,4)="JK01","SRINAGAR",IF(LEFT(I451,4)="JK04","BUDGAM",IF(LEFT(I451,4)="JK03","ANANTNAG",IF(LEFT(I451,4)="JK05","BARAMULLA",IF(LEFT(I451,4)="26BH","BHARAT",IF(LEFT(I451,4)="25BH","BHARAT",IF(LEFT(I451,4)="JK12","POONCH",IF(LEFT(I451,4)="JK16","GANDERBAL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</f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4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si="15"/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si="14"/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 t="s">
        <v>8224</v>
      </c>
      <c r="N453" s="44">
        <v>46080</v>
      </c>
      <c r="O453" s="43"/>
      <c r="P453" s="46"/>
      <c r="Q453" s="43"/>
      <c r="R453" s="43"/>
    </row>
    <row r="454" spans="1:18" x14ac:dyDescent="0.25">
      <c r="A454" s="43">
        <f t="shared" si="14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4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4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4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si="15"/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4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5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4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5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 t="s">
        <v>8224</v>
      </c>
      <c r="N459" s="44">
        <v>46080</v>
      </c>
      <c r="O459" s="43"/>
      <c r="P459" s="46"/>
      <c r="Q459" s="43"/>
      <c r="R459" s="43"/>
    </row>
    <row r="460" spans="1:18" x14ac:dyDescent="0.25">
      <c r="A460" s="43">
        <f t="shared" si="14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5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4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5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4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5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4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5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9028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 t="shared" si="14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5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4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5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4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5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4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5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4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5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4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5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4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5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4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5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4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5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4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5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4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5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4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5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 t="shared" si="14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5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4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5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4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5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4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5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8961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4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5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4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5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4"/>
        <v>481</v>
      </c>
      <c r="B482" s="43" t="s">
        <v>8946</v>
      </c>
      <c r="C482" s="43" t="s">
        <v>8943</v>
      </c>
      <c r="D482" s="43" t="s">
        <v>8944</v>
      </c>
      <c r="E482" s="43" t="s">
        <v>8945</v>
      </c>
      <c r="F482" s="43" t="s">
        <v>119</v>
      </c>
      <c r="G482" s="43" t="s">
        <v>200</v>
      </c>
      <c r="H482" s="43" t="str">
        <f t="shared" si="15"/>
        <v>PULWAMA</v>
      </c>
      <c r="I482" s="43" t="s">
        <v>8947</v>
      </c>
      <c r="J482" s="44">
        <v>46073</v>
      </c>
      <c r="K482" s="43">
        <v>9596009903</v>
      </c>
      <c r="L482" s="43" t="s">
        <v>8707</v>
      </c>
      <c r="M482" s="45" t="s">
        <v>9028</v>
      </c>
      <c r="N482" s="44">
        <v>46077</v>
      </c>
      <c r="O482" s="43"/>
      <c r="P482" s="46"/>
      <c r="Q482" s="43"/>
      <c r="R482" s="43"/>
    </row>
    <row r="483" spans="1:18" x14ac:dyDescent="0.25">
      <c r="A483" s="43">
        <f t="shared" si="14"/>
        <v>482</v>
      </c>
      <c r="B483" s="43" t="s">
        <v>8952</v>
      </c>
      <c r="C483" s="43" t="s">
        <v>8950</v>
      </c>
      <c r="D483" s="43" t="s">
        <v>8951</v>
      </c>
      <c r="E483" s="43" t="s">
        <v>8949</v>
      </c>
      <c r="F483" s="43" t="s">
        <v>486</v>
      </c>
      <c r="G483" s="43" t="s">
        <v>174</v>
      </c>
      <c r="H483" s="43" t="str">
        <f t="shared" si="15"/>
        <v>SHOPIAN</v>
      </c>
      <c r="I483" s="43" t="s">
        <v>8967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 t="shared" si="14"/>
        <v>483</v>
      </c>
      <c r="B484" s="43" t="s">
        <v>8953</v>
      </c>
      <c r="C484" s="43" t="s">
        <v>8954</v>
      </c>
      <c r="D484" s="43" t="s">
        <v>8955</v>
      </c>
      <c r="E484" s="43" t="s">
        <v>7971</v>
      </c>
      <c r="F484" s="43" t="s">
        <v>125</v>
      </c>
      <c r="G484" s="43" t="s">
        <v>221</v>
      </c>
      <c r="H484" s="43" t="str">
        <f t="shared" si="15"/>
        <v>SRINAGAR</v>
      </c>
      <c r="I484" s="43" t="s">
        <v>8968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4"/>
        <v>484</v>
      </c>
      <c r="B485" s="43" t="s">
        <v>8956</v>
      </c>
      <c r="C485" s="43" t="s">
        <v>8957</v>
      </c>
      <c r="D485" s="43" t="s">
        <v>8958</v>
      </c>
      <c r="E485" s="43" t="s">
        <v>8959</v>
      </c>
      <c r="F485" s="43" t="s">
        <v>125</v>
      </c>
      <c r="G485" s="43" t="s">
        <v>175</v>
      </c>
      <c r="H485" s="43" t="str">
        <f t="shared" si="15"/>
        <v>BARAMULLA</v>
      </c>
      <c r="I485" s="43" t="s">
        <v>8966</v>
      </c>
      <c r="J485" s="44">
        <v>46074</v>
      </c>
      <c r="K485" s="43">
        <v>6005394474</v>
      </c>
      <c r="L485" s="43" t="s">
        <v>8960</v>
      </c>
      <c r="M485" s="45" t="s">
        <v>9051</v>
      </c>
      <c r="N485" s="44">
        <v>46078</v>
      </c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4"/>
        <v>485</v>
      </c>
      <c r="B486" s="43" t="s">
        <v>8962</v>
      </c>
      <c r="C486" s="43" t="s">
        <v>8963</v>
      </c>
      <c r="D486" s="43" t="s">
        <v>8964</v>
      </c>
      <c r="E486" s="43" t="s">
        <v>8965</v>
      </c>
      <c r="F486" s="43" t="s">
        <v>125</v>
      </c>
      <c r="G486" s="43" t="s">
        <v>200</v>
      </c>
      <c r="H486" s="43" t="str">
        <f t="shared" si="15"/>
        <v>PULWAMA</v>
      </c>
      <c r="I486" s="43" t="s">
        <v>8969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9012</v>
      </c>
    </row>
    <row r="487" spans="1:18" x14ac:dyDescent="0.25">
      <c r="A487" s="43">
        <f t="shared" si="14"/>
        <v>486</v>
      </c>
      <c r="B487" s="43" t="s">
        <v>8980</v>
      </c>
      <c r="C487" s="43" t="s">
        <v>8976</v>
      </c>
      <c r="D487" s="43" t="s">
        <v>8977</v>
      </c>
      <c r="E487" s="43" t="s">
        <v>8978</v>
      </c>
      <c r="F487" s="43" t="s">
        <v>101</v>
      </c>
      <c r="G487" s="43" t="s">
        <v>199</v>
      </c>
      <c r="H487" s="43" t="str">
        <f t="shared" si="15"/>
        <v>TEMP</v>
      </c>
      <c r="I487" s="43" t="s">
        <v>8979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4"/>
        <v>487</v>
      </c>
      <c r="B488" s="43" t="s">
        <v>8972</v>
      </c>
      <c r="C488" s="43" t="s">
        <v>8973</v>
      </c>
      <c r="D488" s="43" t="s">
        <v>8974</v>
      </c>
      <c r="E488" s="43" t="s">
        <v>8975</v>
      </c>
      <c r="F488" s="43" t="s">
        <v>100</v>
      </c>
      <c r="G488" s="43" t="s">
        <v>174</v>
      </c>
      <c r="H488" s="43" t="str">
        <f t="shared" si="15"/>
        <v>POONCH</v>
      </c>
      <c r="I488" s="43" t="s">
        <v>8989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ref="A489:A515" si="16">ROW()-1</f>
        <v>488</v>
      </c>
      <c r="B489" s="43" t="s">
        <v>8981</v>
      </c>
      <c r="C489" s="43" t="s">
        <v>8982</v>
      </c>
      <c r="D489" s="43" t="s">
        <v>8983</v>
      </c>
      <c r="E489" s="43" t="s">
        <v>8984</v>
      </c>
      <c r="F489" s="43" t="s">
        <v>12</v>
      </c>
      <c r="G489" s="43" t="s">
        <v>181</v>
      </c>
      <c r="H489" s="43" t="str">
        <f t="shared" si="15"/>
        <v>SRINAGAR</v>
      </c>
      <c r="I489" s="43" t="s">
        <v>9003</v>
      </c>
      <c r="J489" s="44">
        <v>46076</v>
      </c>
      <c r="K489" s="43">
        <v>8492809204</v>
      </c>
      <c r="L489" s="43" t="s">
        <v>1517</v>
      </c>
      <c r="M489" s="45" t="s">
        <v>9044</v>
      </c>
      <c r="N489" s="44">
        <v>46078</v>
      </c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8985</v>
      </c>
      <c r="C490" s="43" t="s">
        <v>8986</v>
      </c>
      <c r="D490" s="43" t="s">
        <v>8987</v>
      </c>
      <c r="E490" s="43" t="s">
        <v>8988</v>
      </c>
      <c r="F490" s="43" t="s">
        <v>290</v>
      </c>
      <c r="G490" s="43" t="s">
        <v>174</v>
      </c>
      <c r="H490" s="43" t="str">
        <f t="shared" si="15"/>
        <v>SRINAGAR</v>
      </c>
      <c r="I490" s="43" t="s">
        <v>9002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 t="shared" si="16"/>
        <v>490</v>
      </c>
      <c r="B491" s="43" t="s">
        <v>8990</v>
      </c>
      <c r="C491" s="43" t="s">
        <v>8998</v>
      </c>
      <c r="D491" s="43" t="s">
        <v>8999</v>
      </c>
      <c r="E491" s="43" t="s">
        <v>9000</v>
      </c>
      <c r="F491" s="43" t="s">
        <v>486</v>
      </c>
      <c r="G491" s="43" t="s">
        <v>200</v>
      </c>
      <c r="H491" s="43" t="str">
        <f t="shared" si="15"/>
        <v>SRINAGAR</v>
      </c>
      <c r="I491" s="43" t="s">
        <v>9004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8991</v>
      </c>
      <c r="C492" s="43" t="s">
        <v>8992</v>
      </c>
      <c r="D492" s="43" t="s">
        <v>8993</v>
      </c>
      <c r="E492" s="43" t="s">
        <v>8994</v>
      </c>
      <c r="F492" s="43" t="s">
        <v>31</v>
      </c>
      <c r="G492" s="43" t="s">
        <v>200</v>
      </c>
      <c r="H492" s="43" t="str">
        <f t="shared" si="15"/>
        <v>SRINAGAR</v>
      </c>
      <c r="I492" s="43" t="s">
        <v>9005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9001</v>
      </c>
      <c r="C493" s="43" t="s">
        <v>8995</v>
      </c>
      <c r="D493" s="43" t="s">
        <v>8996</v>
      </c>
      <c r="E493" s="43" t="s">
        <v>8997</v>
      </c>
      <c r="F493" s="43" t="s">
        <v>31</v>
      </c>
      <c r="G493" s="43" t="s">
        <v>199</v>
      </c>
      <c r="H493" s="43" t="str">
        <f t="shared" si="15"/>
        <v>KUPWARA</v>
      </c>
      <c r="I493" s="43" t="s">
        <v>9006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9007</v>
      </c>
      <c r="C494" s="43" t="s">
        <v>9008</v>
      </c>
      <c r="D494" s="43" t="s">
        <v>9009</v>
      </c>
      <c r="E494" s="43" t="s">
        <v>9010</v>
      </c>
      <c r="F494" s="43" t="s">
        <v>119</v>
      </c>
      <c r="G494" s="43" t="s">
        <v>200</v>
      </c>
      <c r="H494" s="43" t="str">
        <f t="shared" si="15"/>
        <v>BUDGAM</v>
      </c>
      <c r="I494" s="43" t="s">
        <v>9011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 t="s">
        <v>9017</v>
      </c>
      <c r="C495" s="43" t="s">
        <v>9018</v>
      </c>
      <c r="D495" s="43" t="s">
        <v>9019</v>
      </c>
      <c r="E495" s="43" t="s">
        <v>9020</v>
      </c>
      <c r="F495" s="43" t="s">
        <v>31</v>
      </c>
      <c r="G495" s="43" t="s">
        <v>199</v>
      </c>
      <c r="H495" s="43" t="str">
        <f t="shared" si="15"/>
        <v>PULWAMA</v>
      </c>
      <c r="I495" s="43" t="s">
        <v>9027</v>
      </c>
      <c r="J495" s="44">
        <v>46077</v>
      </c>
      <c r="K495" s="43">
        <v>7889678128</v>
      </c>
      <c r="L495" s="43" t="s">
        <v>9021</v>
      </c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 t="s">
        <v>9025</v>
      </c>
      <c r="C496" s="43" t="s">
        <v>9022</v>
      </c>
      <c r="D496" s="43" t="s">
        <v>9023</v>
      </c>
      <c r="E496" s="43" t="s">
        <v>9024</v>
      </c>
      <c r="F496" s="43" t="s">
        <v>119</v>
      </c>
      <c r="G496" s="43" t="s">
        <v>175</v>
      </c>
      <c r="H496" s="43" t="str">
        <f t="shared" si="15"/>
        <v>BARAMULLA</v>
      </c>
      <c r="I496" s="43" t="s">
        <v>9026</v>
      </c>
      <c r="J496" s="44">
        <v>46077</v>
      </c>
      <c r="K496" s="43">
        <v>7051998124</v>
      </c>
      <c r="L496" s="43" t="s">
        <v>8960</v>
      </c>
      <c r="M496" s="45" t="s">
        <v>9051</v>
      </c>
      <c r="N496" s="44">
        <v>46078</v>
      </c>
      <c r="O496" s="43" t="s">
        <v>23</v>
      </c>
      <c r="P496" s="46">
        <v>46078</v>
      </c>
      <c r="Q496" s="43" t="s">
        <v>6459</v>
      </c>
      <c r="R496" s="43"/>
    </row>
    <row r="497" spans="1:18" x14ac:dyDescent="0.25">
      <c r="A497" s="43">
        <f t="shared" si="16"/>
        <v>496</v>
      </c>
      <c r="B497" s="43" t="s">
        <v>9029</v>
      </c>
      <c r="C497" s="43" t="s">
        <v>9034</v>
      </c>
      <c r="D497" s="43" t="s">
        <v>9035</v>
      </c>
      <c r="E497" s="43" t="s">
        <v>9033</v>
      </c>
      <c r="F497" s="43" t="s">
        <v>119</v>
      </c>
      <c r="G497" s="43" t="s">
        <v>200</v>
      </c>
      <c r="H497" s="43" t="str">
        <f t="shared" si="15"/>
        <v>BUDGAM</v>
      </c>
      <c r="I497" s="43" t="s">
        <v>9032</v>
      </c>
      <c r="J497" s="44">
        <v>46077</v>
      </c>
      <c r="K497" s="43">
        <v>7889588319</v>
      </c>
      <c r="L497" s="43" t="s">
        <v>70</v>
      </c>
      <c r="M497" s="45" t="s">
        <v>7952</v>
      </c>
      <c r="N497" s="44">
        <v>46081</v>
      </c>
      <c r="O497" s="43" t="s">
        <v>23</v>
      </c>
      <c r="P497" s="46">
        <v>46081</v>
      </c>
      <c r="Q497" s="43" t="s">
        <v>6459</v>
      </c>
      <c r="R497" s="43"/>
    </row>
    <row r="498" spans="1:18" x14ac:dyDescent="0.25">
      <c r="A498" s="43">
        <f t="shared" si="16"/>
        <v>497</v>
      </c>
      <c r="B498" s="43" t="s">
        <v>9039</v>
      </c>
      <c r="C498" s="43" t="s">
        <v>9036</v>
      </c>
      <c r="D498" s="43" t="s">
        <v>9037</v>
      </c>
      <c r="E498" s="43" t="s">
        <v>9038</v>
      </c>
      <c r="F498" s="43" t="s">
        <v>101</v>
      </c>
      <c r="G498" s="43" t="s">
        <v>200</v>
      </c>
      <c r="H498" s="43" t="str">
        <f t="shared" si="15"/>
        <v>BARAMULLA</v>
      </c>
      <c r="I498" s="43" t="s">
        <v>9040</v>
      </c>
      <c r="J498" s="44">
        <v>46077</v>
      </c>
      <c r="K498" s="43">
        <v>9906483469</v>
      </c>
      <c r="L498" s="43" t="s">
        <v>1126</v>
      </c>
      <c r="M498" s="45" t="s">
        <v>7698</v>
      </c>
      <c r="N498" s="44">
        <v>46078</v>
      </c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 t="shared" si="16"/>
        <v>498</v>
      </c>
      <c r="B499" s="43" t="s">
        <v>9046</v>
      </c>
      <c r="C499" s="43" t="s">
        <v>9047</v>
      </c>
      <c r="D499" s="43" t="s">
        <v>9048</v>
      </c>
      <c r="E499" s="43" t="s">
        <v>9049</v>
      </c>
      <c r="F499" s="43" t="s">
        <v>5</v>
      </c>
      <c r="G499" s="43" t="s">
        <v>199</v>
      </c>
      <c r="H499" s="43" t="str">
        <f t="shared" si="15"/>
        <v>SRINAGAR</v>
      </c>
      <c r="I499" s="43" t="s">
        <v>9056</v>
      </c>
      <c r="J499" s="44">
        <v>46078</v>
      </c>
      <c r="K499" s="43">
        <v>7889633998</v>
      </c>
      <c r="L499" s="43" t="s">
        <v>194</v>
      </c>
      <c r="M499" s="45" t="s">
        <v>9078</v>
      </c>
      <c r="N499" s="44">
        <v>46079</v>
      </c>
      <c r="O499" s="43" t="s">
        <v>23</v>
      </c>
      <c r="P499" s="46">
        <v>46079</v>
      </c>
      <c r="Q499" s="43" t="s">
        <v>6459</v>
      </c>
      <c r="R499" s="43"/>
    </row>
    <row r="500" spans="1:18" x14ac:dyDescent="0.25">
      <c r="A500" s="43">
        <f t="shared" si="16"/>
        <v>499</v>
      </c>
      <c r="B500" s="43" t="s">
        <v>9052</v>
      </c>
      <c r="C500" s="43" t="s">
        <v>9053</v>
      </c>
      <c r="D500" s="43" t="s">
        <v>9054</v>
      </c>
      <c r="E500" s="43" t="s">
        <v>9055</v>
      </c>
      <c r="F500" s="43" t="s">
        <v>5</v>
      </c>
      <c r="G500" s="43" t="s">
        <v>199</v>
      </c>
      <c r="H500" s="43" t="str">
        <f t="shared" si="15"/>
        <v>PULWAMA</v>
      </c>
      <c r="I500" s="43" t="s">
        <v>9057</v>
      </c>
      <c r="J500" s="44">
        <v>46078</v>
      </c>
      <c r="K500" s="43">
        <v>9906542613</v>
      </c>
      <c r="L500" s="43" t="s">
        <v>26</v>
      </c>
      <c r="M500" s="45" t="s">
        <v>7614</v>
      </c>
      <c r="N500" s="44">
        <v>46080</v>
      </c>
      <c r="O500" s="43" t="s">
        <v>23</v>
      </c>
      <c r="P500" s="46">
        <v>46080</v>
      </c>
      <c r="Q500" s="43" t="s">
        <v>6459</v>
      </c>
      <c r="R500" s="43"/>
    </row>
    <row r="501" spans="1:18" x14ac:dyDescent="0.25">
      <c r="A501" s="43">
        <f t="shared" si="16"/>
        <v>500</v>
      </c>
      <c r="B501" s="43" t="s">
        <v>9058</v>
      </c>
      <c r="C501" s="43" t="s">
        <v>9059</v>
      </c>
      <c r="D501" s="43" t="s">
        <v>9060</v>
      </c>
      <c r="E501" s="43" t="s">
        <v>3216</v>
      </c>
      <c r="F501" s="43" t="s">
        <v>193</v>
      </c>
      <c r="G501" s="43" t="s">
        <v>199</v>
      </c>
      <c r="H501" s="43" t="str">
        <f t="shared" si="15"/>
        <v>SRINAGAR</v>
      </c>
      <c r="I501" s="43" t="s">
        <v>9065</v>
      </c>
      <c r="J501" s="44">
        <v>46079</v>
      </c>
      <c r="K501" s="43">
        <v>9622453215</v>
      </c>
      <c r="L501" s="43" t="s">
        <v>75</v>
      </c>
      <c r="M501" s="45" t="s">
        <v>7892</v>
      </c>
      <c r="N501" s="44">
        <v>46080</v>
      </c>
      <c r="O501" s="43" t="s">
        <v>23</v>
      </c>
      <c r="P501" s="46">
        <v>46079</v>
      </c>
      <c r="Q501" s="43" t="s">
        <v>6459</v>
      </c>
      <c r="R501" s="43"/>
    </row>
    <row r="502" spans="1:18" x14ac:dyDescent="0.25">
      <c r="A502" s="43">
        <f t="shared" si="16"/>
        <v>501</v>
      </c>
      <c r="B502" s="43" t="s">
        <v>9061</v>
      </c>
      <c r="C502" s="43" t="s">
        <v>9062</v>
      </c>
      <c r="D502" s="43" t="s">
        <v>9063</v>
      </c>
      <c r="E502" s="43" t="s">
        <v>9064</v>
      </c>
      <c r="F502" s="43" t="s">
        <v>37</v>
      </c>
      <c r="G502" s="43" t="s">
        <v>199</v>
      </c>
      <c r="H502" s="43" t="str">
        <f t="shared" si="15"/>
        <v>PULWAMA</v>
      </c>
      <c r="I502" s="43" t="s">
        <v>9066</v>
      </c>
      <c r="J502" s="44">
        <v>46079</v>
      </c>
      <c r="K502" s="43">
        <v>9797714172</v>
      </c>
      <c r="L502" s="43" t="s">
        <v>9021</v>
      </c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 t="s">
        <v>9068</v>
      </c>
      <c r="C503" s="43" t="s">
        <v>9069</v>
      </c>
      <c r="D503" s="43" t="s">
        <v>9070</v>
      </c>
      <c r="E503" s="43" t="s">
        <v>9071</v>
      </c>
      <c r="F503" s="43" t="s">
        <v>119</v>
      </c>
      <c r="G503" s="43" t="s">
        <v>174</v>
      </c>
      <c r="H503" s="43" t="str">
        <f t="shared" si="15"/>
        <v>BUDGAM</v>
      </c>
      <c r="I503" s="43" t="s">
        <v>9072</v>
      </c>
      <c r="J503" s="44">
        <v>46079</v>
      </c>
      <c r="K503" s="43">
        <v>7006892157</v>
      </c>
      <c r="L503" s="43" t="s">
        <v>484</v>
      </c>
      <c r="M503" s="45" t="s">
        <v>7771</v>
      </c>
      <c r="N503" s="44">
        <v>46085</v>
      </c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 t="s">
        <v>9073</v>
      </c>
      <c r="C504" s="43" t="s">
        <v>9074</v>
      </c>
      <c r="D504" s="43" t="s">
        <v>9075</v>
      </c>
      <c r="E504" s="43" t="s">
        <v>9076</v>
      </c>
      <c r="F504" s="43" t="s">
        <v>31</v>
      </c>
      <c r="G504" s="43" t="s">
        <v>174</v>
      </c>
      <c r="H504" s="43" t="str">
        <f t="shared" si="15"/>
        <v>BUDGAM</v>
      </c>
      <c r="I504" s="43" t="s">
        <v>9077</v>
      </c>
      <c r="J504" s="44">
        <v>46079</v>
      </c>
      <c r="K504" s="43">
        <v>9149693312</v>
      </c>
      <c r="L504" s="43" t="s">
        <v>7870</v>
      </c>
      <c r="M504" s="45" t="s">
        <v>8655</v>
      </c>
      <c r="N504" s="44">
        <v>46080</v>
      </c>
      <c r="O504" s="43" t="s">
        <v>23</v>
      </c>
      <c r="P504" s="46">
        <v>46080</v>
      </c>
      <c r="Q504" s="43" t="s">
        <v>6459</v>
      </c>
      <c r="R504" s="43"/>
    </row>
    <row r="505" spans="1:18" x14ac:dyDescent="0.25">
      <c r="A505" s="43">
        <f t="shared" si="16"/>
        <v>504</v>
      </c>
      <c r="B505" s="43" t="s">
        <v>9079</v>
      </c>
      <c r="C505" s="43" t="s">
        <v>9081</v>
      </c>
      <c r="D505" s="43" t="s">
        <v>9080</v>
      </c>
      <c r="E505" s="43" t="s">
        <v>9082</v>
      </c>
      <c r="F505" s="43" t="s">
        <v>119</v>
      </c>
      <c r="G505" s="43" t="s">
        <v>200</v>
      </c>
      <c r="H505" s="43" t="str">
        <f t="shared" si="15"/>
        <v>BANDIPORA</v>
      </c>
      <c r="I505" s="43" t="s">
        <v>9083</v>
      </c>
      <c r="J505" s="44">
        <v>46080</v>
      </c>
      <c r="K505" s="43">
        <v>9682666271</v>
      </c>
      <c r="L505" s="43" t="s">
        <v>6830</v>
      </c>
      <c r="M505" s="45"/>
      <c r="N505" s="44"/>
      <c r="O505" s="43" t="s">
        <v>23</v>
      </c>
      <c r="P505" s="46">
        <v>46080</v>
      </c>
      <c r="Q505" s="43" t="s">
        <v>6459</v>
      </c>
      <c r="R505" s="43"/>
    </row>
    <row r="506" spans="1:18" x14ac:dyDescent="0.25">
      <c r="A506" s="43">
        <f t="shared" si="16"/>
        <v>505</v>
      </c>
      <c r="B506" s="43" t="s">
        <v>9084</v>
      </c>
      <c r="C506" s="43" t="s">
        <v>9085</v>
      </c>
      <c r="D506" s="43" t="s">
        <v>9086</v>
      </c>
      <c r="E506" s="43" t="s">
        <v>2599</v>
      </c>
      <c r="F506" s="43" t="s">
        <v>67</v>
      </c>
      <c r="G506" s="43" t="s">
        <v>199</v>
      </c>
      <c r="H506" s="43" t="str">
        <f t="shared" si="15"/>
        <v>SRINAGAR</v>
      </c>
      <c r="I506" s="43" t="s">
        <v>9087</v>
      </c>
      <c r="J506" s="44">
        <v>46080</v>
      </c>
      <c r="K506" s="43">
        <v>7889489992</v>
      </c>
      <c r="L506" s="43" t="s">
        <v>6805</v>
      </c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 t="s">
        <v>9088</v>
      </c>
      <c r="C507" s="43" t="s">
        <v>9089</v>
      </c>
      <c r="D507" s="43" t="s">
        <v>9090</v>
      </c>
      <c r="E507" s="43" t="s">
        <v>9091</v>
      </c>
      <c r="F507" s="43" t="s">
        <v>12</v>
      </c>
      <c r="G507" s="43" t="s">
        <v>200</v>
      </c>
      <c r="H507" s="43" t="str">
        <f t="shared" si="15"/>
        <v>PULWAMA</v>
      </c>
      <c r="I507" s="43" t="s">
        <v>9094</v>
      </c>
      <c r="J507" s="44">
        <v>46080</v>
      </c>
      <c r="K507" s="43">
        <v>9906831417</v>
      </c>
      <c r="L507" s="43" t="s">
        <v>166</v>
      </c>
      <c r="M507" s="45" t="s">
        <v>7451</v>
      </c>
      <c r="N507" s="44">
        <v>46084</v>
      </c>
      <c r="O507" s="43" t="s">
        <v>23</v>
      </c>
      <c r="P507" s="46">
        <v>46080</v>
      </c>
      <c r="Q507" s="43" t="s">
        <v>6459</v>
      </c>
      <c r="R507" s="43"/>
    </row>
    <row r="508" spans="1:18" x14ac:dyDescent="0.25">
      <c r="A508" s="43">
        <f t="shared" si="16"/>
        <v>507</v>
      </c>
      <c r="B508" s="43" t="s">
        <v>9095</v>
      </c>
      <c r="C508" s="43" t="s">
        <v>9096</v>
      </c>
      <c r="D508" s="43" t="s">
        <v>9097</v>
      </c>
      <c r="E508" s="43" t="s">
        <v>9098</v>
      </c>
      <c r="F508" s="43" t="s">
        <v>119</v>
      </c>
      <c r="G508" s="43" t="s">
        <v>175</v>
      </c>
      <c r="H508" s="43" t="str">
        <f t="shared" si="15"/>
        <v>SRINAGAR</v>
      </c>
      <c r="I508" s="43" t="s">
        <v>9099</v>
      </c>
      <c r="J508" s="44">
        <v>46080</v>
      </c>
      <c r="K508" s="43">
        <v>7006390044</v>
      </c>
      <c r="L508" s="43" t="s">
        <v>6830</v>
      </c>
      <c r="M508" s="45" t="s">
        <v>9129</v>
      </c>
      <c r="N508" s="44">
        <v>46081</v>
      </c>
      <c r="O508" s="43" t="s">
        <v>23</v>
      </c>
      <c r="P508" s="46">
        <v>46080</v>
      </c>
      <c r="Q508" s="43" t="s">
        <v>6459</v>
      </c>
      <c r="R508" s="43"/>
    </row>
    <row r="509" spans="1:18" x14ac:dyDescent="0.25">
      <c r="A509" s="43">
        <f t="shared" si="16"/>
        <v>508</v>
      </c>
      <c r="B509" s="43" t="s">
        <v>9106</v>
      </c>
      <c r="C509" s="43" t="s">
        <v>9104</v>
      </c>
      <c r="D509" s="43" t="s">
        <v>9105</v>
      </c>
      <c r="E509" s="43" t="s">
        <v>2949</v>
      </c>
      <c r="F509" s="43" t="s">
        <v>12</v>
      </c>
      <c r="G509" s="43" t="s">
        <v>200</v>
      </c>
      <c r="H509" s="43" t="str">
        <f t="shared" si="15"/>
        <v>SRINAGAR</v>
      </c>
      <c r="I509" s="43" t="s">
        <v>9103</v>
      </c>
      <c r="J509" s="44">
        <v>46080</v>
      </c>
      <c r="K509" s="43">
        <v>9906799282</v>
      </c>
      <c r="L509" s="43" t="s">
        <v>6520</v>
      </c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 t="s">
        <v>9107</v>
      </c>
      <c r="C510" s="43" t="s">
        <v>9108</v>
      </c>
      <c r="D510" s="43" t="s">
        <v>9109</v>
      </c>
      <c r="E510" s="43" t="s">
        <v>9110</v>
      </c>
      <c r="F510" s="43" t="s">
        <v>193</v>
      </c>
      <c r="G510" s="43" t="s">
        <v>199</v>
      </c>
      <c r="H510" s="43" t="str">
        <f t="shared" si="15"/>
        <v>SRINAGAR</v>
      </c>
      <c r="I510" s="43" t="s">
        <v>9118</v>
      </c>
      <c r="J510" s="44">
        <v>46080</v>
      </c>
      <c r="K510" s="43">
        <v>6005333671</v>
      </c>
      <c r="L510" s="43" t="s">
        <v>194</v>
      </c>
      <c r="M510" s="45"/>
      <c r="N510" s="44"/>
      <c r="O510" s="43" t="s">
        <v>23</v>
      </c>
      <c r="P510" s="46">
        <v>46081</v>
      </c>
      <c r="Q510" s="43" t="s">
        <v>6459</v>
      </c>
      <c r="R510" s="43"/>
    </row>
    <row r="511" spans="1:18" x14ac:dyDescent="0.25">
      <c r="A511" s="43">
        <f t="shared" si="16"/>
        <v>510</v>
      </c>
      <c r="B511" s="43" t="s">
        <v>9111</v>
      </c>
      <c r="C511" s="43" t="s">
        <v>9112</v>
      </c>
      <c r="D511" s="43" t="s">
        <v>9113</v>
      </c>
      <c r="E511" s="43" t="s">
        <v>9114</v>
      </c>
      <c r="F511" s="43" t="s">
        <v>125</v>
      </c>
      <c r="G511" s="43" t="s">
        <v>174</v>
      </c>
      <c r="H511" s="43" t="str">
        <f t="shared" si="15"/>
        <v>GANDERBAL</v>
      </c>
      <c r="I511" s="43" t="s">
        <v>9117</v>
      </c>
      <c r="J511" s="44">
        <v>46080</v>
      </c>
      <c r="K511" s="43">
        <v>6005256030</v>
      </c>
      <c r="L511" s="43" t="s">
        <v>194</v>
      </c>
      <c r="M511" s="45"/>
      <c r="N511" s="44"/>
      <c r="O511" s="43" t="s">
        <v>23</v>
      </c>
      <c r="P511" s="46">
        <v>46081</v>
      </c>
      <c r="Q511" s="43" t="s">
        <v>6459</v>
      </c>
      <c r="R511" s="43"/>
    </row>
    <row r="512" spans="1:18" x14ac:dyDescent="0.25">
      <c r="A512" s="43">
        <f t="shared" si="16"/>
        <v>511</v>
      </c>
      <c r="B512" s="43" t="s">
        <v>9124</v>
      </c>
      <c r="C512" s="43" t="s">
        <v>9125</v>
      </c>
      <c r="D512" s="43" t="s">
        <v>9126</v>
      </c>
      <c r="E512" s="43" t="s">
        <v>9127</v>
      </c>
      <c r="F512" s="43" t="s">
        <v>100</v>
      </c>
      <c r="G512" s="43" t="s">
        <v>200</v>
      </c>
      <c r="H512" s="43" t="str">
        <f t="shared" si="15"/>
        <v>SRINAGAR</v>
      </c>
      <c r="I512" s="43" t="s">
        <v>9130</v>
      </c>
      <c r="J512" s="44">
        <v>46081</v>
      </c>
      <c r="K512" s="43">
        <v>7006247008</v>
      </c>
      <c r="L512" s="43" t="s">
        <v>9128</v>
      </c>
      <c r="M512" s="45"/>
      <c r="N512" s="44"/>
      <c r="O512" s="43" t="s">
        <v>23</v>
      </c>
      <c r="P512" s="46">
        <v>46081</v>
      </c>
      <c r="Q512" s="43" t="s">
        <v>6459</v>
      </c>
      <c r="R512" s="43"/>
    </row>
    <row r="513" spans="1:18" x14ac:dyDescent="0.25">
      <c r="A513" s="43">
        <f t="shared" si="16"/>
        <v>512</v>
      </c>
      <c r="B513" s="43" t="s">
        <v>9140</v>
      </c>
      <c r="C513" s="43" t="s">
        <v>9141</v>
      </c>
      <c r="D513" s="43" t="s">
        <v>9142</v>
      </c>
      <c r="E513" s="43" t="s">
        <v>9143</v>
      </c>
      <c r="F513" s="43" t="s">
        <v>37</v>
      </c>
      <c r="G513" s="43" t="s">
        <v>199</v>
      </c>
      <c r="H513" s="43" t="str">
        <f t="shared" si="15"/>
        <v>SHOPIAN</v>
      </c>
      <c r="I513" s="43" t="s">
        <v>9144</v>
      </c>
      <c r="J513" s="44">
        <v>46085</v>
      </c>
      <c r="K513" s="43">
        <v>7006332778</v>
      </c>
      <c r="L513" s="43" t="s">
        <v>6520</v>
      </c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 t="s">
        <v>9148</v>
      </c>
      <c r="C514" s="43" t="s">
        <v>9145</v>
      </c>
      <c r="D514" s="43" t="s">
        <v>9146</v>
      </c>
      <c r="E514" s="43" t="s">
        <v>9147</v>
      </c>
      <c r="F514" s="43" t="s">
        <v>12</v>
      </c>
      <c r="G514" s="43" t="s">
        <v>226</v>
      </c>
      <c r="H514" s="43" t="str">
        <f t="shared" si="15"/>
        <v>PULWAMA</v>
      </c>
      <c r="I514" s="43" t="s">
        <v>9149</v>
      </c>
      <c r="J514" s="44">
        <v>46085</v>
      </c>
      <c r="K514" s="43">
        <v>7006931595</v>
      </c>
      <c r="L514" s="43" t="s">
        <v>26</v>
      </c>
      <c r="M514" s="45"/>
      <c r="N514" s="44"/>
      <c r="O514" s="43" t="s">
        <v>23</v>
      </c>
      <c r="P514" s="46">
        <v>46085</v>
      </c>
      <c r="Q514" s="43" t="s">
        <v>6459</v>
      </c>
      <c r="R514" s="43"/>
    </row>
    <row r="515" spans="1:18" x14ac:dyDescent="0.25">
      <c r="A515" s="43">
        <f t="shared" si="16"/>
        <v>514</v>
      </c>
      <c r="B515" s="43" t="s">
        <v>9150</v>
      </c>
      <c r="C515" s="43" t="s">
        <v>9151</v>
      </c>
      <c r="D515" s="43" t="s">
        <v>9152</v>
      </c>
      <c r="E515" s="43" t="s">
        <v>9153</v>
      </c>
      <c r="F515" s="43" t="s">
        <v>5</v>
      </c>
      <c r="G515" s="43" t="s">
        <v>200</v>
      </c>
      <c r="H515" s="43" t="str">
        <f t="shared" ref="H515:H553" si="17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53" t="s">
        <v>9154</v>
      </c>
      <c r="J515" s="44">
        <v>46085</v>
      </c>
      <c r="K515" s="43">
        <v>7006562713</v>
      </c>
      <c r="L515" s="43" t="s">
        <v>484</v>
      </c>
      <c r="M515" s="45"/>
      <c r="N515" s="44"/>
      <c r="O515" s="43"/>
      <c r="P515" s="46"/>
      <c r="Q515" s="43"/>
      <c r="R515" s="43"/>
    </row>
    <row r="516" spans="1:18" x14ac:dyDescent="0.25">
      <c r="A516" s="43">
        <f t="shared" ref="A516:A553" si="18">ROW()-1</f>
        <v>515</v>
      </c>
      <c r="B516" s="43"/>
      <c r="C516" s="43"/>
      <c r="D516" s="43"/>
      <c r="E516" s="43"/>
      <c r="F516" s="43"/>
      <c r="G516" s="43"/>
      <c r="H516" s="43" t="str">
        <f t="shared" si="17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8"/>
        <v>516</v>
      </c>
      <c r="B517" s="43"/>
      <c r="C517" s="43"/>
      <c r="D517" s="43"/>
      <c r="E517" s="43"/>
      <c r="F517" s="43"/>
      <c r="G517" s="43"/>
      <c r="H517" s="43" t="str">
        <f t="shared" si="17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8"/>
        <v>517</v>
      </c>
      <c r="B518" s="43"/>
      <c r="C518" s="43"/>
      <c r="D518" s="43"/>
      <c r="E518" s="43"/>
      <c r="F518" s="43"/>
      <c r="G518" s="43"/>
      <c r="H518" s="43" t="str">
        <f t="shared" si="17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8"/>
        <v>518</v>
      </c>
      <c r="B519" s="43"/>
      <c r="C519" s="43"/>
      <c r="D519" s="43"/>
      <c r="E519" s="43"/>
      <c r="F519" s="43"/>
      <c r="G519" s="43"/>
      <c r="H519" s="43" t="str">
        <f t="shared" si="17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8"/>
        <v>519</v>
      </c>
      <c r="B520" s="43"/>
      <c r="C520" s="43"/>
      <c r="D520" s="43"/>
      <c r="E520" s="43"/>
      <c r="F520" s="43"/>
      <c r="G520" s="43"/>
      <c r="H520" s="43" t="str">
        <f t="shared" si="17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8"/>
        <v>520</v>
      </c>
      <c r="B521" s="43"/>
      <c r="C521" s="43"/>
      <c r="D521" s="43"/>
      <c r="E521" s="43"/>
      <c r="F521" s="43"/>
      <c r="G521" s="43"/>
      <c r="H521" s="43" t="str">
        <f t="shared" si="17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8"/>
        <v>521</v>
      </c>
      <c r="B522" s="43"/>
      <c r="C522" s="43"/>
      <c r="D522" s="43"/>
      <c r="E522" s="43"/>
      <c r="F522" s="43"/>
      <c r="G522" s="43"/>
      <c r="H522" s="43" t="str">
        <f t="shared" si="17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8"/>
        <v>522</v>
      </c>
      <c r="B523" s="43"/>
      <c r="C523" s="43"/>
      <c r="D523" s="43"/>
      <c r="E523" s="43"/>
      <c r="F523" s="43"/>
      <c r="G523" s="43"/>
      <c r="H523" s="43" t="str">
        <f t="shared" si="17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8"/>
        <v>523</v>
      </c>
      <c r="B524" s="43"/>
      <c r="C524" s="43"/>
      <c r="D524" s="43"/>
      <c r="E524" s="43"/>
      <c r="F524" s="43"/>
      <c r="G524" s="43"/>
      <c r="H524" s="43" t="str">
        <f t="shared" si="17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8"/>
        <v>524</v>
      </c>
      <c r="B525" s="43"/>
      <c r="C525" s="43"/>
      <c r="D525" s="43"/>
      <c r="E525" s="43"/>
      <c r="F525" s="43"/>
      <c r="G525" s="43"/>
      <c r="H525" s="43" t="str">
        <f t="shared" si="17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8"/>
        <v>525</v>
      </c>
      <c r="B526" s="43"/>
      <c r="C526" s="43"/>
      <c r="D526" s="43"/>
      <c r="E526" s="43"/>
      <c r="F526" s="43"/>
      <c r="G526" s="43"/>
      <c r="H526" s="43" t="str">
        <f t="shared" si="17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8"/>
        <v>526</v>
      </c>
      <c r="B527" s="43"/>
      <c r="C527" s="43"/>
      <c r="D527" s="43"/>
      <c r="E527" s="43"/>
      <c r="F527" s="43"/>
      <c r="G527" s="43"/>
      <c r="H527" s="43" t="str">
        <f t="shared" si="17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8"/>
        <v>527</v>
      </c>
      <c r="B528" s="43"/>
      <c r="C528" s="43"/>
      <c r="D528" s="43"/>
      <c r="E528" s="43"/>
      <c r="F528" s="43"/>
      <c r="G528" s="43"/>
      <c r="H528" s="43" t="str">
        <f t="shared" si="17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8"/>
        <v>528</v>
      </c>
      <c r="B529" s="43"/>
      <c r="C529" s="43"/>
      <c r="D529" s="43"/>
      <c r="E529" s="43"/>
      <c r="F529" s="43"/>
      <c r="G529" s="43"/>
      <c r="H529" s="43" t="str">
        <f t="shared" si="17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8"/>
        <v>529</v>
      </c>
      <c r="B530" s="43"/>
      <c r="C530" s="43"/>
      <c r="D530" s="43"/>
      <c r="E530" s="43"/>
      <c r="F530" s="43"/>
      <c r="G530" s="43"/>
      <c r="H530" s="43" t="str">
        <f t="shared" si="17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8"/>
        <v>530</v>
      </c>
      <c r="B531" s="43"/>
      <c r="C531" s="43"/>
      <c r="D531" s="43"/>
      <c r="E531" s="43"/>
      <c r="F531" s="43"/>
      <c r="G531" s="43"/>
      <c r="H531" s="43" t="str">
        <f t="shared" si="17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8"/>
        <v>531</v>
      </c>
      <c r="B532" s="43"/>
      <c r="C532" s="43"/>
      <c r="D532" s="43"/>
      <c r="E532" s="43"/>
      <c r="F532" s="43"/>
      <c r="G532" s="43"/>
      <c r="H532" s="43" t="str">
        <f t="shared" si="17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8"/>
        <v>532</v>
      </c>
      <c r="B533" s="43"/>
      <c r="C533" s="43"/>
      <c r="D533" s="43"/>
      <c r="E533" s="43"/>
      <c r="F533" s="43"/>
      <c r="G533" s="43"/>
      <c r="H533" s="43" t="str">
        <f t="shared" si="17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8"/>
        <v>533</v>
      </c>
      <c r="B534" s="43"/>
      <c r="C534" s="43"/>
      <c r="D534" s="43"/>
      <c r="E534" s="43"/>
      <c r="F534" s="43"/>
      <c r="G534" s="43"/>
      <c r="H534" s="43" t="str">
        <f t="shared" si="17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8"/>
        <v>534</v>
      </c>
      <c r="B535" s="43"/>
      <c r="C535" s="43"/>
      <c r="D535" s="43"/>
      <c r="E535" s="43"/>
      <c r="F535" s="43"/>
      <c r="G535" s="43"/>
      <c r="H535" s="43" t="str">
        <f t="shared" si="17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8"/>
        <v>535</v>
      </c>
      <c r="B536" s="43"/>
      <c r="C536" s="43"/>
      <c r="D536" s="43"/>
      <c r="E536" s="43"/>
      <c r="F536" s="43"/>
      <c r="G536" s="43"/>
      <c r="H536" s="43" t="str">
        <f t="shared" si="17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8"/>
        <v>536</v>
      </c>
      <c r="B537" s="43"/>
      <c r="C537" s="43"/>
      <c r="D537" s="43"/>
      <c r="E537" s="43"/>
      <c r="F537" s="43"/>
      <c r="G537" s="43"/>
      <c r="H537" s="43" t="str">
        <f t="shared" si="17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8"/>
        <v>537</v>
      </c>
      <c r="B538" s="43"/>
      <c r="C538" s="43"/>
      <c r="D538" s="43"/>
      <c r="E538" s="43"/>
      <c r="F538" s="43"/>
      <c r="G538" s="43"/>
      <c r="H538" s="43" t="str">
        <f t="shared" si="17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8"/>
        <v>538</v>
      </c>
      <c r="B539" s="43"/>
      <c r="C539" s="43"/>
      <c r="D539" s="43"/>
      <c r="E539" s="43"/>
      <c r="F539" s="43"/>
      <c r="G539" s="43"/>
      <c r="H539" s="43" t="str">
        <f t="shared" si="17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8"/>
        <v>539</v>
      </c>
      <c r="B540" s="43"/>
      <c r="C540" s="43"/>
      <c r="D540" s="43"/>
      <c r="E540" s="43"/>
      <c r="F540" s="43"/>
      <c r="G540" s="43"/>
      <c r="H540" s="43" t="str">
        <f t="shared" si="17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8"/>
        <v>540</v>
      </c>
      <c r="B541" s="43"/>
      <c r="C541" s="43"/>
      <c r="D541" s="43"/>
      <c r="E541" s="43"/>
      <c r="F541" s="43"/>
      <c r="G541" s="43"/>
      <c r="H541" s="43" t="str">
        <f t="shared" si="17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8"/>
        <v>541</v>
      </c>
      <c r="B542" s="43"/>
      <c r="C542" s="43"/>
      <c r="D542" s="43"/>
      <c r="E542" s="43"/>
      <c r="F542" s="43"/>
      <c r="G542" s="43"/>
      <c r="H542" s="43" t="str">
        <f t="shared" si="17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8"/>
        <v>542</v>
      </c>
      <c r="B543" s="43"/>
      <c r="C543" s="43"/>
      <c r="D543" s="43"/>
      <c r="E543" s="43"/>
      <c r="F543" s="43"/>
      <c r="G543" s="43"/>
      <c r="H543" s="43" t="str">
        <f t="shared" si="17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8"/>
        <v>543</v>
      </c>
      <c r="B544" s="43"/>
      <c r="C544" s="43"/>
      <c r="D544" s="43"/>
      <c r="E544" s="43"/>
      <c r="F544" s="43"/>
      <c r="G544" s="43"/>
      <c r="H544" s="43" t="str">
        <f t="shared" si="17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8"/>
        <v>544</v>
      </c>
      <c r="B545" s="43"/>
      <c r="C545" s="43"/>
      <c r="D545" s="43"/>
      <c r="E545" s="43"/>
      <c r="F545" s="43"/>
      <c r="G545" s="43"/>
      <c r="H545" s="43" t="str">
        <f t="shared" si="17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8"/>
        <v>545</v>
      </c>
      <c r="B546" s="43"/>
      <c r="C546" s="43"/>
      <c r="D546" s="43"/>
      <c r="E546" s="43"/>
      <c r="F546" s="43"/>
      <c r="G546" s="43"/>
      <c r="H546" s="43" t="str">
        <f t="shared" si="17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8"/>
        <v>546</v>
      </c>
      <c r="B547" s="43"/>
      <c r="C547" s="43"/>
      <c r="D547" s="43"/>
      <c r="E547" s="43"/>
      <c r="F547" s="43"/>
      <c r="G547" s="43"/>
      <c r="H547" s="43" t="str">
        <f t="shared" si="17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8"/>
        <v>547</v>
      </c>
      <c r="B548" s="43"/>
      <c r="C548" s="43"/>
      <c r="D548" s="43"/>
      <c r="E548" s="43"/>
      <c r="F548" s="43"/>
      <c r="G548" s="43"/>
      <c r="H548" s="43" t="str">
        <f t="shared" si="17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8"/>
        <v>548</v>
      </c>
      <c r="B549" s="43"/>
      <c r="C549" s="43"/>
      <c r="D549" s="43"/>
      <c r="E549" s="43"/>
      <c r="F549" s="43"/>
      <c r="G549" s="43"/>
      <c r="H549" s="43" t="str">
        <f t="shared" si="17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8"/>
        <v>549</v>
      </c>
      <c r="B550" s="43"/>
      <c r="C550" s="43"/>
      <c r="D550" s="43"/>
      <c r="E550" s="43"/>
      <c r="F550" s="43"/>
      <c r="G550" s="43"/>
      <c r="H550" s="43" t="str">
        <f t="shared" si="17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8"/>
        <v>550</v>
      </c>
      <c r="B551" s="43"/>
      <c r="C551" s="43"/>
      <c r="D551" s="43"/>
      <c r="E551" s="43"/>
      <c r="F551" s="43"/>
      <c r="G551" s="43"/>
      <c r="H551" s="43" t="str">
        <f t="shared" si="17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8"/>
        <v>551</v>
      </c>
      <c r="B552" s="43"/>
      <c r="C552" s="43"/>
      <c r="D552" s="43"/>
      <c r="E552" s="43"/>
      <c r="F552" s="43"/>
      <c r="G552" s="43"/>
      <c r="H552" s="43" t="str">
        <f t="shared" si="17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8"/>
        <v>552</v>
      </c>
      <c r="B553" s="43"/>
      <c r="C553" s="43"/>
      <c r="D553" s="43"/>
      <c r="E553" s="43"/>
      <c r="F553" s="43"/>
      <c r="G553" s="43"/>
      <c r="H553" s="43" t="str">
        <f t="shared" si="17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57 A3:G217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J387:K391 L387:R438 K389:K438 J392 I409:I420 J412 A413:B413 I413:J413 A414 J414:J418 A415:B415 A416:A426 A427:B429 A430 A431:B432 A433:A434 A435:B435 A436:A447 K439:R441 K441:K469 L442:R443 I444:R444 L445:R456 A448:G448 A449:A553 M457:R457 L458:R469 K461:L468 I462:I463 J463 A473:G473 I473:I477 K474:K478 J475 L475:R475 J476:R476 L477:R496 K482:K487 J483:K483 J484:J485 I486:J486 J487 J489:K490 J491:J493 J496 I496:I500 J497:R498 J499 L499:R499 J500:R500 I507:I511 J509 F516:F553 I517:R553 B554:G554 I554 K554:K643 L501:R516 K490:K516 I501:J508 I494:J495 I488:K488 I480:I493 I479:K482 I477:J478 I470:R474 I464:J469 I445:J462 I419:J443 I393:J411 I386:I393 H3:H553 I510:J514 I516:J516 J515 B297:G533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6:O565 L554:O555">
    <cfRule type="expression" dxfId="13" priority="18">
      <formula>ROW(M93)=HighlightRow</formula>
    </cfRule>
  </conditionalFormatting>
  <conditionalFormatting sqref="P554:Q565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E495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77" zoomScaleNormal="100" workbookViewId="0">
      <selection activeCell="B302" sqref="B30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>
        <v>9419590443</v>
      </c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8948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8959</v>
      </c>
      <c r="C275" s="43">
        <v>6005394474</v>
      </c>
      <c r="D275" s="43" t="s">
        <v>8970</v>
      </c>
      <c r="E275" s="43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8971</v>
      </c>
      <c r="E276" s="43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9013</v>
      </c>
      <c r="C277" s="43">
        <v>9797960469</v>
      </c>
      <c r="D277" s="43" t="s">
        <v>9014</v>
      </c>
      <c r="E277" s="43" t="s">
        <v>9004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9010</v>
      </c>
      <c r="C278" s="43">
        <v>9697051544</v>
      </c>
      <c r="D278" s="43" t="s">
        <v>9015</v>
      </c>
      <c r="E278" s="43" t="s">
        <v>9011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8984</v>
      </c>
      <c r="C279" s="43">
        <v>8492809204</v>
      </c>
      <c r="D279" s="43" t="s">
        <v>9016</v>
      </c>
      <c r="E279" s="43" t="s">
        <v>9003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 t="s">
        <v>9122</v>
      </c>
      <c r="C280" s="43">
        <v>9697771194</v>
      </c>
      <c r="D280" s="43" t="s">
        <v>9030</v>
      </c>
      <c r="E280" s="43" t="s">
        <v>9123</v>
      </c>
      <c r="F280" s="21">
        <v>46079</v>
      </c>
      <c r="G280" s="21" t="s">
        <v>342</v>
      </c>
      <c r="H280" s="19" t="s">
        <v>6664</v>
      </c>
    </row>
    <row r="281" spans="1:8" ht="15.75" x14ac:dyDescent="0.25">
      <c r="A281" s="19">
        <f t="shared" si="4"/>
        <v>279</v>
      </c>
      <c r="B281" s="43" t="s">
        <v>8949</v>
      </c>
      <c r="C281" s="43">
        <v>9419016072</v>
      </c>
      <c r="D281" s="43" t="s">
        <v>9031</v>
      </c>
      <c r="E281" s="43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3" t="s">
        <v>9038</v>
      </c>
      <c r="C282" s="43">
        <v>6005494898</v>
      </c>
      <c r="D282" s="43" t="s">
        <v>9041</v>
      </c>
      <c r="E282" s="43" t="s">
        <v>9040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8988</v>
      </c>
      <c r="C283" s="43">
        <v>9818486696</v>
      </c>
      <c r="D283" s="43" t="s">
        <v>9042</v>
      </c>
      <c r="E283" s="43" t="s">
        <v>9002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 t="s">
        <v>9050</v>
      </c>
      <c r="C284" s="43">
        <v>7051998124</v>
      </c>
      <c r="D284" s="43" t="s">
        <v>9045</v>
      </c>
      <c r="E284" s="43" t="s">
        <v>9026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3" t="s">
        <v>3216</v>
      </c>
      <c r="C285" s="43">
        <v>9622453215</v>
      </c>
      <c r="D285" s="43" t="s">
        <v>9067</v>
      </c>
      <c r="E285" s="43" t="s">
        <v>9065</v>
      </c>
      <c r="F285" s="21">
        <v>46079</v>
      </c>
      <c r="G285" s="21" t="s">
        <v>341</v>
      </c>
      <c r="H285" s="19" t="s">
        <v>6664</v>
      </c>
    </row>
    <row r="286" spans="1:8" ht="15.75" x14ac:dyDescent="0.25">
      <c r="A286" s="19">
        <f t="shared" si="4"/>
        <v>284</v>
      </c>
      <c r="B286" s="43" t="s">
        <v>9049</v>
      </c>
      <c r="C286" s="43">
        <v>7889633998</v>
      </c>
      <c r="D286" s="43" t="s">
        <v>9102</v>
      </c>
      <c r="E286" s="43" t="s">
        <v>9056</v>
      </c>
      <c r="F286" s="21">
        <v>46079</v>
      </c>
      <c r="G286" s="21" t="s">
        <v>341</v>
      </c>
      <c r="H286" s="19" t="s">
        <v>6664</v>
      </c>
    </row>
    <row r="287" spans="1:8" ht="15.75" x14ac:dyDescent="0.25">
      <c r="A287" s="19">
        <f t="shared" si="4"/>
        <v>285</v>
      </c>
      <c r="B287" s="43" t="s">
        <v>9082</v>
      </c>
      <c r="C287" s="43">
        <v>9682666271</v>
      </c>
      <c r="D287" s="43" t="s">
        <v>9100</v>
      </c>
      <c r="E287" s="43" t="s">
        <v>9101</v>
      </c>
      <c r="F287" s="21">
        <v>46080</v>
      </c>
      <c r="G287" s="21" t="s">
        <v>341</v>
      </c>
      <c r="H287" s="19" t="s">
        <v>6664</v>
      </c>
    </row>
    <row r="288" spans="1:8" ht="15.75" x14ac:dyDescent="0.25">
      <c r="A288" s="19">
        <f t="shared" si="4"/>
        <v>286</v>
      </c>
      <c r="B288" s="43" t="s">
        <v>9115</v>
      </c>
      <c r="C288" s="43">
        <v>9906844402</v>
      </c>
      <c r="D288" s="43" t="s">
        <v>9116</v>
      </c>
      <c r="E288" s="43" t="s">
        <v>9094</v>
      </c>
      <c r="F288" s="21">
        <v>46080</v>
      </c>
      <c r="G288" s="21" t="s">
        <v>341</v>
      </c>
      <c r="H288" s="19" t="s">
        <v>6664</v>
      </c>
    </row>
    <row r="289" spans="1:8" ht="15.75" x14ac:dyDescent="0.25">
      <c r="A289" s="19">
        <f t="shared" si="4"/>
        <v>287</v>
      </c>
      <c r="B289" s="43" t="s">
        <v>9055</v>
      </c>
      <c r="C289" s="43">
        <v>9906542613</v>
      </c>
      <c r="D289" s="43" t="s">
        <v>9119</v>
      </c>
      <c r="E289" s="43" t="s">
        <v>9057</v>
      </c>
      <c r="F289" s="21">
        <v>46081</v>
      </c>
      <c r="G289" s="21" t="s">
        <v>341</v>
      </c>
      <c r="H289" s="19" t="s">
        <v>6664</v>
      </c>
    </row>
    <row r="290" spans="1:8" ht="15.75" x14ac:dyDescent="0.25">
      <c r="A290" s="19">
        <f t="shared" si="4"/>
        <v>288</v>
      </c>
      <c r="B290" s="43" t="s">
        <v>9120</v>
      </c>
      <c r="C290" s="43">
        <v>7006390044</v>
      </c>
      <c r="D290" s="43" t="s">
        <v>9121</v>
      </c>
      <c r="E290" s="43" t="s">
        <v>9099</v>
      </c>
      <c r="F290" s="21">
        <v>46081</v>
      </c>
      <c r="G290" s="21" t="s">
        <v>341</v>
      </c>
      <c r="H290" s="19" t="s">
        <v>6664</v>
      </c>
    </row>
    <row r="291" spans="1:8" ht="15.75" x14ac:dyDescent="0.25">
      <c r="A291" s="19">
        <f t="shared" si="4"/>
        <v>289</v>
      </c>
      <c r="B291" s="43" t="s">
        <v>9033</v>
      </c>
      <c r="C291" s="43">
        <v>7889588319</v>
      </c>
      <c r="D291" s="43" t="s">
        <v>9131</v>
      </c>
      <c r="E291" s="43" t="s">
        <v>9032</v>
      </c>
      <c r="F291" s="21">
        <v>46081</v>
      </c>
      <c r="G291" s="21" t="s">
        <v>341</v>
      </c>
      <c r="H291" s="19" t="s">
        <v>6664</v>
      </c>
    </row>
    <row r="292" spans="1:8" ht="15.75" x14ac:dyDescent="0.25">
      <c r="A292" s="19">
        <f t="shared" si="4"/>
        <v>290</v>
      </c>
      <c r="B292" s="43" t="s">
        <v>9110</v>
      </c>
      <c r="C292" s="43">
        <v>6005333671</v>
      </c>
      <c r="D292" s="43" t="s">
        <v>9132</v>
      </c>
      <c r="E292" s="43" t="s">
        <v>9118</v>
      </c>
      <c r="F292" s="21">
        <v>46081</v>
      </c>
      <c r="G292" s="21" t="s">
        <v>341</v>
      </c>
      <c r="H292" s="19" t="s">
        <v>6664</v>
      </c>
    </row>
    <row r="293" spans="1:8" ht="15.75" x14ac:dyDescent="0.25">
      <c r="A293" s="19">
        <f t="shared" si="4"/>
        <v>291</v>
      </c>
      <c r="B293" s="43" t="s">
        <v>9138</v>
      </c>
      <c r="C293" s="43">
        <v>7006247008</v>
      </c>
      <c r="D293" s="43" t="s">
        <v>9133</v>
      </c>
      <c r="E293" s="43" t="s">
        <v>9130</v>
      </c>
      <c r="F293" s="21">
        <v>46084</v>
      </c>
      <c r="G293" s="21" t="s">
        <v>341</v>
      </c>
      <c r="H293" s="19" t="s">
        <v>6664</v>
      </c>
    </row>
    <row r="294" spans="1:8" ht="15.75" x14ac:dyDescent="0.25">
      <c r="A294" s="19">
        <f t="shared" si="4"/>
        <v>292</v>
      </c>
      <c r="B294" s="43" t="s">
        <v>9139</v>
      </c>
      <c r="C294" s="43">
        <v>6005256030</v>
      </c>
      <c r="D294" s="43" t="s">
        <v>9134</v>
      </c>
      <c r="E294" s="43" t="s">
        <v>9117</v>
      </c>
      <c r="F294" s="21">
        <v>46084</v>
      </c>
      <c r="G294" s="21" t="s">
        <v>341</v>
      </c>
      <c r="H294" s="19" t="s">
        <v>6664</v>
      </c>
    </row>
    <row r="295" spans="1:8" ht="15.75" x14ac:dyDescent="0.25">
      <c r="A295" s="19">
        <f t="shared" si="4"/>
        <v>293</v>
      </c>
      <c r="B295" s="43" t="s">
        <v>9136</v>
      </c>
      <c r="C295" s="43">
        <v>8825080594</v>
      </c>
      <c r="D295" s="43" t="s">
        <v>9135</v>
      </c>
      <c r="E295" s="43" t="s">
        <v>9137</v>
      </c>
      <c r="F295" s="21">
        <v>46082</v>
      </c>
      <c r="G295" s="21" t="s">
        <v>398</v>
      </c>
      <c r="H295" s="19" t="s">
        <v>6664</v>
      </c>
    </row>
    <row r="296" spans="1:8" ht="15.75" x14ac:dyDescent="0.25">
      <c r="A296" s="19">
        <f t="shared" si="4"/>
        <v>294</v>
      </c>
      <c r="B296" s="43" t="s">
        <v>9147</v>
      </c>
      <c r="C296" s="43">
        <v>7006931595</v>
      </c>
      <c r="D296" s="43" t="s">
        <v>9155</v>
      </c>
      <c r="E296" s="43" t="s">
        <v>9149</v>
      </c>
      <c r="F296" s="21">
        <v>46085</v>
      </c>
      <c r="G296" s="21" t="s">
        <v>341</v>
      </c>
      <c r="H296" s="19" t="s">
        <v>6664</v>
      </c>
    </row>
    <row r="297" spans="1:8" ht="15.75" x14ac:dyDescent="0.25">
      <c r="A297" s="19">
        <f t="shared" si="4"/>
        <v>295</v>
      </c>
      <c r="B297" s="43"/>
      <c r="C297" s="43"/>
      <c r="D297" s="43"/>
      <c r="E297" s="43"/>
      <c r="F297" s="21"/>
      <c r="G297" s="21"/>
      <c r="H297" s="19"/>
    </row>
    <row r="298" spans="1:8" ht="15.75" x14ac:dyDescent="0.25">
      <c r="A298" s="19">
        <f t="shared" si="4"/>
        <v>296</v>
      </c>
      <c r="B298" s="43"/>
      <c r="C298" s="43"/>
      <c r="D298" s="43"/>
      <c r="E298" s="43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E277 B290:E308">
    <cfRule type="expression" dxfId="9" priority="40">
      <formula>CELL("row")=ROW()</formula>
    </cfRule>
  </conditionalFormatting>
  <conditionalFormatting sqref="B252:C252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297:D298 B170:E297">
    <cfRule type="expression" dxfId="6" priority="1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 E297:E298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2026-03-04T10:09:40Z</dcterms:modified>
</cp:coreProperties>
</file>