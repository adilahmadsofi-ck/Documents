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3F7FEDA-3430-4EF5-8A3C-F05DC4083228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3" i="4" l="1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H318" i="4"/>
  <c r="H319" i="4"/>
  <c r="H320" i="4"/>
  <c r="H321" i="4"/>
  <c r="H322" i="4"/>
  <c r="H323" i="4"/>
  <c r="H324" i="4"/>
  <c r="H325" i="4"/>
  <c r="A318" i="4"/>
  <c r="A319" i="4"/>
  <c r="A320" i="4"/>
  <c r="A321" i="4"/>
  <c r="A322" i="4"/>
  <c r="A323" i="4"/>
  <c r="A324" i="4"/>
  <c r="A325" i="4"/>
  <c r="H312" i="4"/>
  <c r="H313" i="4"/>
  <c r="H314" i="4"/>
  <c r="H315" i="4"/>
  <c r="H316" i="4"/>
  <c r="H317" i="4"/>
  <c r="A312" i="4"/>
  <c r="A313" i="4"/>
  <c r="A314" i="4"/>
  <c r="A315" i="4"/>
  <c r="A316" i="4"/>
  <c r="A317" i="4"/>
  <c r="A130" i="7"/>
  <c r="A131" i="7"/>
  <c r="A132" i="7"/>
  <c r="A133" i="7"/>
  <c r="A134" i="7"/>
  <c r="A135" i="7"/>
  <c r="A136" i="7"/>
  <c r="A137" i="7"/>
  <c r="A138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89" i="4"/>
  <c r="H300" i="4"/>
  <c r="A297" i="4"/>
  <c r="A298" i="4"/>
  <c r="A289" i="4"/>
  <c r="A300" i="4"/>
  <c r="H287" i="4"/>
  <c r="H288" i="4"/>
  <c r="H299" i="4"/>
  <c r="H290" i="4"/>
  <c r="H291" i="4"/>
  <c r="H292" i="4"/>
  <c r="H293" i="4"/>
  <c r="H294" i="4"/>
  <c r="H295" i="4"/>
  <c r="H296" i="4"/>
  <c r="A287" i="4"/>
  <c r="A288" i="4"/>
  <c r="A29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71" i="4"/>
  <c r="H284" i="4"/>
  <c r="H285" i="4"/>
  <c r="H286" i="4"/>
  <c r="A271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183" i="4"/>
  <c r="H272" i="4"/>
  <c r="H273" i="4"/>
  <c r="H274" i="4"/>
  <c r="H277" i="4"/>
  <c r="H278" i="4"/>
  <c r="H279" i="4"/>
  <c r="H222" i="4"/>
  <c r="H281" i="4"/>
  <c r="H282" i="4"/>
  <c r="A267" i="4"/>
  <c r="A268" i="4"/>
  <c r="A259" i="4"/>
  <c r="A269" i="4"/>
  <c r="A270" i="4"/>
  <c r="A183" i="4"/>
  <c r="A272" i="4"/>
  <c r="A273" i="4"/>
  <c r="A274" i="4"/>
  <c r="A275" i="4"/>
  <c r="A276" i="4"/>
  <c r="A277" i="4"/>
  <c r="A278" i="4"/>
  <c r="A279" i="4"/>
  <c r="A222" i="4"/>
  <c r="A281" i="4"/>
  <c r="A282" i="4"/>
  <c r="H256" i="4"/>
  <c r="H257" i="4"/>
  <c r="H258" i="4"/>
  <c r="H260" i="4"/>
  <c r="H261" i="4"/>
  <c r="H262" i="4"/>
  <c r="H263" i="4"/>
  <c r="H264" i="4"/>
  <c r="H280" i="4"/>
  <c r="H266" i="4"/>
  <c r="A256" i="4"/>
  <c r="A257" i="4"/>
  <c r="A258" i="4"/>
  <c r="A260" i="4"/>
  <c r="A261" i="4"/>
  <c r="A262" i="4"/>
  <c r="A263" i="4"/>
  <c r="A264" i="4"/>
  <c r="A280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9" i="4"/>
  <c r="H265" i="4"/>
  <c r="H227" i="4"/>
  <c r="H228" i="4"/>
  <c r="H133" i="4"/>
  <c r="H230" i="4"/>
  <c r="H231" i="4"/>
  <c r="H232" i="4"/>
  <c r="A223" i="4"/>
  <c r="A224" i="4"/>
  <c r="A229" i="4"/>
  <c r="A265" i="4"/>
  <c r="A227" i="4"/>
  <c r="A228" i="4"/>
  <c r="A133" i="4"/>
  <c r="A230" i="4"/>
  <c r="A231" i="4"/>
  <c r="A232" i="4"/>
  <c r="H221" i="4"/>
  <c r="H13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13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226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65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283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225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226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<sst xmlns="http://schemas.openxmlformats.org/spreadsheetml/2006/main" count="20562" uniqueCount="8033">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</sst>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74" totalsRowShown="0" headerRowDxfId="87" dataDxfId="86">
  <autoFilter ref="A1:R374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38" totalsRowShown="0" headerRowDxfId="42" dataDxfId="41">
  <autoFilter ref="A2:H13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52"/>
  <sheetViews>
    <sheetView tabSelected="1" topLeftCell="C325" zoomScaleNormal="100" workbookViewId="0">
      <selection activeCell="E340" sqref="E34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4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4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ref="A65:A128" si="3">ROW()-1</f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ref="H65:H96" si="4">IF(LEFT(I65,4)="JK13","PULWAMA",IF(LEFT(I65,4)="JK01","SRINAGAR",IF(LEFT(I65,4)="JK04","BUDGAM",IF(LEFT(I65,4)="JK03","ANANTNAG",IF(LEFT(I65,4)="JK05","BARAMULLA",IF(LEFT(I65,4)="25BH","BHARAT",IF(LEFT(I65,4)="JK12","POONCH",IF(LEFT(I65,4)="JK18","KULGAM",IF(LEFT(I65,4)="JK22","SHOPIAN",IF(LEFT(I65,4)="T102","TEMP",IF(LEFT(I65,4)="JK09","KUPWARA",IF(LEFT(I65,4)="JK15","BANDIPORA",IF(LEFT(I65,4)="T112","KARGIL","NEW")))))))))))))</f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3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4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ref="H97:H128" si="5">IF(LEFT(I97,4)="JK13","PULWAMA",IF(LEFT(I97,4)="JK01","SRINAGAR",IF(LEFT(I97,4)="JK04","BUDGAM",IF(LEFT(I97,4)="JK03","ANANTNAG",IF(LEFT(I97,4)="JK05","BARAMULLA",IF(LEFT(I97,4)="25BH","BHARAT",IF(LEFT(I97,4)="JK12","POONCH",IF(LEFT(I97,4)="JK18","KULGAM",IF(LEFT(I97,4)="JK22","SHOPIAN",IF(LEFT(I97,4)="T102","TEMP",IF(LEFT(I97,4)="JK09","KUPWARA",IF(LEFT(I97,4)="JK15","BANDIPORA",IF(LEFT(I97,4)="T112","KARGIL","NEW"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5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6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ref="H129:H130" si="7">IF(LEFT(I129,4)="JK13","PULWAMA",IF(LEFT(I129,4)="JK01","SRINAGAR",IF(LEFT(I129,4)="JK04","BUDGAM",IF(LEFT(I129,4)="JK03","ANANTNAG",IF(LEFT(I129,4)="JK05","BARAMULLA",IF(LEFT(I129,4)="25BH","BHARAT",IF(LEFT(I129,4)="JK12","POONCH",IF(LEFT(I129,4)="JK18","KULGAM",IF(LEFT(I129,4)="JK22","SHOPIAN",IF(LEFT(I129,4)="T102","TEMP",IF(LEFT(I129,4)="JK09","KUPWARA",IF(LEFT(I129,4)="JK15","BANDIPORA",IF(LEFT(I129,4)="T112","KARGIL","NEW"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6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7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7288</v>
      </c>
      <c r="C132" s="47" t="s">
        <v>7289</v>
      </c>
      <c r="D132" s="47" t="s">
        <v>7290</v>
      </c>
      <c r="E132" s="47" t="s">
        <v>7291</v>
      </c>
      <c r="F132" s="47" t="s">
        <v>6546</v>
      </c>
      <c r="G132" s="47" t="s">
        <v>6475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7293</v>
      </c>
      <c r="J132" s="48">
        <v>46010</v>
      </c>
      <c r="K132" s="47">
        <v>9018112121</v>
      </c>
      <c r="L132" s="47" t="s">
        <v>26</v>
      </c>
      <c r="M132" s="49"/>
      <c r="N132" s="48"/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7330</v>
      </c>
      <c r="C133" s="47" t="s">
        <v>7326</v>
      </c>
      <c r="D133" s="47" t="s">
        <v>7327</v>
      </c>
      <c r="E133" s="47" t="s">
        <v>7328</v>
      </c>
      <c r="F133" s="47" t="s">
        <v>31</v>
      </c>
      <c r="G133" s="47" t="s">
        <v>174</v>
      </c>
      <c r="H133" s="47" t="str">
        <f t="shared" si="8"/>
        <v>SRINAGAR</v>
      </c>
      <c r="I133" s="47" t="s">
        <v>7329</v>
      </c>
      <c r="J133" s="48">
        <v>46011</v>
      </c>
      <c r="K133" s="47">
        <v>9622755213</v>
      </c>
      <c r="L133" s="47" t="s">
        <v>26</v>
      </c>
      <c r="M133" s="49" t="s">
        <v>7617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7579</v>
      </c>
      <c r="C183" s="47" t="s">
        <v>7580</v>
      </c>
      <c r="D183" s="47" t="s">
        <v>7581</v>
      </c>
      <c r="E183" s="47" t="s">
        <v>7582</v>
      </c>
      <c r="F183" s="47" t="s">
        <v>290</v>
      </c>
      <c r="G183" s="47" t="s">
        <v>175</v>
      </c>
      <c r="H183" s="47" t="str">
        <f t="shared" si="9"/>
        <v>SRINAGAR</v>
      </c>
      <c r="I183" s="47" t="s">
        <v>7593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6" si="11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11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7646</v>
      </c>
      <c r="C222" s="47" t="s">
        <v>7643</v>
      </c>
      <c r="D222" s="47" t="s">
        <v>7644</v>
      </c>
      <c r="E222" s="47" t="s">
        <v>7645</v>
      </c>
      <c r="F222" s="47" t="s">
        <v>12</v>
      </c>
      <c r="G222" s="47" t="s">
        <v>200</v>
      </c>
      <c r="H222" s="47" t="str">
        <f t="shared" si="10"/>
        <v>SRINAGAR</v>
      </c>
      <c r="I222" s="47" t="s">
        <v>7651</v>
      </c>
      <c r="J222" s="48">
        <v>46018</v>
      </c>
      <c r="K222" s="47">
        <v>7006181232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12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7044</v>
      </c>
      <c r="C226" s="47" t="s">
        <v>7045</v>
      </c>
      <c r="D226" s="47" t="s">
        <v>7046</v>
      </c>
      <c r="E226" s="47" t="s">
        <v>7047</v>
      </c>
      <c r="F226" s="47" t="s">
        <v>119</v>
      </c>
      <c r="G226" s="47" t="s">
        <v>200</v>
      </c>
      <c r="H226" s="47" t="str">
        <f t="shared" si="12"/>
        <v>BUDGAM</v>
      </c>
      <c r="I226" s="47" t="s">
        <v>7065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7307</v>
      </c>
      <c r="C229" s="47" t="s">
        <v>7308</v>
      </c>
      <c r="D229" s="47" t="s">
        <v>7309</v>
      </c>
      <c r="E229" s="47" t="s">
        <v>7310</v>
      </c>
      <c r="F229" s="47" t="s">
        <v>1264</v>
      </c>
      <c r="G229" s="47" t="s">
        <v>174</v>
      </c>
      <c r="H229" s="47" t="str">
        <f t="shared" si="12"/>
        <v>BUDGAM</v>
      </c>
      <c r="I229" s="47" t="s">
        <v>7322</v>
      </c>
      <c r="J229" s="48">
        <v>46011</v>
      </c>
      <c r="K229" s="47">
        <v>9797913220</v>
      </c>
      <c r="L229" s="47" t="s">
        <v>26</v>
      </c>
      <c r="M229" s="49" t="s">
        <v>7617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 t="s">
        <v>7955</v>
      </c>
      <c r="N248" s="48">
        <v>46025</v>
      </c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 t="s">
        <v>8018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7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ref="A257:A299" si="14">ROW()-1</f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14"/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 t="s">
        <v>7615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7314</v>
      </c>
      <c r="C265" s="47" t="s">
        <v>7311</v>
      </c>
      <c r="D265" s="47" t="s">
        <v>7312</v>
      </c>
      <c r="E265" s="47" t="s">
        <v>7313</v>
      </c>
      <c r="F265" s="47" t="s">
        <v>238</v>
      </c>
      <c r="G265" s="47" t="s">
        <v>200</v>
      </c>
      <c r="H265" s="47" t="str">
        <f t="shared" si="13"/>
        <v>PULWAMA</v>
      </c>
      <c r="I265" s="47" t="s">
        <v>7321</v>
      </c>
      <c r="J265" s="48">
        <v>46011</v>
      </c>
      <c r="K265" s="47">
        <v>7006878734</v>
      </c>
      <c r="L265" s="47" t="s">
        <v>26</v>
      </c>
      <c r="M265" s="49"/>
      <c r="N265" s="48"/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7668</v>
      </c>
      <c r="C271" s="47" t="s">
        <v>7659</v>
      </c>
      <c r="D271" s="47" t="s">
        <v>7660</v>
      </c>
      <c r="E271" s="47" t="s">
        <v>7661</v>
      </c>
      <c r="F271" s="47" t="s">
        <v>31</v>
      </c>
      <c r="G271" s="47" t="s">
        <v>200</v>
      </c>
      <c r="H271" s="47" t="str">
        <f t="shared" si="13"/>
        <v>PULWAMA</v>
      </c>
      <c r="I271" s="47" t="s">
        <v>7662</v>
      </c>
      <c r="J271" s="48">
        <v>46018</v>
      </c>
      <c r="K271" s="47">
        <v>9622531795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 t="s">
        <v>7617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7529</v>
      </c>
      <c r="C280" s="47" t="s">
        <v>7530</v>
      </c>
      <c r="D280" s="47" t="s">
        <v>7531</v>
      </c>
      <c r="E280" s="47" t="s">
        <v>7532</v>
      </c>
      <c r="F280" s="47" t="s">
        <v>100</v>
      </c>
      <c r="G280" s="47" t="s">
        <v>200</v>
      </c>
      <c r="H280" s="47" t="str">
        <f t="shared" si="13"/>
        <v>PULWAMA</v>
      </c>
      <c r="I280" s="47" t="s">
        <v>7540</v>
      </c>
      <c r="J280" s="48">
        <v>46016</v>
      </c>
      <c r="K280" s="47">
        <v>9697972995</v>
      </c>
      <c r="L280" s="47" t="s">
        <v>26</v>
      </c>
      <c r="M280" s="49" t="s">
        <v>7617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 t="s">
        <v>7455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3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7822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3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3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3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si="13"/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ref="H288:H298" si="15">IF(LEFT(I288,4)="JK13","PULWAMA",IF(LEFT(I288,4)="JK01","SRINAGAR",IF(LEFT(I288,4)="JK04","BUDGAM",IF(LEFT(I288,4)="JK03","ANANTNAG",IF(LEFT(I288,4)="JK05","BARAMULLA",IF(LEFT(I288,4)="25BH","BHARAT",IF(LEFT(I288,4)="JK12","POONCH",IF(LEFT(I288,4)="JK18","KULGAM",IF(LEFT(I288,4)="JK22","SHOPIAN",IF(LEFT(I288,4)="T102","TEMP",IF(LEFT(I288,4)="JK09","KUPWARA",IF(LEFT(I288,4)="JK15","BANDIPORA",IF(LEFT(I288,4)="T112","KARGIL","NEW")))))))))))))</f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7763</v>
      </c>
      <c r="C289" s="47" t="s">
        <v>7764</v>
      </c>
      <c r="D289" s="47" t="s">
        <v>7765</v>
      </c>
      <c r="E289" s="47" t="s">
        <v>7766</v>
      </c>
      <c r="F289" s="47" t="s">
        <v>3130</v>
      </c>
      <c r="G289" s="47" t="s">
        <v>6475</v>
      </c>
      <c r="H289" s="47" t="str">
        <f t="shared" si="15"/>
        <v>KULGAM</v>
      </c>
      <c r="I289" s="47" t="s">
        <v>7768</v>
      </c>
      <c r="J289" s="48">
        <v>46021</v>
      </c>
      <c r="K289" s="47">
        <v>9622775800</v>
      </c>
      <c r="L289" s="47" t="s">
        <v>26</v>
      </c>
      <c r="M289" s="49"/>
      <c r="N289" s="48"/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5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5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5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5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5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/>
      <c r="N294" s="48"/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5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5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si="15"/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5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7714</v>
      </c>
      <c r="C299" s="47" t="s">
        <v>7709</v>
      </c>
      <c r="D299" s="47" t="s">
        <v>7710</v>
      </c>
      <c r="E299" s="47" t="s">
        <v>7711</v>
      </c>
      <c r="F299" s="47" t="s">
        <v>7712</v>
      </c>
      <c r="G299" s="47" t="s">
        <v>200</v>
      </c>
      <c r="H299" s="47" t="e">
        <f>IF(LEFT(#REF!,4)="JK13","PULWAMA",IF(LEFT(#REF!,4)="JK01","SRINAGAR",IF(LEFT(#REF!,4)="JK04","BUDGAM",IF(LEFT(#REF!,4)="JK03","ANANTNAG",IF(LEFT(#REF!,4)="JK05","BARAMULLA",IF(LEFT(#REF!,4)="25BH","BHARAT",IF(LEFT(#REF!,4)="JK12","POONCH",IF(LEFT(#REF!,4)="JK18","KULGAM",IF(LEFT(#REF!,4)="JK22","SHOPIAN",IF(LEFT(#REF!,4)="T102","TEMP",IF(LEFT(#REF!,4)="JK09","KUPWARA",IF(LEFT(#REF!,4)="JK15","BANDIPORA",IF(LEFT(#REF!,4)="T112","KARGIL","NEW")))))))))))))</f>
        <v>#REF!</v>
      </c>
      <c r="I299" s="47" t="s">
        <v>8017</v>
      </c>
      <c r="J299" s="48">
        <v>46020</v>
      </c>
      <c r="K299" s="47">
        <v>9622020576</v>
      </c>
      <c r="L299" s="47" t="s">
        <v>7713</v>
      </c>
      <c r="M299" s="49"/>
      <c r="N299" s="48"/>
      <c r="O299" s="47"/>
      <c r="P299" s="50"/>
      <c r="Q299" s="47"/>
      <c r="R299" s="47"/>
    </row>
    <row r="300" spans="1:18" x14ac:dyDescent="0.25">
      <c r="A300" s="47">
        <f t="shared" ref="A300:A363" si="16">ROW()-1</f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ref="H300" si="17">IF(LEFT(I300,4)="JK13","PULWAMA",IF(LEFT(I300,4)="JK01","SRINAGAR",IF(LEFT(I300,4)="JK04","BUDGAM",IF(LEFT(I300,4)="JK03","ANANTNAG",IF(LEFT(I300,4)="JK05","BARAMULLA",IF(LEFT(I300,4)="25BH","BHARAT",IF(LEFT(I300,4)="JK12","POONCH",IF(LEFT(I300,4)="JK18","KULGAM",IF(LEFT(I300,4)="JK22","SHOPIAN",IF(LEFT(I300,4)="T102","TEMP",IF(LEFT(I300,4)="JK09","KUPWARA",IF(LEFT(I300,4)="JK15","BANDIPORA",IF(LEFT(I300,4)="T112","KARGIL","NEW")))))))))))))</f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6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6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 t="s">
        <v>7895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6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BUDGAM</v>
      </c>
      <c r="I303" s="55" t="s">
        <v>7848</v>
      </c>
      <c r="J303" s="48">
        <v>46022</v>
      </c>
      <c r="K303" s="47">
        <v>7780996739</v>
      </c>
      <c r="L303" s="47" t="s">
        <v>70</v>
      </c>
      <c r="M303" s="49"/>
      <c r="N303" s="48"/>
      <c r="O303" s="47"/>
      <c r="P303" s="50"/>
      <c r="Q303" s="47"/>
      <c r="R303" s="47"/>
    </row>
    <row r="304" spans="1:18" x14ac:dyDescent="0.25">
      <c r="A304" s="47">
        <f t="shared" si="16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/>
      <c r="N304" s="48"/>
      <c r="O304" s="47"/>
      <c r="P304" s="50"/>
      <c r="Q304" s="47"/>
      <c r="R304" s="47"/>
    </row>
    <row r="305" spans="1:18" x14ac:dyDescent="0.25">
      <c r="A305" s="47">
        <f t="shared" si="16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6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6"/>
        <v>306</v>
      </c>
      <c r="B307" s="47" t="s">
        <v>7821</v>
      </c>
      <c r="C307" s="47" t="s">
        <v>7818</v>
      </c>
      <c r="D307" s="47" t="s">
        <v>7819</v>
      </c>
      <c r="E307" s="47" t="s">
        <v>7820</v>
      </c>
      <c r="F307" s="47" t="s">
        <v>119</v>
      </c>
      <c r="G307" s="47" t="s">
        <v>200</v>
      </c>
      <c r="H307" s="47" t="str">
        <f t="shared" si="18"/>
        <v>BUDGAM</v>
      </c>
      <c r="I307" s="55" t="s">
        <v>7847</v>
      </c>
      <c r="J307" s="48">
        <v>46023</v>
      </c>
      <c r="K307" s="47">
        <v>7006000499</v>
      </c>
      <c r="L307" s="47" t="s">
        <v>106</v>
      </c>
      <c r="M307" s="49"/>
      <c r="N307" s="48"/>
      <c r="O307" s="47"/>
      <c r="P307" s="50"/>
      <c r="Q307" s="47"/>
      <c r="R307" s="47"/>
    </row>
    <row r="308" spans="1:18" x14ac:dyDescent="0.25">
      <c r="A308" s="47">
        <f t="shared" si="16"/>
        <v>307</v>
      </c>
      <c r="B308" s="47" t="s">
        <v>7826</v>
      </c>
      <c r="C308" s="47" t="s">
        <v>7823</v>
      </c>
      <c r="D308" s="47" t="s">
        <v>7824</v>
      </c>
      <c r="E308" s="47" t="s">
        <v>7825</v>
      </c>
      <c r="F308" s="47" t="s">
        <v>119</v>
      </c>
      <c r="G308" s="47" t="s">
        <v>200</v>
      </c>
      <c r="H308" s="47" t="str">
        <f t="shared" si="18"/>
        <v>SRINAGAR</v>
      </c>
      <c r="I308" s="55" t="s">
        <v>7849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6"/>
        <v>308</v>
      </c>
      <c r="B309" s="47" t="s">
        <v>7827</v>
      </c>
      <c r="C309" s="47" t="s">
        <v>7828</v>
      </c>
      <c r="D309" s="47" t="s">
        <v>7829</v>
      </c>
      <c r="E309" s="47" t="s">
        <v>7830</v>
      </c>
      <c r="F309" s="47" t="s">
        <v>100</v>
      </c>
      <c r="G309" s="47" t="s">
        <v>200</v>
      </c>
      <c r="H309" s="47" t="str">
        <f t="shared" si="18"/>
        <v>SRINAGAR</v>
      </c>
      <c r="I309" s="55" t="s">
        <v>7850</v>
      </c>
      <c r="J309" s="48">
        <v>46023</v>
      </c>
      <c r="K309" s="47">
        <v>7006582052</v>
      </c>
      <c r="L309" s="47" t="s">
        <v>307</v>
      </c>
      <c r="M309" s="49" t="s">
        <v>7776</v>
      </c>
      <c r="N309" s="48">
        <v>46025</v>
      </c>
      <c r="O309" s="47"/>
      <c r="P309" s="50"/>
      <c r="Q309" s="47"/>
      <c r="R309" s="47"/>
    </row>
    <row r="310" spans="1:18" x14ac:dyDescent="0.25">
      <c r="A310" s="47">
        <f t="shared" si="16"/>
        <v>309</v>
      </c>
      <c r="B310" s="47" t="s">
        <v>7834</v>
      </c>
      <c r="C310" s="47" t="s">
        <v>7831</v>
      </c>
      <c r="D310" s="47" t="s">
        <v>7832</v>
      </c>
      <c r="E310" s="47" t="s">
        <v>7833</v>
      </c>
      <c r="F310" s="47" t="s">
        <v>290</v>
      </c>
      <c r="G310" s="47" t="s">
        <v>200</v>
      </c>
      <c r="H310" s="47" t="str">
        <f t="shared" si="18"/>
        <v>SRINAGAR</v>
      </c>
      <c r="I310" s="55" t="s">
        <v>7851</v>
      </c>
      <c r="J310" s="48">
        <v>46023</v>
      </c>
      <c r="K310" s="47">
        <v>9906405123</v>
      </c>
      <c r="L310" s="47" t="s">
        <v>2248</v>
      </c>
      <c r="M310" s="49"/>
      <c r="N310" s="48"/>
      <c r="O310" s="47"/>
      <c r="P310" s="50"/>
      <c r="Q310" s="47"/>
      <c r="R310" s="47"/>
    </row>
    <row r="311" spans="1:18" x14ac:dyDescent="0.25">
      <c r="A311" s="47">
        <f t="shared" si="16"/>
        <v>310</v>
      </c>
      <c r="B311" s="47" t="s">
        <v>7835</v>
      </c>
      <c r="C311" s="47" t="s">
        <v>7836</v>
      </c>
      <c r="D311" s="47" t="s">
        <v>7837</v>
      </c>
      <c r="E311" s="47" t="s">
        <v>7838</v>
      </c>
      <c r="F311" s="47" t="s">
        <v>12</v>
      </c>
      <c r="G311" s="47" t="s">
        <v>200</v>
      </c>
      <c r="H311" s="47" t="str">
        <f t="shared" si="18"/>
        <v>BUDGAM</v>
      </c>
      <c r="I311" s="55" t="s">
        <v>7846</v>
      </c>
      <c r="J311" s="48">
        <v>46023</v>
      </c>
      <c r="K311" s="47">
        <v>7006016383</v>
      </c>
      <c r="L311" s="47" t="s">
        <v>307</v>
      </c>
      <c r="M311" s="49"/>
      <c r="N311" s="48"/>
      <c r="O311" s="47"/>
      <c r="P311" s="50"/>
      <c r="Q311" s="47"/>
      <c r="R311" s="47"/>
    </row>
    <row r="312" spans="1:18" x14ac:dyDescent="0.25">
      <c r="A312" s="47">
        <f t="shared" si="16"/>
        <v>311</v>
      </c>
      <c r="B312" s="47" t="s">
        <v>7839</v>
      </c>
      <c r="C312" s="47" t="s">
        <v>7840</v>
      </c>
      <c r="D312" s="47" t="s">
        <v>7841</v>
      </c>
      <c r="E312" s="47" t="s">
        <v>7842</v>
      </c>
      <c r="F312" s="47" t="s">
        <v>31</v>
      </c>
      <c r="G312" s="47" t="s">
        <v>200</v>
      </c>
      <c r="H312" s="47" t="str">
        <f t="shared" ref="H312:H317" si="19">IF(LEFT(I312,4)="JK13","PULWAMA",IF(LEFT(I312,4)="JK01","SRINAGAR",IF(LEFT(I312,4)="JK04","BUDGAM",IF(LEFT(I312,4)="JK03","ANANTNAG",IF(LEFT(I312,4)="JK05","BARAMULLA",IF(LEFT(I312,4)="25BH","BHARAT",IF(LEFT(I312,4)="JK12","POONCH",IF(LEFT(I312,4)="JK18","KULGAM",IF(LEFT(I312,4)="JK22","SHOPIAN",IF(LEFT(I312,4)="T102","TEMP",IF(LEFT(I312,4)="JK09","KUPWARA",IF(LEFT(I312,4)="JK15","BANDIPORA",IF(LEFT(I312,4)="T112","KARGIL","NEW")))))))))))))</f>
        <v>KULGAM</v>
      </c>
      <c r="I312" s="55" t="s">
        <v>7860</v>
      </c>
      <c r="J312" s="48">
        <v>46023</v>
      </c>
      <c r="K312" s="47">
        <v>7006176206</v>
      </c>
      <c r="L312" s="47" t="s">
        <v>6570</v>
      </c>
      <c r="M312" s="49"/>
      <c r="N312" s="48"/>
      <c r="O312" s="47"/>
      <c r="P312" s="50"/>
      <c r="Q312" s="47"/>
      <c r="R312" s="47"/>
    </row>
    <row r="313" spans="1:18" x14ac:dyDescent="0.25">
      <c r="A313" s="47">
        <f t="shared" si="16"/>
        <v>312</v>
      </c>
      <c r="B313" s="47" t="s">
        <v>7843</v>
      </c>
      <c r="C313" s="47" t="s">
        <v>7844</v>
      </c>
      <c r="D313" s="47" t="s">
        <v>7845</v>
      </c>
      <c r="E313" s="47" t="s">
        <v>2915</v>
      </c>
      <c r="F313" s="47" t="s">
        <v>193</v>
      </c>
      <c r="G313" s="47" t="s">
        <v>6440</v>
      </c>
      <c r="H313" s="47" t="str">
        <f t="shared" si="19"/>
        <v>SRINAGAR</v>
      </c>
      <c r="I313" s="55" t="s">
        <v>7862</v>
      </c>
      <c r="J313" s="48">
        <v>46023</v>
      </c>
      <c r="K313" s="47">
        <v>9596187640</v>
      </c>
      <c r="L313" s="47" t="s">
        <v>48</v>
      </c>
      <c r="M313" s="49"/>
      <c r="N313" s="48"/>
      <c r="O313" s="47"/>
      <c r="P313" s="50"/>
      <c r="Q313" s="47"/>
      <c r="R313" s="47"/>
    </row>
    <row r="314" spans="1:18" x14ac:dyDescent="0.25">
      <c r="A314" s="47">
        <f t="shared" si="16"/>
        <v>313</v>
      </c>
      <c r="B314" s="47" t="s">
        <v>7852</v>
      </c>
      <c r="C314" s="47" t="s">
        <v>7853</v>
      </c>
      <c r="D314" s="47" t="s">
        <v>7854</v>
      </c>
      <c r="E314" s="47" t="s">
        <v>7855</v>
      </c>
      <c r="F314" s="47" t="s">
        <v>7856</v>
      </c>
      <c r="G314" s="47" t="s">
        <v>181</v>
      </c>
      <c r="H314" s="47" t="str">
        <f t="shared" si="19"/>
        <v>SRINAGAR</v>
      </c>
      <c r="I314" s="55" t="s">
        <v>7861</v>
      </c>
      <c r="J314" s="48">
        <v>46023</v>
      </c>
      <c r="K314" s="47">
        <v>9622459354</v>
      </c>
      <c r="L314" s="47" t="s">
        <v>75</v>
      </c>
      <c r="M314" s="49"/>
      <c r="N314" s="48"/>
      <c r="O314" s="47"/>
      <c r="P314" s="50"/>
      <c r="Q314" s="47"/>
      <c r="R314" s="47"/>
    </row>
    <row r="315" spans="1:18" x14ac:dyDescent="0.25">
      <c r="A315" s="47">
        <f t="shared" si="16"/>
        <v>314</v>
      </c>
      <c r="B315" s="47" t="s">
        <v>7857</v>
      </c>
      <c r="C315" s="47" t="s">
        <v>7858</v>
      </c>
      <c r="D315" s="47" t="s">
        <v>7859</v>
      </c>
      <c r="E315" s="47" t="s">
        <v>2841</v>
      </c>
      <c r="F315" s="47" t="s">
        <v>119</v>
      </c>
      <c r="G315" s="47" t="s">
        <v>200</v>
      </c>
      <c r="H315" s="47" t="str">
        <f t="shared" si="19"/>
        <v>BARAMULLA</v>
      </c>
      <c r="I315" s="55" t="s">
        <v>7867</v>
      </c>
      <c r="J315" s="48">
        <v>46023</v>
      </c>
      <c r="K315" s="47">
        <v>7006960324</v>
      </c>
      <c r="L315" s="47" t="s">
        <v>6683</v>
      </c>
      <c r="M315" s="49"/>
      <c r="N315" s="48"/>
      <c r="O315" s="47"/>
      <c r="P315" s="50"/>
      <c r="Q315" s="47"/>
      <c r="R315" s="47"/>
    </row>
    <row r="316" spans="1:18" x14ac:dyDescent="0.25">
      <c r="A316" s="47">
        <f t="shared" si="16"/>
        <v>315</v>
      </c>
      <c r="B316" s="47" t="s">
        <v>7863</v>
      </c>
      <c r="C316" s="47" t="s">
        <v>7864</v>
      </c>
      <c r="D316" s="47" t="s">
        <v>7865</v>
      </c>
      <c r="E316" s="47" t="s">
        <v>7866</v>
      </c>
      <c r="F316" s="47" t="s">
        <v>12</v>
      </c>
      <c r="G316" s="47" t="s">
        <v>200</v>
      </c>
      <c r="H316" s="47" t="str">
        <f t="shared" si="19"/>
        <v>BARAMULLA</v>
      </c>
      <c r="I316" s="55" t="s">
        <v>7868</v>
      </c>
      <c r="J316" s="48">
        <v>46023</v>
      </c>
      <c r="K316" s="47">
        <v>9906759399</v>
      </c>
      <c r="L316" s="47" t="s">
        <v>6683</v>
      </c>
      <c r="M316" s="49"/>
      <c r="N316" s="48"/>
      <c r="O316" s="47"/>
      <c r="P316" s="50"/>
      <c r="Q316" s="47"/>
      <c r="R316" s="47"/>
    </row>
    <row r="317" spans="1:18" x14ac:dyDescent="0.25">
      <c r="A317" s="47">
        <f t="shared" si="16"/>
        <v>316</v>
      </c>
      <c r="B317" s="47" t="s">
        <v>7869</v>
      </c>
      <c r="C317" s="47" t="s">
        <v>7870</v>
      </c>
      <c r="D317" s="47" t="s">
        <v>7871</v>
      </c>
      <c r="E317" s="47" t="s">
        <v>7872</v>
      </c>
      <c r="F317" s="47" t="s">
        <v>119</v>
      </c>
      <c r="G317" s="47" t="s">
        <v>174</v>
      </c>
      <c r="H317" s="47" t="str">
        <f t="shared" si="19"/>
        <v>BUDGAM</v>
      </c>
      <c r="I317" s="55" t="s">
        <v>7880</v>
      </c>
      <c r="J317" s="48">
        <v>46023</v>
      </c>
      <c r="K317" s="47">
        <v>9596167274</v>
      </c>
      <c r="L317" s="47" t="s">
        <v>7873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6"/>
        <v>317</v>
      </c>
      <c r="B318" s="47" t="s">
        <v>7874</v>
      </c>
      <c r="C318" s="47" t="s">
        <v>7884</v>
      </c>
      <c r="D318" s="47" t="s">
        <v>7885</v>
      </c>
      <c r="E318" s="47" t="s">
        <v>7886</v>
      </c>
      <c r="F318" s="47" t="s">
        <v>31</v>
      </c>
      <c r="G318" s="47" t="s">
        <v>199</v>
      </c>
      <c r="H318" s="47" t="str">
        <f t="shared" ref="H318:H325" si="20">IF(LEFT(I318,4)="JK13","PULWAMA",IF(LEFT(I318,4)="JK01","SRINAGAR",IF(LEFT(I318,4)="JK04","BUDGAM",IF(LEFT(I318,4)="JK03","ANANTNAG",IF(LEFT(I318,4)="JK05","BARAMULLA",IF(LEFT(I318,4)="25BH","BHARAT",IF(LEFT(I318,4)="JK12","POONCH",IF(LEFT(I318,4)="JK18","KULGAM",IF(LEFT(I318,4)="JK22","SHOPIAN",IF(LEFT(I318,4)="T102","TEMP",IF(LEFT(I318,4)="JK09","KUPWARA",IF(LEFT(I318,4)="JK15","BANDIPORA",IF(LEFT(I318,4)="T112","KARGIL","NEW")))))))))))))</f>
        <v>BUDGAM</v>
      </c>
      <c r="I318" s="47" t="s">
        <v>7879</v>
      </c>
      <c r="J318" s="48">
        <v>46023</v>
      </c>
      <c r="K318" s="47">
        <v>8082623899</v>
      </c>
      <c r="L318" s="47" t="s">
        <v>48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16"/>
        <v>318</v>
      </c>
      <c r="B319" s="47" t="s">
        <v>7875</v>
      </c>
      <c r="C319" s="47" t="s">
        <v>7876</v>
      </c>
      <c r="D319" s="47" t="s">
        <v>7877</v>
      </c>
      <c r="E319" s="47" t="s">
        <v>7878</v>
      </c>
      <c r="F319" s="47" t="s">
        <v>12</v>
      </c>
      <c r="G319" s="47" t="s">
        <v>181</v>
      </c>
      <c r="H319" s="47" t="str">
        <f t="shared" si="20"/>
        <v>SRINAGAR</v>
      </c>
      <c r="I319" s="47" t="s">
        <v>7892</v>
      </c>
      <c r="J319" s="48">
        <v>46023</v>
      </c>
      <c r="K319" s="47">
        <v>7889588496</v>
      </c>
      <c r="L319" s="47" t="s">
        <v>7015</v>
      </c>
      <c r="M319" s="49"/>
      <c r="N319" s="48"/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6"/>
        <v>319</v>
      </c>
      <c r="B320" s="47" t="s">
        <v>7888</v>
      </c>
      <c r="C320" s="47" t="s">
        <v>7881</v>
      </c>
      <c r="D320" s="47" t="s">
        <v>7882</v>
      </c>
      <c r="E320" s="47" t="s">
        <v>7883</v>
      </c>
      <c r="F320" s="47" t="s">
        <v>290</v>
      </c>
      <c r="G320" s="47" t="s">
        <v>200</v>
      </c>
      <c r="H320" s="47" t="str">
        <f t="shared" si="20"/>
        <v>SRINAGAR</v>
      </c>
      <c r="I320" s="47" t="s">
        <v>7893</v>
      </c>
      <c r="J320" s="48">
        <v>46023</v>
      </c>
      <c r="K320" s="47">
        <v>7006759527</v>
      </c>
      <c r="L320" s="47" t="s">
        <v>7015</v>
      </c>
      <c r="M320" s="49"/>
      <c r="N320" s="48"/>
      <c r="O320" s="47"/>
      <c r="P320" s="50"/>
      <c r="Q320" s="47"/>
      <c r="R320" s="47" t="s">
        <v>7942</v>
      </c>
    </row>
    <row r="321" spans="1:18" x14ac:dyDescent="0.25">
      <c r="A321" s="47">
        <f t="shared" si="16"/>
        <v>320</v>
      </c>
      <c r="B321" s="47" t="s">
        <v>7887</v>
      </c>
      <c r="C321" s="47" t="s">
        <v>7889</v>
      </c>
      <c r="D321" s="47" t="s">
        <v>7890</v>
      </c>
      <c r="E321" s="47" t="s">
        <v>7891</v>
      </c>
      <c r="F321" s="47" t="s">
        <v>633</v>
      </c>
      <c r="G321" s="47" t="s">
        <v>199</v>
      </c>
      <c r="H321" s="47" t="str">
        <f t="shared" si="20"/>
        <v>SRINAGAR</v>
      </c>
      <c r="I321" s="47" t="s">
        <v>7894</v>
      </c>
      <c r="J321" s="48">
        <v>46023</v>
      </c>
      <c r="K321" s="47">
        <v>7006616090</v>
      </c>
      <c r="L321" s="47" t="s">
        <v>2248</v>
      </c>
      <c r="M321" s="49"/>
      <c r="N321" s="48"/>
      <c r="O321" s="47"/>
      <c r="P321" s="50"/>
      <c r="Q321" s="47"/>
      <c r="R321" s="47"/>
    </row>
    <row r="322" spans="1:18" x14ac:dyDescent="0.25">
      <c r="A322" s="47">
        <f t="shared" si="16"/>
        <v>321</v>
      </c>
      <c r="B322" s="47" t="s">
        <v>7898</v>
      </c>
      <c r="C322" s="47" t="s">
        <v>7896</v>
      </c>
      <c r="D322" s="47" t="s">
        <v>7897</v>
      </c>
      <c r="E322" s="47" t="s">
        <v>658</v>
      </c>
      <c r="F322" s="47" t="s">
        <v>119</v>
      </c>
      <c r="G322" s="47" t="s">
        <v>174</v>
      </c>
      <c r="H322" s="47" t="str">
        <f t="shared" si="20"/>
        <v>BARAMULLA</v>
      </c>
      <c r="I322" s="47" t="s">
        <v>7927</v>
      </c>
      <c r="J322" s="48">
        <v>46024</v>
      </c>
      <c r="K322" s="47">
        <v>7006898324</v>
      </c>
      <c r="L322" s="47" t="s">
        <v>2172</v>
      </c>
      <c r="M322" s="49"/>
      <c r="N322" s="48"/>
      <c r="O322" s="47"/>
      <c r="P322" s="50"/>
      <c r="Q322" s="47"/>
      <c r="R322" s="47"/>
    </row>
    <row r="323" spans="1:18" x14ac:dyDescent="0.25">
      <c r="A323" s="47">
        <f t="shared" si="16"/>
        <v>322</v>
      </c>
      <c r="B323" s="47" t="s">
        <v>7902</v>
      </c>
      <c r="C323" s="47" t="s">
        <v>7899</v>
      </c>
      <c r="D323" s="47" t="s">
        <v>7900</v>
      </c>
      <c r="E323" s="47" t="s">
        <v>7901</v>
      </c>
      <c r="F323" s="47" t="s">
        <v>119</v>
      </c>
      <c r="G323" s="47" t="s">
        <v>200</v>
      </c>
      <c r="H323" s="47" t="str">
        <f t="shared" si="20"/>
        <v>SRINAGAR</v>
      </c>
      <c r="I323" s="47" t="s">
        <v>7924</v>
      </c>
      <c r="J323" s="48">
        <v>46024</v>
      </c>
      <c r="K323" s="47">
        <v>9149638830</v>
      </c>
      <c r="L323" s="47" t="s">
        <v>2248</v>
      </c>
      <c r="M323" s="49"/>
      <c r="N323" s="48"/>
      <c r="O323" s="47"/>
      <c r="P323" s="50"/>
      <c r="Q323" s="47"/>
      <c r="R323" s="47"/>
    </row>
    <row r="324" spans="1:18" x14ac:dyDescent="0.25">
      <c r="A324" s="47">
        <f t="shared" si="16"/>
        <v>323</v>
      </c>
      <c r="B324" s="47" t="s">
        <v>7903</v>
      </c>
      <c r="C324" s="47" t="s">
        <v>7920</v>
      </c>
      <c r="D324" s="47" t="s">
        <v>7921</v>
      </c>
      <c r="E324" s="47" t="s">
        <v>7922</v>
      </c>
      <c r="F324" s="47" t="s">
        <v>5</v>
      </c>
      <c r="G324" s="47" t="s">
        <v>199</v>
      </c>
      <c r="H324" s="47" t="str">
        <f t="shared" si="20"/>
        <v>BANDIPORA</v>
      </c>
      <c r="I324" s="47" t="s">
        <v>7923</v>
      </c>
      <c r="J324" s="48">
        <v>46024</v>
      </c>
      <c r="K324" s="47">
        <v>9906605048</v>
      </c>
      <c r="L324" s="47" t="s">
        <v>307</v>
      </c>
      <c r="M324" s="49"/>
      <c r="N324" s="48"/>
      <c r="O324" s="47"/>
      <c r="P324" s="50"/>
      <c r="Q324" s="47"/>
      <c r="R324" s="47"/>
    </row>
    <row r="325" spans="1:18" x14ac:dyDescent="0.25">
      <c r="A325" s="47">
        <f t="shared" si="16"/>
        <v>324</v>
      </c>
      <c r="B325" s="47" t="s">
        <v>7904</v>
      </c>
      <c r="C325" s="47" t="s">
        <v>7905</v>
      </c>
      <c r="D325" s="47" t="s">
        <v>7906</v>
      </c>
      <c r="E325" s="47" t="s">
        <v>7907</v>
      </c>
      <c r="F325" s="47" t="s">
        <v>100</v>
      </c>
      <c r="G325" s="47" t="s">
        <v>200</v>
      </c>
      <c r="H325" s="47" t="str">
        <f t="shared" si="20"/>
        <v>SRINAGAR</v>
      </c>
      <c r="I325" s="47" t="s">
        <v>7926</v>
      </c>
      <c r="J325" s="48">
        <v>46024</v>
      </c>
      <c r="K325" s="47">
        <v>9906473272</v>
      </c>
      <c r="L325" s="47" t="s">
        <v>70</v>
      </c>
      <c r="M325" s="49"/>
      <c r="N325" s="48"/>
      <c r="O325" s="47"/>
      <c r="P325" s="50"/>
      <c r="Q325" s="47"/>
      <c r="R325" s="47"/>
    </row>
    <row r="326" spans="1:18" x14ac:dyDescent="0.25">
      <c r="A326" s="47">
        <f t="shared" si="16"/>
        <v>325</v>
      </c>
      <c r="B326" s="47" t="s">
        <v>7908</v>
      </c>
      <c r="C326" s="47" t="s">
        <v>7909</v>
      </c>
      <c r="D326" s="47" t="s">
        <v>7910</v>
      </c>
      <c r="E326" s="47" t="s">
        <v>7911</v>
      </c>
      <c r="F326" s="47" t="s">
        <v>119</v>
      </c>
      <c r="G326" s="47" t="s">
        <v>200</v>
      </c>
      <c r="H326" s="47" t="str">
        <f t="shared" ref="H326:H357" si="21">IF(LEFT(I326,4)="JK13","PULWAMA",IF(LEFT(I326,4)="JK01","SRINAGAR",IF(LEFT(I326,4)="JK04","BUDGAM",IF(LEFT(I326,4)="JK03","ANANTNAG",IF(LEFT(I326,4)="JK05","BARAMULLA",IF(LEFT(I326,4)="25BH","BHARAT",IF(LEFT(I326,4)="JK12","POONCH",IF(LEFT(I326,4)="JK18","KULGAM",IF(LEFT(I326,4)="JK22","SHOPIAN",IF(LEFT(I326,4)="T102","TEMP",IF(LEFT(I326,4)="JK09","KUPWARA",IF(LEFT(I326,4)="JK15","BANDIPORA",IF(LEFT(I326,4)="T112","KARGIL","NEW")))))))))))))</f>
        <v>SRINAGAR</v>
      </c>
      <c r="I326" s="47" t="s">
        <v>7925</v>
      </c>
      <c r="J326" s="48">
        <v>46024</v>
      </c>
      <c r="K326" s="47">
        <v>9906786675</v>
      </c>
      <c r="L326" s="47" t="s">
        <v>70</v>
      </c>
      <c r="M326" s="49"/>
      <c r="N326" s="48"/>
      <c r="O326" s="47"/>
      <c r="P326" s="50"/>
      <c r="Q326" s="47"/>
      <c r="R326" s="47"/>
    </row>
    <row r="327" spans="1:18" x14ac:dyDescent="0.25">
      <c r="A327" s="47">
        <f t="shared" si="16"/>
        <v>326</v>
      </c>
      <c r="B327" s="47" t="s">
        <v>7912</v>
      </c>
      <c r="C327" s="47" t="s">
        <v>7913</v>
      </c>
      <c r="D327" s="47" t="s">
        <v>7914</v>
      </c>
      <c r="E327" s="47" t="s">
        <v>7915</v>
      </c>
      <c r="F327" s="47" t="s">
        <v>486</v>
      </c>
      <c r="G327" s="47" t="s">
        <v>199</v>
      </c>
      <c r="H327" s="47" t="str">
        <f t="shared" si="21"/>
        <v>SHOPIAN</v>
      </c>
      <c r="I327" s="47" t="s">
        <v>7956</v>
      </c>
      <c r="J327" s="48">
        <v>46024</v>
      </c>
      <c r="K327" s="47">
        <v>7780943149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6"/>
        <v>327</v>
      </c>
      <c r="B328" s="47" t="s">
        <v>7916</v>
      </c>
      <c r="C328" s="47" t="s">
        <v>7917</v>
      </c>
      <c r="D328" s="47" t="s">
        <v>7918</v>
      </c>
      <c r="E328" s="47" t="s">
        <v>7919</v>
      </c>
      <c r="F328" s="47" t="s">
        <v>119</v>
      </c>
      <c r="G328" s="47" t="s">
        <v>200</v>
      </c>
      <c r="H328" s="47" t="str">
        <f t="shared" si="21"/>
        <v>ANANTNAG</v>
      </c>
      <c r="I328" s="47" t="s">
        <v>8015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6"/>
        <v>328</v>
      </c>
      <c r="B329" s="47" t="s">
        <v>7936</v>
      </c>
      <c r="C329" s="47" t="s">
        <v>7928</v>
      </c>
      <c r="D329" s="47" t="s">
        <v>7929</v>
      </c>
      <c r="E329" s="47" t="s">
        <v>7930</v>
      </c>
      <c r="F329" s="47" t="s">
        <v>31</v>
      </c>
      <c r="G329" s="47" t="s">
        <v>199</v>
      </c>
      <c r="H329" s="47" t="str">
        <f t="shared" si="21"/>
        <v>SRINAGAR</v>
      </c>
      <c r="I329" s="47" t="s">
        <v>7937</v>
      </c>
      <c r="J329" s="48">
        <v>46024</v>
      </c>
      <c r="K329" s="47">
        <v>9149695812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6"/>
        <v>329</v>
      </c>
      <c r="B330" s="47" t="s">
        <v>7935</v>
      </c>
      <c r="C330" s="47" t="s">
        <v>7931</v>
      </c>
      <c r="D330" s="47" t="s">
        <v>7932</v>
      </c>
      <c r="E330" s="47" t="s">
        <v>7933</v>
      </c>
      <c r="F330" s="47" t="s">
        <v>5</v>
      </c>
      <c r="G330" s="47" t="s">
        <v>200</v>
      </c>
      <c r="H330" s="47" t="str">
        <f t="shared" si="21"/>
        <v>SRINAGAR</v>
      </c>
      <c r="I330" s="47" t="s">
        <v>7934</v>
      </c>
      <c r="J330" s="48">
        <v>46024</v>
      </c>
      <c r="K330" s="47">
        <v>7006197341</v>
      </c>
      <c r="L330" s="47" t="s">
        <v>1126</v>
      </c>
      <c r="M330" s="49"/>
      <c r="N330" s="48"/>
      <c r="O330" s="47"/>
      <c r="P330" s="50"/>
      <c r="Q330" s="47"/>
      <c r="R330" s="47"/>
    </row>
    <row r="331" spans="1:18" x14ac:dyDescent="0.25">
      <c r="A331" s="47">
        <f t="shared" si="16"/>
        <v>330</v>
      </c>
      <c r="B331" s="47" t="s">
        <v>7943</v>
      </c>
      <c r="C331" s="47" t="s">
        <v>7944</v>
      </c>
      <c r="D331" s="47" t="s">
        <v>7945</v>
      </c>
      <c r="E331" s="47" t="s">
        <v>7946</v>
      </c>
      <c r="F331" s="47" t="s">
        <v>12</v>
      </c>
      <c r="G331" s="47" t="s">
        <v>181</v>
      </c>
      <c r="H331" s="47" t="str">
        <f t="shared" si="21"/>
        <v>SRINAGAR</v>
      </c>
      <c r="I331" s="47" t="s">
        <v>7999</v>
      </c>
      <c r="J331" s="48">
        <v>46024</v>
      </c>
      <c r="K331" s="47">
        <v>9906730950</v>
      </c>
      <c r="L331" s="47" t="s">
        <v>194</v>
      </c>
      <c r="M331" s="49"/>
      <c r="N331" s="48"/>
      <c r="O331" s="47"/>
      <c r="P331" s="50"/>
      <c r="Q331" s="47"/>
      <c r="R331" s="47"/>
    </row>
    <row r="332" spans="1:18" x14ac:dyDescent="0.25">
      <c r="A332" s="47">
        <f t="shared" si="16"/>
        <v>331</v>
      </c>
      <c r="B332" s="47" t="s">
        <v>7947</v>
      </c>
      <c r="C332" s="47" t="s">
        <v>7948</v>
      </c>
      <c r="D332" s="47" t="s">
        <v>7949</v>
      </c>
      <c r="E332" s="47" t="s">
        <v>7950</v>
      </c>
      <c r="F332" s="47" t="s">
        <v>31</v>
      </c>
      <c r="G332" s="47" t="s">
        <v>200</v>
      </c>
      <c r="H332" s="47" t="str">
        <f t="shared" si="21"/>
        <v>SRINAGAR</v>
      </c>
      <c r="I332" s="47" t="s">
        <v>8016</v>
      </c>
      <c r="J332" s="48">
        <v>46024</v>
      </c>
      <c r="K332" s="47">
        <v>9419004025</v>
      </c>
      <c r="L332" s="47" t="s">
        <v>6833</v>
      </c>
      <c r="M332" s="49"/>
      <c r="N332" s="48"/>
      <c r="O332" s="47"/>
      <c r="P332" s="50"/>
      <c r="Q332" s="47"/>
      <c r="R332" s="47"/>
    </row>
    <row r="333" spans="1:18" x14ac:dyDescent="0.25">
      <c r="A333" s="47">
        <f t="shared" si="16"/>
        <v>332</v>
      </c>
      <c r="B333" s="47" t="s">
        <v>7951</v>
      </c>
      <c r="C333" s="47" t="s">
        <v>7952</v>
      </c>
      <c r="D333" s="47" t="s">
        <v>7953</v>
      </c>
      <c r="E333" s="47" t="s">
        <v>7954</v>
      </c>
      <c r="F333" s="47" t="s">
        <v>5</v>
      </c>
      <c r="G333" s="47" t="s">
        <v>199</v>
      </c>
      <c r="H333" s="47" t="str">
        <f t="shared" si="21"/>
        <v>SHOPIAN</v>
      </c>
      <c r="I333" s="48" t="s">
        <v>8014</v>
      </c>
      <c r="J333" s="48">
        <v>46025</v>
      </c>
      <c r="K333" s="47">
        <v>7006820710</v>
      </c>
      <c r="L333" s="47" t="s">
        <v>6570</v>
      </c>
      <c r="M333" s="49"/>
      <c r="N333" s="48"/>
      <c r="O333" s="47"/>
      <c r="P333" s="50"/>
      <c r="Q333" s="47"/>
      <c r="R333" s="47"/>
    </row>
    <row r="334" spans="1:18" x14ac:dyDescent="0.25">
      <c r="A334" s="47">
        <f t="shared" si="16"/>
        <v>333</v>
      </c>
      <c r="B334" s="47" t="s">
        <v>7962</v>
      </c>
      <c r="C334" s="47" t="s">
        <v>7957</v>
      </c>
      <c r="D334" s="47" t="s">
        <v>7958</v>
      </c>
      <c r="E334" s="47" t="s">
        <v>7959</v>
      </c>
      <c r="F334" s="47" t="s">
        <v>119</v>
      </c>
      <c r="G334" s="47" t="s">
        <v>200</v>
      </c>
      <c r="H334" s="47" t="str">
        <f t="shared" si="21"/>
        <v>PULWAMA</v>
      </c>
      <c r="I334" s="47" t="s">
        <v>7961</v>
      </c>
      <c r="J334" s="48">
        <v>46025</v>
      </c>
      <c r="K334" s="47">
        <v>9682505719</v>
      </c>
      <c r="L334" s="47" t="s">
        <v>7960</v>
      </c>
      <c r="M334" s="49"/>
      <c r="N334" s="48"/>
      <c r="O334" s="47"/>
      <c r="P334" s="50"/>
      <c r="Q334" s="47"/>
      <c r="R334" s="47"/>
    </row>
    <row r="335" spans="1:18" x14ac:dyDescent="0.25">
      <c r="A335" s="47">
        <f t="shared" si="16"/>
        <v>334</v>
      </c>
      <c r="B335" s="47" t="s">
        <v>7966</v>
      </c>
      <c r="C335" s="47" t="s">
        <v>7963</v>
      </c>
      <c r="D335" s="47" t="s">
        <v>7964</v>
      </c>
      <c r="E335" s="47" t="s">
        <v>7965</v>
      </c>
      <c r="F335" s="47" t="s">
        <v>119</v>
      </c>
      <c r="G335" s="47" t="s">
        <v>200</v>
      </c>
      <c r="H335" s="47" t="str">
        <f t="shared" si="21"/>
        <v>PULWAMA</v>
      </c>
      <c r="I335" s="47" t="s">
        <v>7967</v>
      </c>
      <c r="J335" s="48">
        <v>46025</v>
      </c>
      <c r="K335" s="47">
        <v>7006861153</v>
      </c>
      <c r="L335" s="47" t="s">
        <v>6521</v>
      </c>
      <c r="M335" s="49"/>
      <c r="N335" s="48"/>
      <c r="O335" s="47"/>
      <c r="P335" s="50"/>
      <c r="Q335" s="47"/>
      <c r="R335" s="47"/>
    </row>
    <row r="336" spans="1:18" x14ac:dyDescent="0.25">
      <c r="A336" s="47">
        <f t="shared" si="16"/>
        <v>335</v>
      </c>
      <c r="B336" s="47" t="s">
        <v>7971</v>
      </c>
      <c r="C336" s="47" t="s">
        <v>7968</v>
      </c>
      <c r="D336" s="47" t="s">
        <v>7969</v>
      </c>
      <c r="E336" s="47" t="s">
        <v>7970</v>
      </c>
      <c r="F336" s="47" t="s">
        <v>5</v>
      </c>
      <c r="G336" s="47" t="s">
        <v>199</v>
      </c>
      <c r="H336" s="47" t="str">
        <f t="shared" si="21"/>
        <v>SHOPIAN</v>
      </c>
      <c r="I336" s="47" t="s">
        <v>7977</v>
      </c>
      <c r="J336" s="48">
        <v>46025</v>
      </c>
      <c r="K336" s="47">
        <v>9103275011</v>
      </c>
      <c r="L336" s="47" t="s">
        <v>6570</v>
      </c>
      <c r="M336" s="49"/>
      <c r="N336" s="48"/>
      <c r="O336" s="47"/>
      <c r="P336" s="50"/>
      <c r="Q336" s="47"/>
      <c r="R336" s="47"/>
    </row>
    <row r="337" spans="1:18" x14ac:dyDescent="0.25">
      <c r="A337" s="47">
        <f t="shared" si="16"/>
        <v>336</v>
      </c>
      <c r="B337" s="47" t="s">
        <v>7978</v>
      </c>
      <c r="C337" s="47" t="s">
        <v>7972</v>
      </c>
      <c r="D337" s="47" t="s">
        <v>7973</v>
      </c>
      <c r="E337" s="47" t="s">
        <v>7974</v>
      </c>
      <c r="F337" s="47" t="s">
        <v>7975</v>
      </c>
      <c r="G337" s="47" t="s">
        <v>200</v>
      </c>
      <c r="H337" s="47" t="str">
        <f t="shared" si="21"/>
        <v>SRINAGAR</v>
      </c>
      <c r="I337" s="47" t="s">
        <v>7976</v>
      </c>
      <c r="J337" s="48">
        <v>46025</v>
      </c>
      <c r="K337" s="47">
        <v>9149592772</v>
      </c>
      <c r="L337" s="47" t="s">
        <v>194</v>
      </c>
      <c r="M337" s="49"/>
      <c r="N337" s="48"/>
      <c r="O337" s="47"/>
      <c r="P337" s="50"/>
      <c r="Q337" s="47"/>
      <c r="R337" s="47"/>
    </row>
    <row r="338" spans="1:18" x14ac:dyDescent="0.25">
      <c r="A338" s="47">
        <f t="shared" si="16"/>
        <v>337</v>
      </c>
      <c r="B338" s="47" t="s">
        <v>7982</v>
      </c>
      <c r="C338" s="47" t="s">
        <v>7979</v>
      </c>
      <c r="D338" s="47" t="s">
        <v>7980</v>
      </c>
      <c r="E338" s="47" t="s">
        <v>7981</v>
      </c>
      <c r="F338" s="47" t="s">
        <v>290</v>
      </c>
      <c r="G338" s="47" t="s">
        <v>200</v>
      </c>
      <c r="H338" s="47" t="str">
        <f t="shared" si="21"/>
        <v>SRINAGAR</v>
      </c>
      <c r="I338" s="47" t="s">
        <v>7983</v>
      </c>
      <c r="J338" s="48">
        <v>46025</v>
      </c>
      <c r="K338" s="47">
        <v>9149592772</v>
      </c>
      <c r="L338" s="47" t="s">
        <v>48</v>
      </c>
      <c r="M338" s="49"/>
      <c r="N338" s="48"/>
      <c r="O338" s="47"/>
      <c r="P338" s="50"/>
      <c r="Q338" s="47"/>
      <c r="R338" s="47"/>
    </row>
    <row r="339" spans="1:18" x14ac:dyDescent="0.25">
      <c r="A339" s="47">
        <f t="shared" si="16"/>
        <v>338</v>
      </c>
      <c r="B339" s="47" t="s">
        <v>7986</v>
      </c>
      <c r="C339" s="47" t="s">
        <v>7984</v>
      </c>
      <c r="D339" s="47" t="s">
        <v>7985</v>
      </c>
      <c r="E339" s="47" t="s">
        <v>4284</v>
      </c>
      <c r="F339" s="47" t="s">
        <v>193</v>
      </c>
      <c r="G339" s="47" t="s">
        <v>199</v>
      </c>
      <c r="H339" s="47" t="str">
        <f t="shared" si="21"/>
        <v>SRINAGAR</v>
      </c>
      <c r="I339" s="47" t="s">
        <v>7987</v>
      </c>
      <c r="J339" s="48">
        <v>46025</v>
      </c>
      <c r="K339" s="47">
        <v>8899926488</v>
      </c>
      <c r="L339" s="47" t="s">
        <v>106</v>
      </c>
      <c r="M339" s="49"/>
      <c r="N339" s="48"/>
      <c r="O339" s="47"/>
      <c r="P339" s="50"/>
      <c r="Q339" s="47"/>
      <c r="R339" s="47"/>
    </row>
    <row r="340" spans="1:18" x14ac:dyDescent="0.25">
      <c r="A340" s="47">
        <f t="shared" si="16"/>
        <v>339</v>
      </c>
      <c r="B340" s="47" t="s">
        <v>7991</v>
      </c>
      <c r="C340" s="47" t="s">
        <v>7988</v>
      </c>
      <c r="D340" s="47" t="s">
        <v>7989</v>
      </c>
      <c r="E340" s="47" t="s">
        <v>7990</v>
      </c>
      <c r="F340" s="47" t="s">
        <v>31</v>
      </c>
      <c r="G340" s="47" t="s">
        <v>175</v>
      </c>
      <c r="H340" s="47" t="str">
        <f t="shared" si="21"/>
        <v>SRINAGAR</v>
      </c>
      <c r="I340" s="47" t="s">
        <v>7992</v>
      </c>
      <c r="J340" s="48">
        <v>46025</v>
      </c>
      <c r="K340" s="47">
        <v>9596382727</v>
      </c>
      <c r="L340" s="47" t="s">
        <v>106</v>
      </c>
      <c r="M340" s="49"/>
      <c r="N340" s="48"/>
      <c r="O340" s="47"/>
      <c r="P340" s="50"/>
      <c r="Q340" s="47"/>
      <c r="R340" s="47"/>
    </row>
    <row r="341" spans="1:18" x14ac:dyDescent="0.25">
      <c r="A341" s="47">
        <f t="shared" si="16"/>
        <v>340</v>
      </c>
      <c r="B341" s="47" t="s">
        <v>7997</v>
      </c>
      <c r="C341" s="47" t="s">
        <v>7993</v>
      </c>
      <c r="D341" s="47" t="s">
        <v>7994</v>
      </c>
      <c r="E341" s="47" t="s">
        <v>7995</v>
      </c>
      <c r="F341" s="47" t="s">
        <v>31</v>
      </c>
      <c r="G341" s="47" t="s">
        <v>175</v>
      </c>
      <c r="H341" s="47" t="str">
        <f t="shared" si="21"/>
        <v>SRINAGAR</v>
      </c>
      <c r="I341" s="47" t="s">
        <v>7996</v>
      </c>
      <c r="J341" s="48">
        <v>46025</v>
      </c>
      <c r="K341" s="47">
        <v>9906863125</v>
      </c>
      <c r="L341" s="47" t="s">
        <v>2172</v>
      </c>
      <c r="M341" s="49"/>
      <c r="N341" s="48"/>
      <c r="O341" s="47"/>
      <c r="P341" s="50"/>
      <c r="Q341" s="47"/>
      <c r="R341" s="47"/>
    </row>
    <row r="342" spans="1:18" x14ac:dyDescent="0.25">
      <c r="A342" s="47">
        <f t="shared" si="16"/>
        <v>341</v>
      </c>
      <c r="B342" s="47" t="s">
        <v>7998</v>
      </c>
      <c r="C342" s="47" t="s">
        <v>8000</v>
      </c>
      <c r="D342" s="47" t="s">
        <v>8001</v>
      </c>
      <c r="E342" s="47" t="s">
        <v>8002</v>
      </c>
      <c r="F342" s="47" t="s">
        <v>125</v>
      </c>
      <c r="G342" s="47" t="s">
        <v>174</v>
      </c>
      <c r="H342" s="47" t="str">
        <f t="shared" si="21"/>
        <v>SRINAGAR</v>
      </c>
      <c r="I342" s="47" t="s">
        <v>8003</v>
      </c>
      <c r="J342" s="48">
        <v>46025</v>
      </c>
      <c r="K342" s="47">
        <v>9419004044</v>
      </c>
      <c r="L342" s="47" t="s">
        <v>48</v>
      </c>
      <c r="M342" s="49"/>
      <c r="N342" s="48"/>
      <c r="O342" s="47"/>
      <c r="P342" s="50"/>
      <c r="Q342" s="47"/>
      <c r="R342" s="47"/>
    </row>
    <row r="343" spans="1:18" x14ac:dyDescent="0.25">
      <c r="A343" s="47">
        <f t="shared" si="16"/>
        <v>342</v>
      </c>
      <c r="B343" s="47" t="s">
        <v>8004</v>
      </c>
      <c r="C343" s="47" t="s">
        <v>8005</v>
      </c>
      <c r="D343" s="47" t="s">
        <v>8006</v>
      </c>
      <c r="E343" s="47" t="s">
        <v>8007</v>
      </c>
      <c r="F343" s="47" t="s">
        <v>31</v>
      </c>
      <c r="G343" s="47" t="s">
        <v>199</v>
      </c>
      <c r="H343" s="47" t="str">
        <f t="shared" si="21"/>
        <v>SRINAGAR</v>
      </c>
      <c r="I343" s="47" t="s">
        <v>8008</v>
      </c>
      <c r="J343" s="48">
        <v>46025</v>
      </c>
      <c r="K343" s="47">
        <v>7889441591</v>
      </c>
      <c r="L343" s="47" t="s">
        <v>110</v>
      </c>
      <c r="M343" s="49"/>
      <c r="N343" s="48"/>
      <c r="O343" s="47"/>
      <c r="P343" s="50"/>
      <c r="Q343" s="47"/>
      <c r="R343" s="47"/>
    </row>
    <row r="344" spans="1:18" x14ac:dyDescent="0.25">
      <c r="A344" s="47">
        <f t="shared" si="16"/>
        <v>343</v>
      </c>
      <c r="B344" s="47" t="s">
        <v>8009</v>
      </c>
      <c r="C344" s="47" t="s">
        <v>8010</v>
      </c>
      <c r="D344" s="47" t="s">
        <v>8012</v>
      </c>
      <c r="E344" s="47" t="s">
        <v>8011</v>
      </c>
      <c r="F344" s="47" t="s">
        <v>119</v>
      </c>
      <c r="G344" s="47" t="s">
        <v>174</v>
      </c>
      <c r="H344" s="47" t="str">
        <f t="shared" si="21"/>
        <v>SRINAGAR</v>
      </c>
      <c r="I344" s="47" t="s">
        <v>8013</v>
      </c>
      <c r="J344" s="48">
        <v>46025</v>
      </c>
      <c r="K344" s="47">
        <v>7006441266</v>
      </c>
      <c r="L344" s="47" t="s">
        <v>43</v>
      </c>
      <c r="M344" s="49"/>
      <c r="N344" s="48"/>
      <c r="O344" s="47"/>
      <c r="P344" s="50"/>
      <c r="Q344" s="47"/>
      <c r="R344" s="47"/>
    </row>
    <row r="345" spans="1:18" x14ac:dyDescent="0.25">
      <c r="A345" s="47">
        <f t="shared" si="16"/>
        <v>344</v>
      </c>
      <c r="B345" s="47" t="s">
        <v>8019</v>
      </c>
      <c r="C345" s="47" t="s">
        <v>8020</v>
      </c>
      <c r="D345" s="47" t="s">
        <v>8021</v>
      </c>
      <c r="E345" s="47" t="s">
        <v>5417</v>
      </c>
      <c r="F345" s="47" t="s">
        <v>12</v>
      </c>
      <c r="G345" s="47" t="s">
        <v>181</v>
      </c>
      <c r="H345" s="47" t="str">
        <f t="shared" si="21"/>
        <v>ANANTNAG</v>
      </c>
      <c r="I345" s="47" t="s">
        <v>8031</v>
      </c>
      <c r="J345" s="48">
        <v>46025</v>
      </c>
      <c r="K345" s="47">
        <v>7889730611</v>
      </c>
      <c r="L345" s="47" t="s">
        <v>6540</v>
      </c>
      <c r="M345" s="49"/>
      <c r="N345" s="48"/>
      <c r="O345" s="47"/>
      <c r="P345" s="50"/>
      <c r="Q345" s="47"/>
      <c r="R345" s="47"/>
    </row>
    <row r="346" spans="1:18" x14ac:dyDescent="0.25">
      <c r="A346" s="47">
        <f t="shared" si="16"/>
        <v>345</v>
      </c>
      <c r="B346" s="47" t="s">
        <v>8025</v>
      </c>
      <c r="C346" s="47" t="s">
        <v>8022</v>
      </c>
      <c r="D346" s="47" t="s">
        <v>8023</v>
      </c>
      <c r="E346" s="47" t="s">
        <v>8024</v>
      </c>
      <c r="F346" s="47" t="s">
        <v>12</v>
      </c>
      <c r="G346" s="47" t="s">
        <v>200</v>
      </c>
      <c r="H346" s="47" t="str">
        <f t="shared" si="21"/>
        <v>KUPWARA</v>
      </c>
      <c r="I346" s="47" t="s">
        <v>8026</v>
      </c>
      <c r="J346" s="48">
        <v>46025</v>
      </c>
      <c r="K346" s="47">
        <v>6005210447</v>
      </c>
      <c r="L346" s="47" t="s">
        <v>2248</v>
      </c>
      <c r="M346" s="49"/>
      <c r="N346" s="48"/>
      <c r="O346" s="47"/>
      <c r="P346" s="50"/>
      <c r="Q346" s="47"/>
      <c r="R346" s="47"/>
    </row>
    <row r="347" spans="1:18" x14ac:dyDescent="0.25">
      <c r="A347" s="47">
        <f t="shared" si="16"/>
        <v>346</v>
      </c>
      <c r="B347" s="47" t="s">
        <v>8027</v>
      </c>
      <c r="C347" s="47" t="s">
        <v>8028</v>
      </c>
      <c r="D347" s="47" t="s">
        <v>8029</v>
      </c>
      <c r="E347" s="47" t="s">
        <v>8030</v>
      </c>
      <c r="F347" s="47" t="s">
        <v>1686</v>
      </c>
      <c r="G347" s="47" t="s">
        <v>199</v>
      </c>
      <c r="H347" s="47" t="str">
        <f t="shared" si="21"/>
        <v>SRINAGAR</v>
      </c>
      <c r="I347" s="47" t="s">
        <v>8032</v>
      </c>
      <c r="J347" s="48">
        <v>46025</v>
      </c>
      <c r="K347" s="47">
        <v>7051417712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6"/>
        <v>347</v>
      </c>
      <c r="B348" s="47"/>
      <c r="C348" s="47"/>
      <c r="D348" s="47"/>
      <c r="E348" s="47"/>
      <c r="F348" s="47"/>
      <c r="G348" s="47"/>
      <c r="H348" s="47" t="str">
        <f t="shared" si="21"/>
        <v>NEW</v>
      </c>
      <c r="I348" s="47"/>
      <c r="J348" s="48"/>
      <c r="K348" s="47"/>
      <c r="L348" s="47"/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6"/>
        <v>348</v>
      </c>
      <c r="B349" s="47"/>
      <c r="C349" s="47"/>
      <c r="D349" s="47"/>
      <c r="E349" s="47"/>
      <c r="F349" s="47"/>
      <c r="G349" s="47"/>
      <c r="H349" s="47" t="str">
        <f t="shared" si="21"/>
        <v>NEW</v>
      </c>
      <c r="I349" s="47"/>
      <c r="J349" s="48"/>
      <c r="K349" s="47"/>
      <c r="L349" s="47"/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6"/>
        <v>349</v>
      </c>
      <c r="B350" s="47"/>
      <c r="C350" s="47"/>
      <c r="D350" s="47"/>
      <c r="E350" s="47"/>
      <c r="F350" s="47"/>
      <c r="G350" s="47"/>
      <c r="H350" s="47" t="str">
        <f t="shared" si="21"/>
        <v>NEW</v>
      </c>
      <c r="I350" s="47"/>
      <c r="J350" s="48"/>
      <c r="K350" s="47"/>
      <c r="L350" s="47"/>
      <c r="M350" s="49"/>
      <c r="N350" s="48"/>
      <c r="O350" s="47"/>
      <c r="P350" s="50"/>
      <c r="Q350" s="47"/>
      <c r="R350" s="47"/>
    </row>
    <row r="351" spans="1:18" x14ac:dyDescent="0.25">
      <c r="A351" s="47">
        <f t="shared" si="16"/>
        <v>350</v>
      </c>
      <c r="B351" s="47"/>
      <c r="C351" s="47"/>
      <c r="D351" s="47"/>
      <c r="E351" s="47"/>
      <c r="F351" s="47"/>
      <c r="G351" s="47"/>
      <c r="H351" s="47" t="str">
        <f t="shared" si="21"/>
        <v>NEW</v>
      </c>
      <c r="I351" s="47"/>
      <c r="J351" s="48"/>
      <c r="K351" s="47"/>
      <c r="L351" s="47"/>
      <c r="M351" s="49"/>
      <c r="N351" s="48"/>
      <c r="O351" s="47"/>
      <c r="P351" s="50"/>
      <c r="Q351" s="47"/>
      <c r="R351" s="47"/>
    </row>
    <row r="352" spans="1:18" x14ac:dyDescent="0.25">
      <c r="A352" s="47">
        <f t="shared" si="16"/>
        <v>351</v>
      </c>
      <c r="B352" s="47"/>
      <c r="C352" s="47"/>
      <c r="D352" s="47"/>
      <c r="E352" s="47"/>
      <c r="F352" s="47"/>
      <c r="G352" s="47"/>
      <c r="H352" s="47" t="str">
        <f t="shared" si="21"/>
        <v>NEW</v>
      </c>
      <c r="I352" s="47"/>
      <c r="J352" s="48"/>
      <c r="K352" s="47"/>
      <c r="L352" s="47"/>
      <c r="M352" s="49"/>
      <c r="N352" s="48"/>
      <c r="O352" s="47"/>
      <c r="P352" s="50"/>
      <c r="Q352" s="47"/>
      <c r="R352" s="47"/>
    </row>
    <row r="353" spans="1:18" x14ac:dyDescent="0.25">
      <c r="A353" s="47">
        <f t="shared" si="16"/>
        <v>352</v>
      </c>
      <c r="B353" s="47"/>
      <c r="C353" s="47"/>
      <c r="D353" s="47"/>
      <c r="E353" s="47"/>
      <c r="F353" s="47"/>
      <c r="G353" s="47"/>
      <c r="H353" s="47" t="str">
        <f t="shared" si="21"/>
        <v>NEW</v>
      </c>
      <c r="I353" s="47"/>
      <c r="J353" s="48"/>
      <c r="K353" s="47"/>
      <c r="L353" s="47"/>
      <c r="M353" s="49"/>
      <c r="N353" s="48"/>
      <c r="O353" s="47"/>
      <c r="P353" s="50"/>
      <c r="Q353" s="47"/>
      <c r="R353" s="47"/>
    </row>
    <row r="354" spans="1:18" x14ac:dyDescent="0.25">
      <c r="A354" s="47">
        <f t="shared" si="16"/>
        <v>353</v>
      </c>
      <c r="B354" s="47"/>
      <c r="C354" s="47"/>
      <c r="D354" s="47"/>
      <c r="E354" s="47"/>
      <c r="F354" s="47"/>
      <c r="G354" s="47"/>
      <c r="H354" s="47" t="str">
        <f t="shared" si="21"/>
        <v>NEW</v>
      </c>
      <c r="I354" s="47"/>
      <c r="J354" s="48"/>
      <c r="K354" s="47"/>
      <c r="L354" s="47"/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6"/>
        <v>354</v>
      </c>
      <c r="B355" s="47"/>
      <c r="C355" s="47"/>
      <c r="D355" s="47"/>
      <c r="E355" s="47"/>
      <c r="F355" s="47"/>
      <c r="G355" s="47"/>
      <c r="H355" s="47" t="str">
        <f t="shared" si="21"/>
        <v>NEW</v>
      </c>
      <c r="I355" s="47"/>
      <c r="J355" s="48"/>
      <c r="K355" s="47"/>
      <c r="L355" s="47"/>
      <c r="M355" s="49"/>
      <c r="N355" s="48"/>
      <c r="O355" s="47"/>
      <c r="P355" s="50"/>
      <c r="Q355" s="47"/>
      <c r="R355" s="47"/>
    </row>
    <row r="356" spans="1:18" x14ac:dyDescent="0.25">
      <c r="A356" s="47">
        <f t="shared" si="16"/>
        <v>355</v>
      </c>
      <c r="B356" s="47"/>
      <c r="C356" s="47"/>
      <c r="D356" s="47"/>
      <c r="E356" s="47"/>
      <c r="F356" s="47"/>
      <c r="G356" s="47"/>
      <c r="H356" s="47" t="str">
        <f t="shared" si="21"/>
        <v>NEW</v>
      </c>
      <c r="I356" s="47"/>
      <c r="J356" s="48"/>
      <c r="K356" s="47"/>
      <c r="L356" s="47"/>
      <c r="M356" s="49"/>
      <c r="N356" s="48"/>
      <c r="O356" s="47"/>
      <c r="P356" s="50"/>
      <c r="Q356" s="47"/>
      <c r="R356" s="47"/>
    </row>
    <row r="357" spans="1:18" x14ac:dyDescent="0.25">
      <c r="A357" s="47">
        <f t="shared" si="16"/>
        <v>356</v>
      </c>
      <c r="B357" s="47"/>
      <c r="C357" s="47"/>
      <c r="D357" s="47"/>
      <c r="E357" s="47"/>
      <c r="F357" s="47"/>
      <c r="G357" s="47"/>
      <c r="H357" s="47" t="str">
        <f t="shared" si="21"/>
        <v>NEW</v>
      </c>
      <c r="I357" s="47"/>
      <c r="J357" s="48"/>
      <c r="K357" s="47"/>
      <c r="L357" s="47"/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6"/>
        <v>357</v>
      </c>
      <c r="B358" s="47"/>
      <c r="C358" s="47"/>
      <c r="D358" s="47"/>
      <c r="E358" s="47"/>
      <c r="F358" s="47"/>
      <c r="G358" s="47"/>
      <c r="H358" s="47" t="str">
        <f t="shared" ref="H358:H374" si="22">IF(LEFT(I358,4)="JK13","PULWAMA",IF(LEFT(I358,4)="JK01","SRINAGAR",IF(LEFT(I358,4)="JK04","BUDGAM",IF(LEFT(I358,4)="JK03","ANANTNAG",IF(LEFT(I358,4)="JK05","BARAMULLA",IF(LEFT(I358,4)="25BH","BHARAT",IF(LEFT(I358,4)="JK12","POONCH",IF(LEFT(I358,4)="JK18","KULGAM",IF(LEFT(I358,4)="JK22","SHOPIAN",IF(LEFT(I358,4)="T102","TEMP",IF(LEFT(I358,4)="JK09","KUPWARA",IF(LEFT(I358,4)="JK15","BANDIPORA",IF(LEFT(I358,4)="T112","KARGIL","NEW")))))))))))))</f>
        <v>NEW</v>
      </c>
      <c r="I358" s="47"/>
      <c r="J358" s="48"/>
      <c r="K358" s="47"/>
      <c r="L358" s="47"/>
      <c r="M358" s="49"/>
      <c r="N358" s="48"/>
      <c r="O358" s="47"/>
      <c r="P358" s="50"/>
      <c r="Q358" s="47"/>
      <c r="R358" s="47"/>
    </row>
    <row r="359" spans="1:18" x14ac:dyDescent="0.25">
      <c r="A359" s="47">
        <f t="shared" si="16"/>
        <v>358</v>
      </c>
      <c r="B359" s="47"/>
      <c r="C359" s="47"/>
      <c r="D359" s="47"/>
      <c r="E359" s="47"/>
      <c r="F359" s="47"/>
      <c r="G359" s="47"/>
      <c r="H359" s="47" t="str">
        <f t="shared" si="22"/>
        <v>NEW</v>
      </c>
      <c r="I359" s="47"/>
      <c r="J359" s="48"/>
      <c r="K359" s="47"/>
      <c r="L359" s="47"/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6"/>
        <v>359</v>
      </c>
      <c r="B360" s="47"/>
      <c r="C360" s="47"/>
      <c r="D360" s="47"/>
      <c r="E360" s="47"/>
      <c r="F360" s="47"/>
      <c r="G360" s="47"/>
      <c r="H360" s="47" t="str">
        <f t="shared" si="22"/>
        <v>NEW</v>
      </c>
      <c r="I360" s="47"/>
      <c r="J360" s="48"/>
      <c r="K360" s="47"/>
      <c r="L360" s="47"/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6"/>
        <v>360</v>
      </c>
      <c r="B361" s="47"/>
      <c r="C361" s="47"/>
      <c r="D361" s="47"/>
      <c r="E361" s="47"/>
      <c r="F361" s="47"/>
      <c r="G361" s="47"/>
      <c r="H361" s="47" t="str">
        <f t="shared" si="22"/>
        <v>NEW</v>
      </c>
      <c r="I361" s="47"/>
      <c r="J361" s="48"/>
      <c r="K361" s="47"/>
      <c r="L361" s="47"/>
      <c r="M361" s="49"/>
      <c r="N361" s="48"/>
      <c r="O361" s="47"/>
      <c r="P361" s="50"/>
      <c r="Q361" s="47"/>
      <c r="R361" s="47"/>
    </row>
    <row r="362" spans="1:18" x14ac:dyDescent="0.25">
      <c r="A362" s="47">
        <f t="shared" si="16"/>
        <v>361</v>
      </c>
      <c r="B362" s="47"/>
      <c r="C362" s="47"/>
      <c r="D362" s="47"/>
      <c r="E362" s="47"/>
      <c r="F362" s="47"/>
      <c r="G362" s="47"/>
      <c r="H362" s="47" t="str">
        <f t="shared" si="22"/>
        <v>NEW</v>
      </c>
      <c r="I362" s="47"/>
      <c r="J362" s="48"/>
      <c r="K362" s="47"/>
      <c r="L362" s="47"/>
      <c r="M362" s="49"/>
      <c r="N362" s="48"/>
      <c r="O362" s="47"/>
      <c r="P362" s="50"/>
      <c r="Q362" s="47"/>
      <c r="R362" s="47"/>
    </row>
    <row r="363" spans="1:18" x14ac:dyDescent="0.25">
      <c r="A363" s="47">
        <f t="shared" si="16"/>
        <v>362</v>
      </c>
      <c r="B363" s="47"/>
      <c r="C363" s="47"/>
      <c r="D363" s="47"/>
      <c r="E363" s="47"/>
      <c r="F363" s="47"/>
      <c r="G363" s="47"/>
      <c r="H363" s="47" t="str">
        <f t="shared" si="22"/>
        <v>NEW</v>
      </c>
      <c r="I363" s="47"/>
      <c r="J363" s="48"/>
      <c r="K363" s="47"/>
      <c r="L363" s="47"/>
      <c r="M363" s="49"/>
      <c r="N363" s="48"/>
      <c r="O363" s="47"/>
      <c r="P363" s="50"/>
      <c r="Q363" s="47"/>
      <c r="R363" s="47"/>
    </row>
    <row r="364" spans="1:18" x14ac:dyDescent="0.25">
      <c r="A364" s="47">
        <f t="shared" ref="A364:A374" si="23">ROW()-1</f>
        <v>363</v>
      </c>
      <c r="B364" s="47"/>
      <c r="C364" s="47"/>
      <c r="D364" s="47"/>
      <c r="E364" s="47"/>
      <c r="F364" s="47"/>
      <c r="G364" s="47"/>
      <c r="H364" s="47" t="str">
        <f t="shared" si="22"/>
        <v>NEW</v>
      </c>
      <c r="I364" s="47"/>
      <c r="J364" s="48"/>
      <c r="K364" s="47"/>
      <c r="L364" s="47"/>
      <c r="M364" s="49"/>
      <c r="N364" s="48"/>
      <c r="O364" s="47"/>
      <c r="P364" s="50"/>
      <c r="Q364" s="47"/>
      <c r="R364" s="47"/>
    </row>
    <row r="365" spans="1:18" x14ac:dyDescent="0.25">
      <c r="A365" s="47">
        <f t="shared" si="23"/>
        <v>364</v>
      </c>
      <c r="B365" s="47"/>
      <c r="C365" s="47"/>
      <c r="D365" s="47"/>
      <c r="E365" s="47"/>
      <c r="F365" s="47"/>
      <c r="G365" s="47"/>
      <c r="H365" s="47" t="str">
        <f t="shared" si="22"/>
        <v>NEW</v>
      </c>
      <c r="I365" s="47"/>
      <c r="J365" s="48"/>
      <c r="K365" s="47"/>
      <c r="L365" s="47"/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23"/>
        <v>365</v>
      </c>
      <c r="B366" s="47"/>
      <c r="C366" s="47"/>
      <c r="D366" s="47"/>
      <c r="E366" s="47"/>
      <c r="F366" s="47"/>
      <c r="G366" s="47"/>
      <c r="H366" s="47" t="str">
        <f t="shared" si="22"/>
        <v>NEW</v>
      </c>
      <c r="I366" s="47"/>
      <c r="J366" s="48"/>
      <c r="K366" s="47"/>
      <c r="L366" s="47"/>
      <c r="M366" s="49"/>
      <c r="N366" s="48"/>
      <c r="O366" s="47"/>
      <c r="P366" s="50"/>
      <c r="Q366" s="47"/>
      <c r="R366" s="47"/>
    </row>
    <row r="367" spans="1:18" x14ac:dyDescent="0.25">
      <c r="A367" s="47">
        <f t="shared" si="23"/>
        <v>366</v>
      </c>
      <c r="B367" s="47"/>
      <c r="C367" s="47"/>
      <c r="D367" s="47"/>
      <c r="E367" s="47"/>
      <c r="F367" s="47"/>
      <c r="G367" s="47"/>
      <c r="H367" s="47" t="str">
        <f t="shared" si="22"/>
        <v>NEW</v>
      </c>
      <c r="I367" s="47"/>
      <c r="J367" s="48"/>
      <c r="K367" s="47"/>
      <c r="L367" s="47"/>
      <c r="M367" s="49"/>
      <c r="N367" s="48"/>
      <c r="O367" s="47"/>
      <c r="P367" s="50"/>
      <c r="Q367" s="47"/>
      <c r="R367" s="47"/>
    </row>
    <row r="368" spans="1:18" x14ac:dyDescent="0.25">
      <c r="A368" s="47">
        <f t="shared" si="23"/>
        <v>367</v>
      </c>
      <c r="B368" s="47"/>
      <c r="C368" s="47"/>
      <c r="D368" s="47"/>
      <c r="E368" s="47"/>
      <c r="F368" s="47"/>
      <c r="G368" s="47"/>
      <c r="H368" s="47" t="str">
        <f t="shared" si="22"/>
        <v>NEW</v>
      </c>
      <c r="I368" s="47"/>
      <c r="J368" s="48"/>
      <c r="K368" s="47"/>
      <c r="L368" s="47"/>
      <c r="M368" s="49"/>
      <c r="N368" s="48"/>
      <c r="O368" s="47"/>
      <c r="P368" s="50"/>
      <c r="Q368" s="47"/>
      <c r="R368" s="47"/>
    </row>
    <row r="369" spans="1:18" x14ac:dyDescent="0.25">
      <c r="A369" s="47">
        <f t="shared" si="23"/>
        <v>368</v>
      </c>
      <c r="B369" s="47"/>
      <c r="C369" s="47"/>
      <c r="D369" s="47"/>
      <c r="E369" s="47"/>
      <c r="F369" s="47"/>
      <c r="G369" s="47"/>
      <c r="H369" s="47" t="str">
        <f t="shared" si="22"/>
        <v>NEW</v>
      </c>
      <c r="I369" s="47"/>
      <c r="J369" s="48"/>
      <c r="K369" s="47"/>
      <c r="L369" s="47"/>
      <c r="M369" s="49"/>
      <c r="N369" s="48"/>
      <c r="O369" s="47"/>
      <c r="P369" s="50"/>
      <c r="Q369" s="47"/>
      <c r="R369" s="47"/>
    </row>
    <row r="370" spans="1:18" x14ac:dyDescent="0.25">
      <c r="A370" s="47">
        <f t="shared" si="23"/>
        <v>369</v>
      </c>
      <c r="B370" s="47"/>
      <c r="C370" s="47"/>
      <c r="D370" s="47"/>
      <c r="E370" s="47"/>
      <c r="F370" s="47"/>
      <c r="G370" s="47"/>
      <c r="H370" s="47" t="str">
        <f t="shared" si="22"/>
        <v>NEW</v>
      </c>
      <c r="I370" s="47"/>
      <c r="J370" s="48"/>
      <c r="K370" s="47"/>
      <c r="L370" s="47"/>
      <c r="M370" s="49"/>
      <c r="N370" s="48"/>
      <c r="O370" s="47"/>
      <c r="P370" s="50"/>
      <c r="Q370" s="47"/>
      <c r="R370" s="47"/>
    </row>
    <row r="371" spans="1:18" x14ac:dyDescent="0.25">
      <c r="A371" s="47">
        <f t="shared" si="23"/>
        <v>370</v>
      </c>
      <c r="B371" s="47"/>
      <c r="C371" s="47"/>
      <c r="D371" s="47"/>
      <c r="E371" s="47"/>
      <c r="F371" s="47"/>
      <c r="G371" s="47"/>
      <c r="H371" s="47" t="str">
        <f t="shared" si="22"/>
        <v>NEW</v>
      </c>
      <c r="I371" s="47"/>
      <c r="J371" s="48"/>
      <c r="K371" s="47"/>
      <c r="L371" s="47"/>
      <c r="M371" s="49"/>
      <c r="N371" s="48"/>
      <c r="O371" s="47"/>
      <c r="P371" s="50"/>
      <c r="Q371" s="47"/>
      <c r="R371" s="47"/>
    </row>
    <row r="372" spans="1:18" x14ac:dyDescent="0.25">
      <c r="A372" s="47">
        <f t="shared" si="23"/>
        <v>371</v>
      </c>
      <c r="B372" s="47"/>
      <c r="C372" s="47"/>
      <c r="D372" s="47"/>
      <c r="E372" s="47"/>
      <c r="F372" s="47"/>
      <c r="G372" s="47"/>
      <c r="H372" s="47" t="str">
        <f t="shared" si="22"/>
        <v>NEW</v>
      </c>
      <c r="I372" s="47"/>
      <c r="J372" s="48"/>
      <c r="K372" s="47"/>
      <c r="L372" s="47"/>
      <c r="M372" s="49"/>
      <c r="N372" s="48"/>
      <c r="O372" s="47"/>
      <c r="P372" s="50"/>
      <c r="Q372" s="47"/>
      <c r="R372" s="47"/>
    </row>
    <row r="373" spans="1:18" x14ac:dyDescent="0.25">
      <c r="A373" s="47">
        <f t="shared" si="23"/>
        <v>372</v>
      </c>
      <c r="B373" s="47"/>
      <c r="C373" s="47"/>
      <c r="D373" s="47"/>
      <c r="E373" s="47"/>
      <c r="F373" s="47"/>
      <c r="G373" s="47"/>
      <c r="H373" s="47" t="str">
        <f t="shared" si="22"/>
        <v>NEW</v>
      </c>
      <c r="I373" s="47"/>
      <c r="J373" s="48"/>
      <c r="K373" s="47"/>
      <c r="L373" s="47"/>
      <c r="M373" s="49"/>
      <c r="N373" s="48"/>
      <c r="O373" s="47"/>
      <c r="P373" s="50"/>
      <c r="Q373" s="47"/>
      <c r="R373" s="47"/>
    </row>
    <row r="374" spans="1:18" x14ac:dyDescent="0.25">
      <c r="A374" s="47">
        <f t="shared" si="23"/>
        <v>373</v>
      </c>
      <c r="B374" s="47"/>
      <c r="C374" s="47"/>
      <c r="D374" s="47"/>
      <c r="E374" s="47"/>
      <c r="F374" s="47"/>
      <c r="G374" s="47"/>
      <c r="H374" s="47" t="str">
        <f t="shared" si="22"/>
        <v>NEW</v>
      </c>
      <c r="I374" s="47"/>
      <c r="J374" s="48"/>
      <c r="K374" s="47"/>
      <c r="L374" s="47"/>
      <c r="M374" s="49"/>
      <c r="N374" s="48"/>
      <c r="O374" s="47"/>
      <c r="P374" s="50"/>
      <c r="Q374" s="47"/>
      <c r="R374" s="47"/>
    </row>
    <row r="375" spans="1:18" ht="15.75" x14ac:dyDescent="0.25">
      <c r="F375" s="1"/>
      <c r="G375" s="1"/>
      <c r="H375" s="1"/>
      <c r="I375" s="55"/>
      <c r="J375" s="19"/>
      <c r="K375" s="47"/>
      <c r="M375" t="s">
        <v>44</v>
      </c>
    </row>
    <row r="376" spans="1:18" ht="15.75" x14ac:dyDescent="0.25">
      <c r="F376" s="1"/>
      <c r="G376" s="1"/>
      <c r="H376" s="1"/>
      <c r="I376" s="20"/>
      <c r="K376" s="47"/>
    </row>
    <row r="377" spans="1:18" ht="15.75" x14ac:dyDescent="0.25">
      <c r="F377" s="1"/>
      <c r="G377" s="1"/>
      <c r="H377" s="1"/>
      <c r="I377" s="20"/>
      <c r="K377" s="47"/>
    </row>
    <row r="378" spans="1:18" ht="15.75" x14ac:dyDescent="0.25">
      <c r="F378" s="1"/>
      <c r="G378" s="1"/>
      <c r="H378" s="1"/>
      <c r="I378" s="20"/>
      <c r="K378" s="47"/>
    </row>
    <row r="379" spans="1:18" ht="15.75" x14ac:dyDescent="0.25">
      <c r="C379" s="1"/>
      <c r="D379" s="1"/>
      <c r="E379" s="1"/>
      <c r="F379" s="1"/>
      <c r="G379" s="1"/>
      <c r="H379" s="1"/>
      <c r="I379" s="20"/>
      <c r="K379" s="47"/>
    </row>
    <row r="380" spans="1:18" x14ac:dyDescent="0.25">
      <c r="A380" s="5"/>
      <c r="B380" s="6"/>
      <c r="C380" s="7"/>
      <c r="D380" s="7"/>
      <c r="E380" s="7"/>
      <c r="F380" s="7"/>
      <c r="G380" s="7"/>
      <c r="H380" s="7"/>
      <c r="I380" s="7"/>
      <c r="J380" s="7"/>
      <c r="K380" s="47"/>
      <c r="L380" s="7"/>
      <c r="M380" s="7"/>
      <c r="N380" s="7"/>
      <c r="O380" s="7"/>
      <c r="P380" s="7"/>
      <c r="Q380" s="7"/>
    </row>
    <row r="381" spans="1:18" x14ac:dyDescent="0.25">
      <c r="A381" s="5"/>
      <c r="B381" s="6"/>
      <c r="C381" s="7"/>
      <c r="D381" s="7"/>
      <c r="E381" s="7"/>
      <c r="F381" s="7"/>
      <c r="G381" s="7"/>
      <c r="H381" s="7"/>
      <c r="I381" s="7"/>
      <c r="J381" s="7"/>
      <c r="K381" s="47"/>
      <c r="L381" s="7"/>
      <c r="M381" s="7"/>
      <c r="N381" s="7"/>
      <c r="O381" s="7"/>
      <c r="P381" s="7"/>
      <c r="Q381" s="7"/>
    </row>
    <row r="382" spans="1:18" x14ac:dyDescent="0.25">
      <c r="K382" s="47"/>
    </row>
    <row r="383" spans="1:18" x14ac:dyDescent="0.25">
      <c r="K383" s="47"/>
    </row>
    <row r="384" spans="1:18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x14ac:dyDescent="0.25">
      <c r="K514" s="44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L264:R297 H265:J269 H270:H273 J270:J273 H274:J274 H275:H282 J275:J282 I276:I282 H283:J290 I285:I293 H291 J291 H292:J312 A297:B297 A298:A300 K298:R300 K299:K325 A301:B301 L301:R325 A302:A374 I308:I317 H313:H314 J313:J314 H315:J328 I325:I332 K326:R330 H329:H330 J329:J333 H331:J332 K331:K348 L331:R374 H333 H334:J374 I375 K375:K464">
    <cfRule type="expression" dxfId="13" priority="6">
      <formula>CELL("row")=ROW()</formula>
    </cfRule>
  </conditionalFormatting>
  <conditionalFormatting sqref="B257:G290 B291:B300 C291:G301">
    <cfRule type="expression" dxfId="12" priority="4">
      <formula>CELL("row")=ROW()</formula>
    </cfRule>
  </conditionalFormatting>
  <conditionalFormatting sqref="B297:G350">
    <cfRule type="expression" dxfId="11" priority="2">
      <formula>CELL("row")=ROW()</formula>
    </cfRule>
  </conditionalFormatting>
  <conditionalFormatting sqref="F326:G326">
    <cfRule type="expression" dxfId="10" priority="1">
      <formula>CELL("row")=ROW()</formula>
    </cfRule>
  </conditionalFormatting>
  <conditionalFormatting sqref="G266">
    <cfRule type="expression" dxfId="9" priority="3">
      <formula>CELL("row")=ROW()</formula>
    </cfRule>
  </conditionalFormatting>
  <conditionalFormatting sqref="K376:O386 L375:O375">
    <cfRule type="expression" dxfId="8" priority="15">
      <formula>ROW(M93)=HighlightRow</formula>
    </cfRule>
  </conditionalFormatting>
  <conditionalFormatting sqref="P375:Q386">
    <cfRule type="expression" dxfId="7" priority="19">
      <formula>ROW(S93)=HighlightRow</formula>
    </cfRule>
  </conditionalFormatting>
  <conditionalFormatting sqref="S105:XFD105">
    <cfRule type="expression" dxfId="6" priority="20">
      <formula>ROW(T94)=HighlightRow</formula>
    </cfRule>
  </conditionalFormatting>
  <conditionalFormatting sqref="S106:XFD114">
    <cfRule type="expression" dxfId="5" priority="17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8"/>
  <sheetViews>
    <sheetView topLeftCell="A124" zoomScale="85" zoomScaleNormal="85" workbookViewId="0">
      <selection activeCell="G144" sqref="G14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30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7778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 t="s">
        <v>7743</v>
      </c>
      <c r="C128" s="43">
        <v>7006409005</v>
      </c>
      <c r="D128" s="43" t="s">
        <v>7785</v>
      </c>
      <c r="E128" s="43" t="s">
        <v>7751</v>
      </c>
      <c r="F128" s="21">
        <v>46021</v>
      </c>
      <c r="G128" s="21" t="s">
        <v>341</v>
      </c>
      <c r="H128" s="19" t="s">
        <v>6665</v>
      </c>
    </row>
    <row r="129" spans="1:8" ht="15.75" x14ac:dyDescent="0.25">
      <c r="A129" s="19">
        <f t="shared" si="2"/>
        <v>127</v>
      </c>
      <c r="B129" s="43" t="s">
        <v>7729</v>
      </c>
      <c r="C129" s="43">
        <v>9541083744</v>
      </c>
      <c r="D129" s="43" t="s">
        <v>7786</v>
      </c>
      <c r="E129" s="43" t="s">
        <v>7748</v>
      </c>
      <c r="F129" s="21">
        <v>46022</v>
      </c>
      <c r="G129" s="21" t="s">
        <v>341</v>
      </c>
      <c r="H129" s="19" t="s">
        <v>6665</v>
      </c>
    </row>
    <row r="130" spans="1:8" ht="15.75" x14ac:dyDescent="0.25">
      <c r="A130" s="19">
        <f t="shared" si="2"/>
        <v>128</v>
      </c>
      <c r="B130" s="43" t="s">
        <v>6391</v>
      </c>
      <c r="C130" s="43">
        <v>8493055195</v>
      </c>
      <c r="D130" s="43" t="s">
        <v>7813</v>
      </c>
      <c r="E130" s="43" t="s">
        <v>6393</v>
      </c>
      <c r="F130" s="21">
        <v>46022</v>
      </c>
      <c r="G130" s="21" t="s">
        <v>341</v>
      </c>
      <c r="H130" s="19" t="s">
        <v>6665</v>
      </c>
    </row>
    <row r="131" spans="1:8" ht="15.75" x14ac:dyDescent="0.25">
      <c r="A131" s="19">
        <f t="shared" ref="A131:A138" si="3">ROW()-2</f>
        <v>129</v>
      </c>
      <c r="B131" s="43" t="s">
        <v>7790</v>
      </c>
      <c r="C131" s="43">
        <v>9419070393</v>
      </c>
      <c r="D131" s="43" t="s">
        <v>7814</v>
      </c>
      <c r="E131" s="43" t="s">
        <v>7795</v>
      </c>
      <c r="F131" s="21">
        <v>46022</v>
      </c>
      <c r="G131" s="21" t="s">
        <v>341</v>
      </c>
      <c r="H131" s="19" t="s">
        <v>6665</v>
      </c>
    </row>
    <row r="132" spans="1:8" ht="15.75" x14ac:dyDescent="0.25">
      <c r="A132" s="19">
        <f t="shared" si="3"/>
        <v>130</v>
      </c>
      <c r="B132" s="43" t="s">
        <v>7806</v>
      </c>
      <c r="C132" s="43">
        <v>7889324122</v>
      </c>
      <c r="D132" s="43" t="s">
        <v>7815</v>
      </c>
      <c r="E132" s="43" t="s">
        <v>7812</v>
      </c>
      <c r="F132" s="21">
        <v>46022</v>
      </c>
      <c r="G132" s="21" t="s">
        <v>341</v>
      </c>
      <c r="H132" s="19" t="s">
        <v>6665</v>
      </c>
    </row>
    <row r="133" spans="1:8" ht="15.75" x14ac:dyDescent="0.25">
      <c r="A133" s="19">
        <f t="shared" si="3"/>
        <v>131</v>
      </c>
      <c r="B133" s="43" t="s">
        <v>7766</v>
      </c>
      <c r="C133" s="43">
        <v>9622775800</v>
      </c>
      <c r="D133" s="43" t="s">
        <v>7816</v>
      </c>
      <c r="E133" s="43" t="s">
        <v>7768</v>
      </c>
      <c r="F133" s="21">
        <v>46022</v>
      </c>
      <c r="G133" s="21" t="s">
        <v>341</v>
      </c>
      <c r="H133" s="19" t="s">
        <v>6665</v>
      </c>
    </row>
    <row r="134" spans="1:8" ht="15.75" x14ac:dyDescent="0.25">
      <c r="A134" s="19">
        <f t="shared" si="3"/>
        <v>132</v>
      </c>
      <c r="B134" s="43" t="s">
        <v>2915</v>
      </c>
      <c r="C134" s="43">
        <v>9906625047</v>
      </c>
      <c r="D134" s="43" t="s">
        <v>7817</v>
      </c>
      <c r="E134" s="43" t="s">
        <v>7749</v>
      </c>
      <c r="F134" s="21">
        <v>46022</v>
      </c>
      <c r="G134" s="21" t="s">
        <v>341</v>
      </c>
      <c r="H134" s="19" t="s">
        <v>6665</v>
      </c>
    </row>
    <row r="135" spans="1:8" ht="15.75" x14ac:dyDescent="0.25">
      <c r="A135" s="19">
        <f t="shared" si="3"/>
        <v>133</v>
      </c>
      <c r="B135" s="43" t="s">
        <v>7878</v>
      </c>
      <c r="C135" s="43">
        <v>7889588496</v>
      </c>
      <c r="D135" s="43" t="s">
        <v>7938</v>
      </c>
      <c r="E135" s="43" t="s">
        <v>7892</v>
      </c>
      <c r="F135" s="21">
        <v>46024</v>
      </c>
      <c r="G135" s="21" t="s">
        <v>341</v>
      </c>
      <c r="H135" s="19"/>
    </row>
    <row r="136" spans="1:8" ht="15.75" x14ac:dyDescent="0.25">
      <c r="A136" s="19">
        <f t="shared" si="3"/>
        <v>134</v>
      </c>
      <c r="B136" s="43" t="s">
        <v>7939</v>
      </c>
      <c r="C136" s="43">
        <v>7006955275</v>
      </c>
      <c r="D136" s="43" t="s">
        <v>7940</v>
      </c>
      <c r="E136" s="43" t="s">
        <v>7941</v>
      </c>
      <c r="F136" s="21">
        <v>46023</v>
      </c>
      <c r="G136" s="21" t="s">
        <v>398</v>
      </c>
      <c r="H136" s="19" t="s">
        <v>6665</v>
      </c>
    </row>
    <row r="137" spans="1:8" ht="15.75" x14ac:dyDescent="0.25">
      <c r="A137" s="19">
        <f t="shared" si="3"/>
        <v>135</v>
      </c>
      <c r="B137" s="43"/>
      <c r="C137" s="43"/>
      <c r="D137" s="43"/>
      <c r="E137" s="43"/>
      <c r="F137" s="21"/>
      <c r="G137" s="21"/>
      <c r="H137" s="19"/>
    </row>
    <row r="138" spans="1:8" ht="15.75" x14ac:dyDescent="0.25">
      <c r="A138" s="19">
        <f t="shared" si="3"/>
        <v>136</v>
      </c>
      <c r="B138" s="19"/>
      <c r="C138" s="19"/>
      <c r="D138" s="19"/>
      <c r="E138" s="19"/>
      <c r="F138" s="21"/>
      <c r="G138" s="21"/>
      <c r="H138" s="19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37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2026-01-03T12:32:23Z</dcterms:modified>
</cp:coreProperties>
</file>