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2ABC41-D29C-4F41-8AFC-3645FFB2CD1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11" i="7" l="1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0" i="4"/>
  <c r="H901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<sst xmlns="http://schemas.openxmlformats.org/spreadsheetml/2006/main" count="28948" uniqueCount="11661">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</sst>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21" totalsRowShown="0" headerRowDxfId="88" dataDxfId="87">
  <autoFilter ref="A1:R921" xr:uid="{97E63F84-BDFB-4C38-B1FD-28318E0D1D3F}"/>
  <tableColumns count="18">
    <tableColumn id="1" xr3:uid="{DEBB3640-E433-4779-93BC-95B8FB492623}" name="S.NO" dataDxfId="86">
      <calculatedColumnFormula>ROW()-1</calculatedColumnFormula>
    </tableColumn>
    <tableColumn id="13" xr3:uid="{86C56767-9BFE-4154-9FC1-CEA7C183815E}" name="APPLICATION NO." dataDxfId="85"/>
    <tableColumn id="2" xr3:uid="{6ABB4EDF-0F58-40D7-979C-D37D8D91A6BC}" name="CHASSIS" dataDxfId="84"/>
    <tableColumn id="17" xr3:uid="{0BBF5E4D-B8B0-4055-8D5F-3A6BB4D4A4DA}" name="ENGINE NO." dataDxfId="83"/>
    <tableColumn id="3" xr3:uid="{285CC4F4-4CD1-4FFC-A101-ED051DA40438}" name="NAME" dataDxfId="82"/>
    <tableColumn id="4" xr3:uid="{28DC8B59-EFA0-4502-86B0-033B0B60D615}" name="MODEL" dataDxfId="81"/>
    <tableColumn id="14" xr3:uid="{B25F5A6A-3B72-4772-B75C-D86670F35131}" name="COLOR" dataDxfId="80"/>
    <tableColumn id="15" xr3:uid="{22F5E9AE-FC4E-4EBD-ADBF-5C93F85B331F}" name="RTO" dataDxfId="79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8"/>
    <tableColumn id="6" xr3:uid="{9942893D-0703-456F-8072-CD136C7B4052}" name="DATE OF REG" dataDxfId="77"/>
    <tableColumn id="12" xr3:uid="{CC83ADC7-1924-4CE0-83FB-B2DFBEF7A193}" name="CONTACT" dataDxfId="76"/>
    <tableColumn id="7" xr3:uid="{3AD2B0D9-D7A5-46E0-B596-F6B7F1CDDEA6}" name="DSE" dataDxfId="75"/>
    <tableColumn id="8" xr3:uid="{475221AE-3FDC-4CED-B76C-4DA1DD4F8AD9}" name="RC RECEIVED BY" dataDxfId="74"/>
    <tableColumn id="9" xr3:uid="{F594ED7D-6966-47AC-A5C3-25754B73A3CC}" name="DATE" dataDxfId="73"/>
    <tableColumn id="10" xr3:uid="{452E3ECD-E927-4EC7-A8A2-4A866233750E}" name="FASTTAG" dataDxfId="72"/>
    <tableColumn id="11" xr3:uid="{CFEE5573-D700-4B26-B382-BCA8210C54C2}" name="DATED" dataDxfId="71"/>
    <tableColumn id="16" xr3:uid="{07363D0C-2FBE-403B-A617-BDB5768FAC43}" name="FT STATUS" dataDxfId="70"/>
    <tableColumn id="19" xr3:uid="{9456CF5E-F4D1-41FB-BAEA-332735A8583D}" name="REMARKS" dataDxfId="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8" dataDxfId="66" headerRowBorderDxfId="67" tableBorderDxfId="65">
  <autoFilter ref="A1:U1475" xr:uid="{D370B51C-D08F-47BE-AAB1-EC19B1CB5D0A}"/>
  <tableColumns count="21">
    <tableColumn id="1" xr3:uid="{F2AB5776-2910-4922-8F7A-A29B241AFBFB}" name="S.NO" dataDxfId="64"/>
    <tableColumn id="2" xr3:uid="{BD6FD91D-E737-4D6A-B00A-D80EC1A61CA8}" name="DATE" dataDxfId="63"/>
    <tableColumn id="3" xr3:uid="{523BFE7D-9361-4DD0-92B3-69A6F8F0C3E9}" name="CUSTOMER NAME" dataDxfId="62"/>
    <tableColumn id="4" xr3:uid="{D470DE80-5E84-419F-ABF9-6269311CD45E}" name="MARUTI" dataDxfId="61"/>
    <tableColumn id="5" xr3:uid="{89C10B6F-C9EE-4AD2-A610-262BFCF29B4E}" name="MODEL OR VARIANT" dataDxfId="60"/>
    <tableColumn id="6" xr3:uid="{9CB69D3E-706F-4EED-A315-D5399BE00D5C}" name="RTO" dataDxfId="59"/>
    <tableColumn id="7" xr3:uid="{2FB81954-C8D6-43B3-92E2-574B07BBFCCB}" name="VEHICLE CLASS" dataDxfId="58"/>
    <tableColumn id="8" xr3:uid="{1892A735-1187-4E6C-8786-9B173567AAD2}" name="REG. NO" dataDxfId="57"/>
    <tableColumn id="9" xr3:uid="{AFB37B1C-50E7-42BE-BC49-27B4D7E4E829}" name="VIN" dataDxfId="56"/>
    <tableColumn id="10" xr3:uid="{A3569458-1056-4E90-B079-94E3430A5743}" name="APPLICATION NO." dataDxfId="55"/>
    <tableColumn id="11" xr3:uid="{E25E7D92-4EC4-485D-93B8-A15B0538604A}" name="RTO AMMOUNT " dataDxfId="54"/>
    <tableColumn id="12" xr3:uid="{DB89535A-8F36-4EF8-B62C-86ABB378F51F}" name="HSRP" dataDxfId="53"/>
    <tableColumn id="13" xr3:uid="{6BD25826-954F-49C4-BE9E-24422B1B85BE}" name="ACCOUNT" dataDxfId="52"/>
    <tableColumn id="14" xr3:uid="{974951AE-D99C-487A-9DB5-065DA8DD25D4}" name="RM NAME" dataDxfId="51"/>
    <tableColumn id="15" xr3:uid="{FA4014CD-BE60-4554-9D6D-C0CC54B2CA05}" name="PAYMENT MODE" dataDxfId="50"/>
    <tableColumn id="16" xr3:uid="{84C48B22-72C9-4BD7-86AD-D8ECD87C3A64}" name="FILE PUNCHED BY" dataDxfId="49"/>
    <tableColumn id="17" xr3:uid="{87E46E14-6F6C-41D4-BBF8-CEAFAFE4CA8F}" name="PAYMENT ID" dataDxfId="48"/>
    <tableColumn id="18" xr3:uid="{0F2CD467-C868-4769-B436-AE2A25413B52}" name="RC STATUS" dataDxfId="47"/>
    <tableColumn id="19" xr3:uid="{0A9FDBF9-6418-4F2B-8B46-BE05C8150A04}" name="RC GIVEN DATE" dataDxfId="46"/>
    <tableColumn id="20" xr3:uid="{3A50F2B6-47D6-4A09-AA43-188FC568EA57}" name="FASTTAG ISSUE" dataDxfId="45"/>
    <tableColumn id="21" xr3:uid="{E4802D5D-D65F-42D3-B57E-E27729185964}" name="FASTTAG ISSUE DATE 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3" dataDxfId="42">
  <autoFilter ref="A2:I15" xr:uid="{74ED0DA7-B29F-4043-B63E-2DC322D6021E}"/>
  <tableColumns count="9">
    <tableColumn id="1" xr3:uid="{245016D5-DEB3-4F3E-B449-3096C2EF947B}" name="S.No." dataDxfId="41">
      <calculatedColumnFormula>ROW()-2</calculatedColumnFormula>
    </tableColumn>
    <tableColumn id="2" xr3:uid="{77ED4F47-8FDC-4F18-AB35-3830D899313B}" name="Dated" dataDxfId="40"/>
    <tableColumn id="3" xr3:uid="{67393A8B-58A2-4A4E-AA68-362B9B4F4E28}" name="Vehicle Num." dataDxfId="39"/>
    <tableColumn id="4" xr3:uid="{2C031EFD-E44B-468B-BEF0-3C97412F5E2E}" name="Name" dataDxfId="38"/>
    <tableColumn id="5" xr3:uid="{73873638-799E-44F5-B857-93DAE5E0F2FF}" name="Payment Mode" dataDxfId="37"/>
    <tableColumn id="6" xr3:uid="{BFB6E8F7-43C7-4B39-8FF0-E41A5EA5B2D3}" name="Trans Id." dataDxfId="36"/>
    <tableColumn id="8" xr3:uid="{3B1BF0B9-13BC-4A4E-B215-A3056576D199}" name="Trans. Date" dataDxfId="35"/>
    <tableColumn id="9" xr3:uid="{F64CF3FC-8352-46AE-80D1-01DDCE0247AC}" name="Amount" dataDxfId="34"/>
    <tableColumn id="7" xr3:uid="{22AF1F96-D5EA-48BA-A958-A42C203B5287}" name="Remark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14" totalsRowShown="0" headerRowDxfId="32" dataDxfId="31">
  <autoFilter ref="A2:H61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89"/>
  <sheetViews>
    <sheetView tabSelected="1" topLeftCell="A898" zoomScale="96" zoomScaleNormal="96" workbookViewId="0">
      <selection activeCell="I911" sqref="I9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6454</v>
      </c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11584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 t="s">
        <v>11331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11332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6436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11334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11335</v>
      </c>
      <c r="C867" s="21" t="s">
        <v>11336</v>
      </c>
      <c r="D867" s="21" t="s">
        <v>11337</v>
      </c>
      <c r="E867" s="21" t="s">
        <v>11338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11339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11455</v>
      </c>
    </row>
    <row r="868" spans="1:18" x14ac:dyDescent="0.25">
      <c r="A868" s="21">
        <f t="shared" si="26"/>
        <v>867</v>
      </c>
      <c r="B868" s="21" t="s">
        <v>11341</v>
      </c>
      <c r="C868" s="21" t="s">
        <v>11342</v>
      </c>
      <c r="D868" s="21" t="s">
        <v>11343</v>
      </c>
      <c r="E868" s="21" t="s">
        <v>11344</v>
      </c>
      <c r="F868" s="21" t="s">
        <v>11345</v>
      </c>
      <c r="G868" s="21" t="s">
        <v>197</v>
      </c>
      <c r="H868" s="21" t="str">
        <f t="shared" si="27"/>
        <v>SRINAGAR</v>
      </c>
      <c r="I868" s="21" t="s">
        <v>11346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11350</v>
      </c>
      <c r="C869" s="21" t="s">
        <v>11347</v>
      </c>
      <c r="D869" s="21" t="s">
        <v>11348</v>
      </c>
      <c r="E869" s="21" t="s">
        <v>11349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11371</v>
      </c>
      <c r="J869" s="22">
        <v>46191</v>
      </c>
      <c r="K869" s="21">
        <v>7889983332</v>
      </c>
      <c r="L869" s="21" t="s">
        <v>11192</v>
      </c>
      <c r="M869" s="23" t="s">
        <v>11405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11351</v>
      </c>
      <c r="C870" s="21" t="s">
        <v>11352</v>
      </c>
      <c r="D870" s="21" t="s">
        <v>11353</v>
      </c>
      <c r="E870" s="21" t="s">
        <v>11354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11372</v>
      </c>
      <c r="J870" s="22">
        <v>46192</v>
      </c>
      <c r="K870" s="21">
        <v>7006689214</v>
      </c>
      <c r="L870" s="21" t="s">
        <v>11355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11356</v>
      </c>
      <c r="C871" s="21" t="s">
        <v>11357</v>
      </c>
      <c r="D871" s="21" t="s">
        <v>11358</v>
      </c>
      <c r="E871" s="21" t="s">
        <v>11359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11370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11363</v>
      </c>
      <c r="C872" s="21" t="s">
        <v>11360</v>
      </c>
      <c r="D872" s="21" t="s">
        <v>11361</v>
      </c>
      <c r="E872" s="21" t="s">
        <v>11362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11368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11364</v>
      </c>
      <c r="C873" s="21" t="s">
        <v>11365</v>
      </c>
      <c r="D873" s="21" t="s">
        <v>11366</v>
      </c>
      <c r="E873" s="21" t="s">
        <v>11367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11369</v>
      </c>
      <c r="J873" s="22">
        <v>46192</v>
      </c>
      <c r="K873" s="21">
        <v>9419040502</v>
      </c>
      <c r="L873" s="21" t="s">
        <v>10162</v>
      </c>
      <c r="M873" s="23" t="s">
        <v>11391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11376</v>
      </c>
      <c r="C874" s="21" t="s">
        <v>11373</v>
      </c>
      <c r="D874" s="21" t="s">
        <v>11374</v>
      </c>
      <c r="E874" s="21" t="s">
        <v>11375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11380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11385</v>
      </c>
      <c r="C875" s="21" t="s">
        <v>11382</v>
      </c>
      <c r="D875" s="21" t="s">
        <v>11383</v>
      </c>
      <c r="E875" s="21" t="s">
        <v>11384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11386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11392</v>
      </c>
      <c r="C876" s="21" t="s">
        <v>11393</v>
      </c>
      <c r="D876" s="21" t="s">
        <v>11394</v>
      </c>
      <c r="E876" s="21" t="s">
        <v>11395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11399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11387</v>
      </c>
      <c r="C877" s="21" t="s">
        <v>11388</v>
      </c>
      <c r="D877" s="21" t="s">
        <v>11389</v>
      </c>
      <c r="E877" s="21" t="s">
        <v>11390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11408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11411</v>
      </c>
      <c r="C878" s="21" t="s">
        <v>11412</v>
      </c>
      <c r="D878" s="21" t="s">
        <v>11413</v>
      </c>
      <c r="E878" s="21" t="s">
        <v>11414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11415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11424</v>
      </c>
      <c r="C879" s="21" t="s">
        <v>11425</v>
      </c>
      <c r="D879" s="21" t="s">
        <v>11426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11433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11429</v>
      </c>
      <c r="C880" s="21" t="s">
        <v>11430</v>
      </c>
      <c r="D880" s="21" t="s">
        <v>11431</v>
      </c>
      <c r="E880" s="21" t="s">
        <v>11432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11434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11435</v>
      </c>
      <c r="C881" s="21" t="s">
        <v>11436</v>
      </c>
      <c r="D881" s="21" t="s">
        <v>11437</v>
      </c>
      <c r="E881" s="21" t="s">
        <v>11438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11439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11440</v>
      </c>
      <c r="C882" s="21" t="s">
        <v>11441</v>
      </c>
      <c r="D882" s="21" t="s">
        <v>11442</v>
      </c>
      <c r="E882" s="21" t="s">
        <v>11443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11454</v>
      </c>
      <c r="J882" s="22">
        <v>46196</v>
      </c>
      <c r="K882" s="21">
        <v>9149740071</v>
      </c>
      <c r="L882" s="21" t="s">
        <v>7689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11447</v>
      </c>
      <c r="C883" s="21" t="s">
        <v>11444</v>
      </c>
      <c r="D883" s="21" t="s">
        <v>11445</v>
      </c>
      <c r="E883" s="21" t="s">
        <v>11446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11453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11451</v>
      </c>
      <c r="C884" s="21" t="s">
        <v>11448</v>
      </c>
      <c r="D884" s="21" t="s">
        <v>11449</v>
      </c>
      <c r="E884" s="21" t="s">
        <v>11450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11452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11458</v>
      </c>
      <c r="C885" s="21" t="s">
        <v>11459</v>
      </c>
      <c r="D885" s="21" t="s">
        <v>11460</v>
      </c>
      <c r="E885" s="21" t="s">
        <v>11461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11462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11379</v>
      </c>
      <c r="C886" s="21" t="s">
        <v>11378</v>
      </c>
      <c r="D886" s="21" t="s">
        <v>11381</v>
      </c>
      <c r="E886" s="21" t="s">
        <v>11377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11463</v>
      </c>
      <c r="J886" s="22">
        <v>46192</v>
      </c>
      <c r="K886" s="21">
        <v>9978492818</v>
      </c>
      <c r="L886" s="21" t="s">
        <v>26</v>
      </c>
      <c r="M886" s="23"/>
      <c r="N886" s="22"/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11464</v>
      </c>
      <c r="C887" s="21" t="s">
        <v>11465</v>
      </c>
      <c r="D887" s="21" t="s">
        <v>11466</v>
      </c>
      <c r="E887" s="21" t="s">
        <v>11467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11469</v>
      </c>
      <c r="J887" s="22">
        <v>46196</v>
      </c>
      <c r="K887" s="21">
        <v>7006467400</v>
      </c>
      <c r="L887" s="21" t="s">
        <v>11468</v>
      </c>
      <c r="M887" s="23" t="s">
        <v>11604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11474</v>
      </c>
      <c r="C888" s="21" t="s">
        <v>11471</v>
      </c>
      <c r="D888" s="21" t="s">
        <v>11472</v>
      </c>
      <c r="E888" s="21" t="s">
        <v>11473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11489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11478</v>
      </c>
      <c r="C889" s="21" t="s">
        <v>11475</v>
      </c>
      <c r="D889" s="21" t="s">
        <v>11476</v>
      </c>
      <c r="E889" s="21" t="s">
        <v>11477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11487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11482</v>
      </c>
      <c r="C890" s="21" t="s">
        <v>11479</v>
      </c>
      <c r="D890" s="21" t="s">
        <v>11480</v>
      </c>
      <c r="E890" s="21" t="s">
        <v>11481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11488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11490</v>
      </c>
      <c r="C891" s="21" t="s">
        <v>11491</v>
      </c>
      <c r="D891" s="21" t="s">
        <v>11492</v>
      </c>
      <c r="E891" s="21" t="s">
        <v>11493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11502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11500</v>
      </c>
    </row>
    <row r="892" spans="1:18" x14ac:dyDescent="0.25">
      <c r="A892" s="21">
        <f t="shared" si="26"/>
        <v>891</v>
      </c>
      <c r="B892" s="21" t="s">
        <v>11497</v>
      </c>
      <c r="C892" s="21" t="s">
        <v>11494</v>
      </c>
      <c r="D892" s="21" t="s">
        <v>11495</v>
      </c>
      <c r="E892" s="21" t="s">
        <v>11496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11501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11503</v>
      </c>
      <c r="C893" s="21" t="s">
        <v>11504</v>
      </c>
      <c r="D893" s="21" t="s">
        <v>11505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11510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11506</v>
      </c>
      <c r="C894" s="21" t="s">
        <v>11508</v>
      </c>
      <c r="D894" s="21" t="s">
        <v>11509</v>
      </c>
      <c r="E894" s="21" t="s">
        <v>11507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11511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11514</v>
      </c>
      <c r="C895" s="21" t="s">
        <v>11512</v>
      </c>
      <c r="D895" s="21" t="s">
        <v>11513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11521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11524</v>
      </c>
      <c r="C896" s="21" t="s">
        <v>11525</v>
      </c>
      <c r="D896" s="21" t="s">
        <v>11527</v>
      </c>
      <c r="E896" s="21" t="s">
        <v>11526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11528</v>
      </c>
      <c r="J896" s="22">
        <v>46198</v>
      </c>
      <c r="K896" s="21">
        <v>7889628489</v>
      </c>
      <c r="L896" s="21" t="s">
        <v>6515</v>
      </c>
      <c r="M896" s="23" t="s">
        <v>11329</v>
      </c>
      <c r="N896" s="22"/>
      <c r="O896" s="21"/>
      <c r="P896" s="24"/>
      <c r="Q896" s="21"/>
      <c r="R896" s="21"/>
    </row>
    <row r="897" spans="1:18" x14ac:dyDescent="0.25">
      <c r="A897" s="21">
        <f t="shared" ref="A897:A921" si="33">ROW()-1</f>
        <v>896</v>
      </c>
      <c r="B897" s="21" t="s">
        <v>11533</v>
      </c>
      <c r="C897" s="21" t="s">
        <v>11531</v>
      </c>
      <c r="D897" s="21" t="s">
        <v>11532</v>
      </c>
      <c r="E897" s="21" t="s">
        <v>11530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11529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11537</v>
      </c>
      <c r="C898" s="21" t="s">
        <v>11534</v>
      </c>
      <c r="D898" s="21" t="s">
        <v>11535</v>
      </c>
      <c r="E898" s="21" t="s">
        <v>11536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11538</v>
      </c>
      <c r="J898" s="22">
        <v>46198</v>
      </c>
      <c r="K898" s="21">
        <v>8899098549</v>
      </c>
      <c r="L898" s="21" t="s">
        <v>11570</v>
      </c>
      <c r="M898" s="23"/>
      <c r="N898" s="22"/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11543</v>
      </c>
      <c r="C899" s="21" t="s">
        <v>11541</v>
      </c>
      <c r="D899" s="21" t="s">
        <v>11542</v>
      </c>
      <c r="E899" s="21" t="s">
        <v>11540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11539</v>
      </c>
      <c r="J899" s="22">
        <v>46198</v>
      </c>
      <c r="K899" s="21">
        <v>7006598384</v>
      </c>
      <c r="L899" s="21"/>
      <c r="M899" s="23"/>
      <c r="N899" s="22"/>
      <c r="O899" s="21"/>
      <c r="P899" s="24"/>
      <c r="Q899" s="21"/>
      <c r="R899" s="21"/>
    </row>
    <row r="900" spans="1:18" x14ac:dyDescent="0.25">
      <c r="A900" s="21">
        <f t="shared" si="33"/>
        <v>899</v>
      </c>
      <c r="B900" s="21" t="s">
        <v>11548</v>
      </c>
      <c r="C900" s="21" t="s">
        <v>11544</v>
      </c>
      <c r="D900" s="21" t="s">
        <v>11545</v>
      </c>
      <c r="E900" s="21" t="s">
        <v>11546</v>
      </c>
      <c r="F900" s="21" t="s">
        <v>277</v>
      </c>
      <c r="G900" s="21" t="s">
        <v>196</v>
      </c>
      <c r="H900" s="21" t="str">
        <f t="shared" si="32"/>
        <v>TEMP</v>
      </c>
      <c r="I900" s="21" t="s">
        <v>11547</v>
      </c>
      <c r="J900" s="22">
        <v>46198</v>
      </c>
      <c r="K900" s="21">
        <v>7889410951</v>
      </c>
      <c r="L900" s="21" t="s">
        <v>11562</v>
      </c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11549</v>
      </c>
      <c r="C901" s="21" t="s">
        <v>11556</v>
      </c>
      <c r="D901" s="21" t="s">
        <v>11557</v>
      </c>
      <c r="E901" s="21" t="s">
        <v>11555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11554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11553</v>
      </c>
      <c r="C902" s="21" t="s">
        <v>11551</v>
      </c>
      <c r="D902" s="21" t="s">
        <v>11550</v>
      </c>
      <c r="E902" s="21" t="s">
        <v>11552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11569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11559</v>
      </c>
      <c r="C903" s="21" t="s">
        <v>11560</v>
      </c>
      <c r="D903" s="21" t="s">
        <v>11561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11567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11566</v>
      </c>
      <c r="C904" s="21" t="s">
        <v>11563</v>
      </c>
      <c r="D904" s="21" t="s">
        <v>11564</v>
      </c>
      <c r="E904" s="21" t="s">
        <v>11565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11568</v>
      </c>
      <c r="J904" s="22">
        <v>46199</v>
      </c>
      <c r="K904" s="21">
        <v>9596191449</v>
      </c>
      <c r="L904" s="21" t="s">
        <v>547</v>
      </c>
      <c r="M904" s="23"/>
      <c r="N904" s="22"/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11574</v>
      </c>
      <c r="C905" s="21" t="s">
        <v>11575</v>
      </c>
      <c r="D905" s="21" t="s">
        <v>11576</v>
      </c>
      <c r="E905" s="21" t="s">
        <v>11577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11582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11581</v>
      </c>
      <c r="C906" s="21" t="s">
        <v>11578</v>
      </c>
      <c r="D906" s="21" t="s">
        <v>11579</v>
      </c>
      <c r="E906" s="21" t="s">
        <v>11580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11583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11595</v>
      </c>
      <c r="C907" s="21" t="s">
        <v>11596</v>
      </c>
      <c r="D907" s="21" t="s">
        <v>11597</v>
      </c>
      <c r="E907" s="21" t="s">
        <v>11598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11599</v>
      </c>
      <c r="J907" s="22">
        <v>46202</v>
      </c>
      <c r="K907" s="21">
        <v>9086419987</v>
      </c>
      <c r="L907" s="21" t="s">
        <v>173</v>
      </c>
      <c r="M907" s="23"/>
      <c r="N907" s="22"/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11603</v>
      </c>
      <c r="C908" s="21" t="s">
        <v>11600</v>
      </c>
      <c r="D908" s="21" t="s">
        <v>11601</v>
      </c>
      <c r="E908" s="21" t="s">
        <v>11602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11610</v>
      </c>
      <c r="J908" s="22">
        <v>46202</v>
      </c>
      <c r="K908" s="21">
        <v>7006438844</v>
      </c>
      <c r="L908" s="21" t="s">
        <v>10242</v>
      </c>
      <c r="M908" s="23"/>
      <c r="N908" s="22"/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11608</v>
      </c>
      <c r="C909" s="21" t="s">
        <v>11605</v>
      </c>
      <c r="D909" s="21" t="s">
        <v>11606</v>
      </c>
      <c r="E909" s="21" t="s">
        <v>11607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11609</v>
      </c>
      <c r="J909" s="22">
        <v>46202</v>
      </c>
      <c r="K909" s="21">
        <v>8491965615</v>
      </c>
      <c r="L909" s="21" t="s">
        <v>11309</v>
      </c>
      <c r="M909" s="23"/>
      <c r="N909" s="22"/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11587</v>
      </c>
      <c r="C910" s="21" t="s">
        <v>11588</v>
      </c>
      <c r="D910" s="21" t="s">
        <v>11590</v>
      </c>
      <c r="E910" s="21" t="s">
        <v>11589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11611</v>
      </c>
      <c r="J910" s="22">
        <v>46202</v>
      </c>
      <c r="K910" s="21">
        <v>8899914722</v>
      </c>
      <c r="L910" s="21" t="s">
        <v>6823</v>
      </c>
      <c r="M910" s="23"/>
      <c r="N910" s="22"/>
      <c r="O910" s="21"/>
      <c r="P910" s="24"/>
      <c r="Q910" s="21"/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11617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11616</v>
      </c>
      <c r="C912" s="21" t="s">
        <v>11612</v>
      </c>
      <c r="D912" s="21" t="s">
        <v>11613</v>
      </c>
      <c r="E912" s="21" t="s">
        <v>11614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11632</v>
      </c>
      <c r="J912" s="22">
        <v>46203</v>
      </c>
      <c r="K912" s="21">
        <v>9599281803</v>
      </c>
      <c r="L912" s="21" t="s">
        <v>11615</v>
      </c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 t="s">
        <v>11624</v>
      </c>
      <c r="C913" s="21" t="s">
        <v>11625</v>
      </c>
      <c r="D913" s="21" t="s">
        <v>11626</v>
      </c>
      <c r="E913" s="21" t="s">
        <v>11627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11646</v>
      </c>
      <c r="J913" s="22">
        <v>46203</v>
      </c>
      <c r="K913" s="21">
        <v>7780830410</v>
      </c>
      <c r="L913" s="21" t="s">
        <v>8857</v>
      </c>
      <c r="M913" s="23"/>
      <c r="N913" s="22"/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11631</v>
      </c>
      <c r="C914" s="21" t="s">
        <v>11629</v>
      </c>
      <c r="D914" s="21" t="s">
        <v>11630</v>
      </c>
      <c r="E914" s="21" t="s">
        <v>11628</v>
      </c>
      <c r="F914" s="21" t="s">
        <v>98</v>
      </c>
      <c r="G914" s="21" t="s">
        <v>171</v>
      </c>
      <c r="H914" s="56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11645</v>
      </c>
      <c r="J914" s="57">
        <v>46203</v>
      </c>
      <c r="K914" s="21">
        <v>9596170967</v>
      </c>
      <c r="L914" s="55" t="s">
        <v>2168</v>
      </c>
      <c r="M914" s="59"/>
      <c r="N914" s="57"/>
      <c r="O914" s="21" t="s">
        <v>23</v>
      </c>
      <c r="P914" s="24">
        <v>46203</v>
      </c>
      <c r="Q914" s="21" t="s">
        <v>6454</v>
      </c>
      <c r="R914" s="55"/>
    </row>
    <row r="915" spans="1:18" x14ac:dyDescent="0.25">
      <c r="A915" s="21">
        <f t="shared" si="33"/>
        <v>914</v>
      </c>
      <c r="B915" s="21" t="s">
        <v>11633</v>
      </c>
      <c r="C915" s="21" t="s">
        <v>11634</v>
      </c>
      <c r="D915" s="21" t="s">
        <v>11635</v>
      </c>
      <c r="E915" s="21" t="s">
        <v>11636</v>
      </c>
      <c r="F915" s="21" t="s">
        <v>5</v>
      </c>
      <c r="G915" s="21" t="s">
        <v>196</v>
      </c>
      <c r="H915" s="56" t="str">
        <f t="shared" si="35"/>
        <v>NEW</v>
      </c>
      <c r="I915" s="21" t="s">
        <v>11647</v>
      </c>
      <c r="J915" s="57">
        <v>46203</v>
      </c>
      <c r="K915" s="21">
        <v>7006713773</v>
      </c>
      <c r="L915" s="55" t="s">
        <v>1513</v>
      </c>
      <c r="M915" s="59"/>
      <c r="N915" s="57"/>
      <c r="O915" s="55" t="s">
        <v>23</v>
      </c>
      <c r="P915" s="60">
        <v>46203</v>
      </c>
      <c r="Q915" s="55" t="s">
        <v>6454</v>
      </c>
      <c r="R915" s="55"/>
    </row>
    <row r="916" spans="1:18" x14ac:dyDescent="0.25">
      <c r="A916" s="21">
        <f t="shared" si="33"/>
        <v>915</v>
      </c>
      <c r="B916" s="21" t="s">
        <v>11641</v>
      </c>
      <c r="C916" s="21" t="s">
        <v>11642</v>
      </c>
      <c r="D916" s="21" t="s">
        <v>11643</v>
      </c>
      <c r="E916" s="21" t="s">
        <v>11644</v>
      </c>
      <c r="F916" s="21" t="s">
        <v>65</v>
      </c>
      <c r="G916" s="21" t="s">
        <v>197</v>
      </c>
      <c r="H916" s="56" t="str">
        <f t="shared" si="35"/>
        <v>PULWAMA</v>
      </c>
      <c r="I916" s="21" t="s">
        <v>11648</v>
      </c>
      <c r="J916" s="57">
        <v>46203</v>
      </c>
      <c r="K916" s="21">
        <v>8899111905</v>
      </c>
      <c r="L916" s="55" t="s">
        <v>68</v>
      </c>
      <c r="M916" s="59"/>
      <c r="N916" s="57"/>
      <c r="O916" s="55"/>
      <c r="P916" s="60"/>
      <c r="Q916" s="55"/>
      <c r="R916" s="55"/>
    </row>
    <row r="917" spans="1:18" x14ac:dyDescent="0.25">
      <c r="A917" s="21">
        <f t="shared" si="33"/>
        <v>916</v>
      </c>
      <c r="B917" s="21" t="s">
        <v>11637</v>
      </c>
      <c r="C917" s="21" t="s">
        <v>11638</v>
      </c>
      <c r="D917" s="21" t="s">
        <v>11639</v>
      </c>
      <c r="E917" s="21" t="s">
        <v>11640</v>
      </c>
      <c r="F917" s="21" t="s">
        <v>36</v>
      </c>
      <c r="G917" s="21" t="s">
        <v>197</v>
      </c>
      <c r="H917" s="56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11649</v>
      </c>
      <c r="J917" s="57">
        <v>46203</v>
      </c>
      <c r="K917" s="21">
        <v>9419067489</v>
      </c>
      <c r="L917" s="55" t="s">
        <v>10242</v>
      </c>
      <c r="M917" s="59"/>
      <c r="N917" s="57"/>
      <c r="O917" s="55"/>
      <c r="P917" s="60"/>
      <c r="Q917" s="55"/>
      <c r="R917" s="55"/>
    </row>
    <row r="918" spans="1:18" x14ac:dyDescent="0.25">
      <c r="A918" s="21">
        <f t="shared" si="33"/>
        <v>917</v>
      </c>
      <c r="B918" s="21" t="s">
        <v>11650</v>
      </c>
      <c r="C918" s="21" t="s">
        <v>11651</v>
      </c>
      <c r="D918" s="21" t="s">
        <v>11652</v>
      </c>
      <c r="E918" s="21" t="s">
        <v>11653</v>
      </c>
      <c r="F918" s="21" t="s">
        <v>65</v>
      </c>
      <c r="G918" s="21" t="s">
        <v>197</v>
      </c>
      <c r="H918" s="56" t="str">
        <f t="shared" si="35"/>
        <v>SRINAGAR</v>
      </c>
      <c r="I918" s="21" t="s">
        <v>11660</v>
      </c>
      <c r="J918" s="57">
        <v>46203</v>
      </c>
      <c r="K918" s="21">
        <v>9682641134</v>
      </c>
      <c r="L918" s="55" t="s">
        <v>303</v>
      </c>
      <c r="M918" s="59"/>
      <c r="N918" s="57"/>
      <c r="O918" s="55"/>
      <c r="P918" s="60"/>
      <c r="Q918" s="55"/>
      <c r="R918" s="55"/>
    </row>
    <row r="919" spans="1:18" x14ac:dyDescent="0.25">
      <c r="A919" s="21">
        <f t="shared" si="33"/>
        <v>918</v>
      </c>
      <c r="B919" s="21" t="s">
        <v>11657</v>
      </c>
      <c r="C919" s="21" t="s">
        <v>11654</v>
      </c>
      <c r="D919" s="21" t="s">
        <v>11655</v>
      </c>
      <c r="E919" s="21" t="s">
        <v>11656</v>
      </c>
      <c r="F919" s="21" t="s">
        <v>5</v>
      </c>
      <c r="G919" s="21" t="s">
        <v>196</v>
      </c>
      <c r="H919" s="56" t="str">
        <f t="shared" si="35"/>
        <v>SHOPIAN</v>
      </c>
      <c r="I919" s="55" t="s">
        <v>11659</v>
      </c>
      <c r="J919" s="57">
        <v>46203</v>
      </c>
      <c r="K919" s="21">
        <v>9797036215</v>
      </c>
      <c r="L919" s="55" t="s">
        <v>6446</v>
      </c>
      <c r="M919" s="59"/>
      <c r="N919" s="57"/>
      <c r="O919" s="55"/>
      <c r="P919" s="60"/>
      <c r="Q919" s="55"/>
      <c r="R919" s="55"/>
    </row>
    <row r="920" spans="1:18" x14ac:dyDescent="0.25">
      <c r="A920" s="21">
        <f t="shared" si="33"/>
        <v>919</v>
      </c>
      <c r="B920" s="21"/>
      <c r="C920" s="21"/>
      <c r="D920" s="21"/>
      <c r="E920" s="21"/>
      <c r="F920" s="21"/>
      <c r="G920" s="21"/>
      <c r="H920" s="56" t="str">
        <f t="shared" si="35"/>
        <v>NEW</v>
      </c>
      <c r="I920" s="55"/>
      <c r="J920" s="57"/>
      <c r="K920" s="58"/>
      <c r="L920" s="55"/>
      <c r="M920" s="59"/>
      <c r="N920" s="57"/>
      <c r="O920" s="55"/>
      <c r="P920" s="60"/>
      <c r="Q920" s="55"/>
      <c r="R920" s="55"/>
    </row>
    <row r="921" spans="1:18" x14ac:dyDescent="0.25">
      <c r="A921" s="21">
        <f t="shared" si="33"/>
        <v>920</v>
      </c>
      <c r="B921" s="55"/>
      <c r="C921" s="55"/>
      <c r="D921" s="55"/>
      <c r="E921" s="55"/>
      <c r="F921" s="55"/>
      <c r="G921" s="55"/>
      <c r="H921" s="56" t="str">
        <f t="shared" si="35"/>
        <v>NEW</v>
      </c>
      <c r="I921" s="55"/>
      <c r="J921" s="57"/>
      <c r="K921" s="58"/>
      <c r="L921" s="55"/>
      <c r="M921" s="59"/>
      <c r="N921" s="57"/>
      <c r="O921" s="55"/>
      <c r="P921" s="60"/>
      <c r="Q921" s="55"/>
      <c r="R921" s="55"/>
    </row>
    <row r="922" spans="1:18" ht="15.75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12"/>
      <c r="K922" s="21"/>
      <c r="L922" s="21"/>
      <c r="M922" t="s">
        <v>43</v>
      </c>
    </row>
    <row r="923" spans="1:18" ht="15.75" x14ac:dyDescent="0.25">
      <c r="A923" s="21"/>
      <c r="B923" s="21"/>
      <c r="C923" s="21"/>
      <c r="D923" s="21"/>
      <c r="E923" s="21"/>
      <c r="F923" s="21"/>
      <c r="G923" s="21"/>
      <c r="H923" s="1"/>
      <c r="I923" s="13"/>
      <c r="K923" s="21"/>
      <c r="L923" s="21"/>
    </row>
    <row r="924" spans="1:18" x14ac:dyDescent="0.25">
      <c r="K924" s="21"/>
    </row>
    <row r="925" spans="1:18" x14ac:dyDescent="0.25">
      <c r="K925" s="21"/>
    </row>
    <row r="926" spans="1:18" x14ac:dyDescent="0.25">
      <c r="K926" s="21"/>
    </row>
    <row r="927" spans="1:18" x14ac:dyDescent="0.25">
      <c r="K927" s="21"/>
    </row>
    <row r="928" spans="1:18" x14ac:dyDescent="0.25">
      <c r="K928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x14ac:dyDescent="0.25">
      <c r="K1051" s="20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G824:H824 B825:H826 B826:G831 H827 H828:L828 H829:J829 I829:I836 H830 J830:J835 B830:F839 G831:H831 B832:H834 K832:K836 L833:R834 K835:R835 H835:H836 B835:G839 J836:R836 H837:R837 A838:J838 G839:J839 I839:I845 J840:J845 B840:H846 B843:G849 I846:J846 B847:J850 A850:R850 K851:K868 L852:R875 I857:I862 J858:J862 A863:J863 B864:J864 A864:A906 I865:J867 B865:H873 J868 I868:I873 J869:K873 B874:K875 B877:R880 J881:R881 B881:I887 J882:J885 L882:R889 B885:G893 J886:R886 J887 G888:J891 M890:R894 K891:K906 B892:J892 I892:I893 B893:H893 J893:J904 B894:I897 L895:R906 B896:G906 H898:I899 I899:I904 H900:H904 H905:J906 G908:H908 J908:J909 M908:N909 L922:L923 H909:H910 K838:R851 I851:J857 A851:H862 K824:R832 K823:L823 B876:L876 O876:R876 O823:R823 H907:R907 J910:N910 O908:R910 A920:R921 H911:K911 J912:K912 A907:G915 A916:I917 J913:J917 H912:I915 H918:J918 A918:A919 G919:J919 B915:G920 K911:R919">
    <cfRule type="expression" dxfId="22" priority="31">
      <formula>CELL("row")=ROW()</formula>
    </cfRule>
  </conditionalFormatting>
  <conditionalFormatting sqref="B257:G290 B291:B300 C291:G301">
    <cfRule type="expression" dxfId="21" priority="29">
      <formula>CELL("row")=ROW()</formula>
    </cfRule>
  </conditionalFormatting>
  <conditionalFormatting sqref="B772:G772">
    <cfRule type="expression" dxfId="20" priority="12">
      <formula>CELL("row")=ROW()</formula>
    </cfRule>
  </conditionalFormatting>
  <conditionalFormatting sqref="F398">
    <cfRule type="expression" dxfId="19" priority="24">
      <formula>CELL("row")=ROW()</formula>
    </cfRule>
  </conditionalFormatting>
  <conditionalFormatting sqref="F420">
    <cfRule type="expression" dxfId="18" priority="23">
      <formula>CELL("row")=ROW()</formula>
    </cfRule>
  </conditionalFormatting>
  <conditionalFormatting sqref="F326:G326">
    <cfRule type="expression" dxfId="17" priority="26">
      <formula>CELL("row")=ROW()</formula>
    </cfRule>
  </conditionalFormatting>
  <conditionalFormatting sqref="G266">
    <cfRule type="expression" dxfId="16" priority="28">
      <formula>CELL("row")=ROW()</formula>
    </cfRule>
  </conditionalFormatting>
  <conditionalFormatting sqref="I558">
    <cfRule type="expression" dxfId="15" priority="19">
      <formula>CELL("row")=ROW()</formula>
    </cfRule>
  </conditionalFormatting>
  <conditionalFormatting sqref="I908:I910">
    <cfRule type="expression" dxfId="14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22:I922 K922:K928 A923:G923 K930:K1001">
    <cfRule type="expression" dxfId="13" priority="17">
      <formula>CELL("row")=ROW()</formula>
    </cfRule>
  </conditionalFormatting>
  <conditionalFormatting sqref="K672:K697 K698:L700 L701">
    <cfRule type="expression" dxfId="12" priority="16">
      <formula>CELL("row")=ROW()</formula>
    </cfRule>
  </conditionalFormatting>
  <conditionalFormatting sqref="K882:K889 K890:L892 L893:L894 K908:L910">
    <cfRule type="expression" dxfId="11" priority="8">
      <formula>CELL("row")=ROW()</formula>
    </cfRule>
  </conditionalFormatting>
  <conditionalFormatting sqref="L532:L535">
    <cfRule type="expression" dxfId="10" priority="21">
      <formula>CELL("row")=ROW()</formula>
    </cfRule>
  </conditionalFormatting>
  <conditionalFormatting sqref="M718 M730 M733 M738:M739">
    <cfRule type="expression" dxfId="9" priority="11">
      <formula>CELL("row")=ROW()</formula>
    </cfRule>
  </conditionalFormatting>
  <conditionalFormatting sqref="M763:M764 M774">
    <cfRule type="expression" dxfId="8" priority="10">
      <formula>CELL("row")=ROW()</formula>
    </cfRule>
  </conditionalFormatting>
  <conditionalFormatting sqref="M922:O923">
    <cfRule type="expression" dxfId="7" priority="40">
      <formula>ROW(O93)=HighlightRow</formula>
    </cfRule>
  </conditionalFormatting>
  <conditionalFormatting sqref="N698">
    <cfRule type="expression" dxfId="6" priority="14">
      <formula>CELL("row")=ROW()</formula>
    </cfRule>
  </conditionalFormatting>
  <conditionalFormatting sqref="P922:Q923">
    <cfRule type="expression" dxfId="5" priority="44">
      <formula>ROW(S93)=HighlightRow</formula>
    </cfRule>
  </conditionalFormatting>
  <conditionalFormatting sqref="S105:XFD105">
    <cfRule type="expression" dxfId="4" priority="45">
      <formula>ROW(T94)=HighlightRow</formula>
    </cfRule>
  </conditionalFormatting>
  <conditionalFormatting sqref="S106:XFD114">
    <cfRule type="expression" dxfId="3" priority="42">
      <formula>ROW(T96)=HighlightRow</formula>
    </cfRule>
  </conditionalFormatting>
  <conditionalFormatting sqref="M823:N823">
    <cfRule type="expression" dxfId="2" priority="4">
      <formula>CELL("row")=ROW()</formula>
    </cfRule>
  </conditionalFormatting>
  <conditionalFormatting sqref="M876:N876">
    <cfRule type="expression" dxfId="1" priority="3">
      <formula>CELL("row")=ROW()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14"/>
  <sheetViews>
    <sheetView topLeftCell="A595" zoomScaleNormal="100" workbookViewId="0">
      <selection activeCell="E613" sqref="E61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14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>
        <v>9906377896</v>
      </c>
      <c r="D588" s="21" t="s">
        <v>11485</v>
      </c>
      <c r="E588" s="21" t="s">
        <v>11462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11493</v>
      </c>
      <c r="C596" s="21">
        <v>9622647542</v>
      </c>
      <c r="D596" s="21" t="s">
        <v>11522</v>
      </c>
      <c r="E596" s="21" t="s">
        <v>11502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11473</v>
      </c>
      <c r="C597" s="21">
        <v>7889705631</v>
      </c>
      <c r="D597" s="21" t="s">
        <v>11523</v>
      </c>
      <c r="E597" s="21" t="s">
        <v>11489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11530</v>
      </c>
      <c r="C598" s="21">
        <v>6006350073</v>
      </c>
      <c r="D598" s="21" t="s">
        <v>11558</v>
      </c>
      <c r="E598" s="21" t="s">
        <v>11529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11536</v>
      </c>
      <c r="C599" s="21">
        <v>8899098549</v>
      </c>
      <c r="D599" s="21" t="s">
        <v>11571</v>
      </c>
      <c r="E599" s="21" t="s">
        <v>11538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11572</v>
      </c>
      <c r="C600" s="21">
        <v>7006246665</v>
      </c>
      <c r="D600" s="21" t="s">
        <v>11573</v>
      </c>
      <c r="E600" s="21" t="s">
        <v>11521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11585</v>
      </c>
      <c r="E601" s="21" t="s">
        <v>11567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11577</v>
      </c>
      <c r="C602" s="21">
        <v>9622773989</v>
      </c>
      <c r="D602" s="21" t="s">
        <v>11586</v>
      </c>
      <c r="E602" s="21" t="s">
        <v>11582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11591</v>
      </c>
      <c r="C603" s="21">
        <v>6006567480</v>
      </c>
      <c r="D603" s="21" t="s">
        <v>11592</v>
      </c>
      <c r="E603" s="21" t="s">
        <v>11593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11580</v>
      </c>
      <c r="C604" s="21">
        <v>7006560058</v>
      </c>
      <c r="D604" s="21" t="s">
        <v>11594</v>
      </c>
      <c r="E604" s="21" t="s">
        <v>11583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11607</v>
      </c>
      <c r="C605" s="21">
        <v>8082780835</v>
      </c>
      <c r="D605" s="21" t="s">
        <v>11618</v>
      </c>
      <c r="E605" s="21" t="s">
        <v>11609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11602</v>
      </c>
      <c r="C606" s="21">
        <v>7006438844</v>
      </c>
      <c r="D606" s="21" t="s">
        <v>11619</v>
      </c>
      <c r="E606" s="21" t="s">
        <v>11610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11598</v>
      </c>
      <c r="C607" s="21">
        <v>9086419987</v>
      </c>
      <c r="D607" s="21" t="s">
        <v>11620</v>
      </c>
      <c r="E607" s="21" t="s">
        <v>11599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11621</v>
      </c>
      <c r="E608" s="12" t="s">
        <v>11617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11622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11623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11636</v>
      </c>
      <c r="C611" s="12">
        <v>7006713773</v>
      </c>
      <c r="D611" s="12" t="s">
        <v>11658</v>
      </c>
      <c r="E611" s="12" t="s">
        <v>11647</v>
      </c>
      <c r="F611" s="14">
        <v>46203</v>
      </c>
      <c r="G611" s="14" t="s">
        <v>337</v>
      </c>
      <c r="H611" s="12"/>
    </row>
    <row r="612" spans="1:8" ht="15.75" x14ac:dyDescent="0.25">
      <c r="A612" s="12">
        <f t="shared" si="9"/>
        <v>610</v>
      </c>
      <c r="B612" s="12"/>
      <c r="C612" s="12"/>
      <c r="D612" s="12"/>
      <c r="E612" s="12"/>
      <c r="F612" s="14"/>
      <c r="G612" s="14"/>
      <c r="H612" s="12"/>
    </row>
    <row r="613" spans="1:8" ht="15.75" x14ac:dyDescent="0.25">
      <c r="A613" s="12">
        <f t="shared" si="9"/>
        <v>611</v>
      </c>
      <c r="B613" s="12"/>
      <c r="C613" s="12"/>
      <c r="D613" s="12"/>
      <c r="E613" s="12"/>
      <c r="F613" s="14"/>
      <c r="G613" s="14"/>
      <c r="H613" s="12"/>
    </row>
    <row r="614" spans="1:8" ht="15.75" x14ac:dyDescent="0.25">
      <c r="A614" s="12">
        <f t="shared" si="9"/>
        <v>612</v>
      </c>
      <c r="B614" s="12"/>
      <c r="C614" s="12"/>
      <c r="D614" s="12"/>
      <c r="E614" s="12"/>
      <c r="F614" s="14"/>
      <c r="G614" s="14"/>
      <c r="H614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2026-06-30T12:39:45Z</dcterms:modified>
</cp:coreProperties>
</file>