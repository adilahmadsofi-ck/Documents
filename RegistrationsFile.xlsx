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F637358-A70A-40F8-BEAD-B53158DDD008}" xr6:coauthVersionLast="47" xr6:coauthVersionMax="47" xr10:uidLastSave="{00000000-0000-0000-0000-000000000000}"/>
  <bookViews>
    <workbookView xWindow="3960" yWindow="1065" windowWidth="20040" windowHeight="11715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46" i="4" l="1"/>
  <c r="H247" i="4"/>
  <c r="H248" i="4"/>
  <c r="H249" i="4"/>
  <c r="H250" i="4"/>
  <c r="H251" i="4"/>
  <c r="H252" i="4"/>
  <c r="H253" i="4"/>
  <c r="H254" i="4"/>
  <c r="H255" i="4"/>
  <c r="H256" i="4"/>
  <c r="A246" i="4"/>
  <c r="A247" i="4"/>
  <c r="A248" i="4"/>
  <c r="A249" i="4"/>
  <c r="A250" i="4"/>
  <c r="A251" i="4"/>
  <c r="A252" i="4"/>
  <c r="A253" i="4"/>
  <c r="A254" i="4"/>
  <c r="A255" i="4"/>
  <c r="A256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<sst xmlns="http://schemas.openxmlformats.org/spreadsheetml/2006/main" count="19449" uniqueCount="7458">
  <si>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</si>
  <si>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</si>
  <si>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</si>
  <si>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</si>
  <si>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</si>
  <si>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</si>
  <si>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</si>
  <si>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</si>
  <si>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</si>
  <si>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</si>
  <si>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</si>
  <si>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</si>
  <si>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</si>
  <si>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</si>
  <si>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</si>
  <si>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</si>
  <si>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</si>
  <si>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</si>
  <si>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</si>
  <si>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</si>
  <si>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</si>
  <si>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</si>
  <si>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</si>
  <si>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</si>
  <si>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</si>
  <si>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</si>
  <si>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</si>
  <si>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</si>
  <si>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</si>
  <si>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</si>
  <si>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</si>
  <si>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</si>
  <si>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</si>
  <si>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</si>
  <si>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</si>
  <si>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</si>
  <si>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</si>
  <si>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</si>
  <si>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</si>
  <si>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</si>
  <si>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</si>
  <si>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</si>
  <si>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</si>
  <si>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</si>
  <si>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</si>
  <si>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</si>
  <si>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</si>
  <si>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</si>
  <si>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</si>
  <si>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</si>
  <si>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</si>
  <si>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</si>
  <si>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</si>
  <si>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</si>
  <si>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</si>
  <si>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</si>
  <si>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</si>
  <si>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</si>
  <si>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</si>
  <si>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</si>
  <si>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</si>
  <si>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</si>
  <si>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</si>
  <si>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</si>
  <si>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</si>
  <si>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</si>
  <si>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</si>
  <si>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</si>
  <si>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</si>
  <si>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</si>
  <si>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</si>
  <si>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</si>
  <si>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</si>
  <si>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</si>
  <si>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</si>
  <si>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</si>
  <si>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</si>
  <si>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</si>
  <si>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</si>
  <si>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</si>
  <si>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</si>
  <si>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</si>
  <si>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</si>
  <si>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</si>
  <si>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</si>
  <si>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</si>
  <si>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</si>
  <si>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</si>
  <si>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</si>
  <si>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</si>
  <si>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</si>
  <si>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</si>
  <si>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</si>
  <si>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</si>
  <si>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</si>
  <si>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</si>
  <si>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</si>
  <si>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</si>
  <si>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</si>
  <si>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</si>
  <si>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</si>
  <si>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</si>
  <si>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</si>
  <si>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</si>
  <si>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</si>
  <si>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</si>
  <si>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</si>
  <si>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</si>
  <si>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</si>
  <si>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</si>
  <si>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</si>
  <si>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</si>
  <si>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</si>
  <si>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</si>
  <si>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</si>
  <si>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</si>
  <si>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</si>
  <si>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</si>
  <si>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</si>
  <si>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</si>
  <si>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</si>
  <si>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</si>
  <si>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</si>
  <si>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</si>
  <si>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</si>
  <si>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</si>
  <si>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</si>
  <si>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</si>
  <si>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</si>
  <si>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</si>
  <si>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</si>
  <si>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</si>
  <si>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</si>
  <si>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</si>
  <si>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</si>
  <si>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</si>
  <si>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</si>
  <si>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</si>
  <si>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</si>
  <si>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</si>
  <si>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</si>
  <si>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</si>
  <si>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</si>
  <si>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</si>
  <si>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</si>
  <si>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</si>
  <si>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</si>
  <si>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</si>
  <si>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</si>
  <si>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</si>
  <si>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</si>
  <si>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</si>
  <si>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</si>
  <si>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</si>
  <si>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</si>
  <si>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</si>
  <si>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</si>
  <si>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</si>
  <si>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</si>
  <si>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</si>
  <si>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</si>
  <si>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</si>
  <si>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</si>
  <si>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</si>
  <si>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</si>
  <si>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</si>
  <si>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</si>
  <si>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</si>
  <si>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</si>
  <si>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</si>
  <si>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</si>
  <si>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</si>
  <si>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</si>
  <si>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</si>
  <si>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</si>
  <si>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</si>
  <si>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</si>
  <si>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</si>
  <si>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</si>
  <si>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</si>
  <si>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</si>
  <si>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</si>
  <si>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</si>
  <si>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</si>
  <si>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</si>
  <si>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</si>
  <si>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</si>
  <si>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</si>
  <si>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</si>
  <si>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</si>
  <si>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</si>
  <si>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</si>
  <si>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</si>
  <si>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</si>
  <si>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</si>
  <si>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</si>
  <si>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</si>
  <si>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</si>
  <si>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</si>
  <si>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</si>
  <si>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</si>
  <si>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</si>
  <si>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</si>
  <si>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</si>
  <si>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</si>
  <si>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</si>
  <si>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</si>
  <si>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</si>
  <si>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</si>
  <si>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</si>
  <si>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</si>
  <si>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</si>
  <si>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</si>
  <si>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</si>
  <si>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</si>
  <si>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</si>
  <si>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</si>
  <si>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</si>
  <si>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</si>
  <si>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</si>
  <si>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</si>
  <si>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</si>
  <si>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</si>
  <si>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</si>
  <si>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</si>
  <si>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</si>
  <si>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</si>
  <si>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</si>
  <si>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</si>
  <si>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</si>
  <si>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</si>
  <si>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</si>
  <si>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</si>
  <si>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</si>
  <si>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</si>
  <si>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</si>
  <si>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</si>
  <si>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</si>
  <si>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</si>
  <si>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</si>
  <si>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</si>
  <si>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</si>
  <si>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</si>
  <si>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</si>
  <si>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</si>
  <si>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</si>
  <si>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</si>
  <si>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</si>
  <si>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</si>
  <si>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</si>
  <si>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</si>
  <si>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</si>
  <si>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</si>
  <si>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</si>
  <si>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</si>
  <si>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</si>
  <si>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</si>
  <si>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</si>
  <si>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</si>
  <si>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</si>
  <si>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</si>
  <si>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</si>
  <si>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</si>
  <si>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</si>
  <si>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</si>
  <si>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</si>
  <si>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</si>
  <si>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</si>
  <si>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</si>
  <si>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</si>
  <si>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</si>
  <si>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</si>
  <si>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</si>
  <si>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</si>
  <si>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</si>
  <si>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</si>
  <si>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</si>
  <si>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</si>
  <si>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</si>
  <si>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</si>
  <si>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</si>
  <si>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</si>
  <si>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</si>
  <si>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</si>
  <si>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</si>
  <si>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</si>
  <si>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</si>
  <si>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</si>
  <si>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</si>
  <si>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</si>
  <si>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</si>
  <si>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</si>
  <si>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</si>
  <si>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</si>
  <si>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</si>
  <si>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</si>
  <si>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</si>
  <si>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</si>
  <si>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</si>
  <si>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</si>
  <si>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</si>
  <si>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</si>
  <si>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</si>
  <si>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</si>
  <si>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</si>
  <si>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</si>
  <si>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</si>
  <si>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</si>
  <si>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</si>
  <si>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</si>
  <si>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</si>
  <si>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</si>
  <si>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</si>
  <si>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</si>
  <si>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</si>
  <si>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</si>
  <si>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</si>
  <si>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</si>
  <si>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</si>
  <si>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</si>
  <si>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</si>
  <si>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</si>
  <si>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</si>
  <si>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</si>
  <si>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</si>
  <si>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</si>
  <si>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</si>
  <si>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</si>
  <si>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</si>
  <si>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</si>
  <si>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</si>
  <si>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</si>
  <si>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</si>
  <si>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</si>
  <si>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</si>
  <si>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</si>
  <si>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</si>
  <si>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</si>
  <si>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</si>
  <si>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</si>
  <si>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</si>
  <si>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</si>
  <si>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</si>
  <si>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</si>
  <si>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</si>
  <si>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</si>
  <si>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</si>
  <si>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</si>
  <si>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</si>
  <si>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</si>
  <si>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</si>
  <si>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</si>
  <si>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</si>
  <si>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</si>
  <si>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</si>
  <si>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</si>
  <si>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</si>
  <si>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</si>
  <si>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</si>
  <si>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</si>
  <si>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</si>
  <si>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</si>
  <si>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</si>
  <si>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</si>
  <si>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</si>
  <si>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</si>
  <si>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</si>
  <si>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</si>
  <si>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</si>
  <si>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</si>
  <si>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</si>
  <si>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</si>
  <si>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</si>
  <si>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</si>
  <si>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</si>
  <si>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</si>
  <si>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</si>
  <si>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</si>
  <si>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</si>
  <si>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</si>
  <si>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</si>
  <si>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</si>
  <si>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</si>
  <si>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</si>
  <si>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</si>
  <si>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</si>
  <si>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</si>
  <si>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</si>
  <si>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</si>
  <si>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</si>
  <si>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</si>
  <si>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</si>
  <si>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</si>
  <si>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</si>
  <si>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</si>
  <si>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</si>
  <si>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</si>
  <si>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</si>
  <si>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</si>
  <si>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</si>
  <si>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</si>
  <si>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</si>
  <si>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</si>
  <si>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</si>
  <si>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</si>
  <si>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</si>
  <si>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</si>
  <si>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</si>
  <si>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</si>
  <si>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</si>
  <si>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</si>
  <si>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</si>
  <si>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</si>
  <si>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</si>
  <si>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</si>
  <si>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</si>
  <si>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</si>
  <si>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</si>
  <si>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</si>
  <si>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</si>
  <si>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</si>
  <si>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</si>
  <si>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</si>
  <si>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</si>
  <si>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</si>
  <si>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</si>
  <si>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</si>
  <si>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</si>
  <si>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</si>
  <si>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</si>
  <si>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</si>
  <si>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</si>
  <si>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</si>
  <si>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</si>
  <si>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</si>
  <si>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</si>
  <si>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</si>
  <si>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</si>
  <si>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</si>
  <si>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</si>
  <si>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</si>
  <si>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</si>
  <si>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</si>
  <si>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</si>
  <si>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</si>
  <si>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</si>
  <si>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</si>
  <si>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</si>
  <si>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</si>
  <si>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</si>
  <si>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</si>
  <si>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</si>
  <si>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</si>
  <si>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</si>
  <si>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</si>
  <si>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</si>
  <si>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</si>
  <si>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</si>
  <si>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</si>
  <si>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</si>
  <si>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</si>
  <si>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</si>
  <si>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</si>
  <si>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</si>
  <si>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</si>
  <si>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</si>
  <si>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</si>
  <si>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</si>
  <si>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</si>
  <si>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</si>
  <si>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</si>
  <si>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</si>
  <si>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</si>
  <si>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</si>
  <si>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</si>
  <si>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</si>
  <si>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</si>
  <si>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</si>
  <si>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</si>
  <si>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</si>
  <si>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</si>
  <si>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</si>
  <si>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</si>
  <si>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</si>
  <si>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</si>
  <si>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</si>
  <si>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</si>
  <si>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</si>
  <si>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</si>
  <si>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</si>
  <si>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</si>
  <si>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</si>
  <si>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</si>
  <si>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</si>
  <si>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</si>
  <si>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</si>
  <si>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</si>
  <si>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</si>
  <si>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</si>
  <si>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</si>
  <si>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</si>
  <si>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</si>
  <si>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</si>
  <si>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</si>
  <si>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</si>
  <si>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</si>
  <si>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</si>
  <si>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</si>
  <si>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</si>
  <si>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</si>
  <si>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</si>
  <si>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</si>
  <si>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</si>
  <si>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</si>
  <si>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</si>
  <si>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</si>
  <si>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</si>
  <si>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</si>
  <si>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</si>
  <si>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</si>
  <si>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</si>
  <si>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</si>
  <si>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</si>
  <si>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</si>
  <si>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</si>
  <si>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</si>
  <si>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</si>
  <si>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</si>
  <si>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</si>
  <si>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</si>
  <si>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</si>
  <si>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</si>
  <si>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</si>
  <si>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</si>
  <si>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</si>
  <si>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</si>
  <si>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</si>
  <si>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</si>
  <si>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</si>
  <si>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</si>
  <si>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</si>
  <si>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</si>
  <si>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</si>
  <si>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</si>
  <si>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</si>
  <si>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</si>
  <si>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</si>
  <si>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</si>
  <si>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</si>
  <si>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</si>
  <si>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</si>
  <si>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</si>
  <si>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</si>
  <si>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</si>
  <si>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</si>
  <si>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</si>
  <si>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</si>
  <si>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</si>
  <si>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</si>
  <si>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</si>
  <si>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</si>
  <si>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</si>
  <si>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</si>
  <si>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</si>
  <si>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</si>
  <si>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</si>
  <si>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</si>
  <si>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</si>
  <si>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</si>
  <si>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</si>
  <si>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</si>
  <si>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</si>
  <si>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</si>
  <si>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</si>
  <si>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</si>
  <si>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</si>
  <si>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</si>
  <si>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</si>
  <si>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</si>
  <si>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</si>
  <si>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</si>
  <si>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</si>
  <si>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</si>
  <si>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</si>
  <si>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</si>
  <si>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</si>
  <si>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</si>
  <si>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</si>
  <si>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</si>
  <si>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</si>
  <si>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</si>
  <si>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</si>
  <si>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</si>
  <si>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</si>
  <si>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</si>
  <si>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</si>
  <si>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</si>
  <si>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</si>
  <si>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</si>
  <si>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</si>
  <si>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</si>
  <si>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</si>
  <si>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</si>
  <si>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</si>
  <si>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</si>
  <si>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</si>
  <si>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</si>
  <si>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</si>
  <si>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</si>
  <si>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</si>
  <si>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</si>
  <si>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</si>
  <si>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</si>
  <si>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</si>
  <si>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</si>
  <si>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</si>
  <si>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</si>
  <si>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</si>
  <si>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</si>
  <si>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</si>
  <si>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</si>
  <si>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</si>
  <si>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</si>
  <si>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</si>
  <si>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</si>
  <si>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</si>
  <si>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</si>
  <si>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</si>
  <si>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</si>
  <si>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</si>
  <si>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</si>
  <si>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</si>
  <si>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</si>
  <si>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</si>
  <si>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</si>
  <si>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</si>
  <si>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</si>
  <si>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</si>
  <si>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</si>
  <si>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</si>
  <si>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</si>
  <si>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</si>
  <si>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</si>
  <si>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</si>
  <si>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</si>
  <si>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</si>
  <si>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</si>
  <si>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</si>
  <si>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</si>
  <si>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</si>
  <si>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</si>
  <si>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</si>
  <si>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</si>
  <si>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</si>
  <si>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</si>
  <si>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</si>
  <si>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</si>
  <si>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</si>
  <si>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</si>
  <si>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</si>
  <si>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</si>
  <si>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</si>
  <si>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</si>
  <si>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</si>
  <si>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</si>
  <si>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</si>
  <si>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</si>
  <si>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</si>
  <si>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</si>
  <si>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</si>
  <si>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</si>
  <si>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</si>
  <si>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</si>
  <si>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</si>
  <si>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</si>
  <si>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</si>
  <si>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</si>
  <si>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</si>
  <si>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</si>
  <si>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</si>
  <si>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</si>
  <si>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</si>
  <si>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</si>
  <si>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</si>
  <si>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</si>
  <si>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</si>
  <si>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</si>
  <si>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</si>
  <si>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</si>
  <si>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</si>
  <si>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</si>
  <si>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</si>
  <si>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</si>
  <si>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</si>
  <si>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</si>
  <si>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</si>
  <si>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</si>
  <si>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</si>
  <si>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</si>
  <si>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</si>
  <si>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</si>
  <si>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</si>
  <si>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</si>
  <si>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</si>
  <si>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</si>
  <si>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</si>
  <si>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</si>
  <si>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</si>
  <si>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</si>
  <si>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</si>
  <si>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</si>
  <si>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</si>
  <si>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</si>
  <si>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</si>
  <si>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</si>
  <si>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</si>
  <si>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</si>
  <si>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</si>
  <si>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</si>
  <si>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</si>
  <si>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</si>
  <si>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</si>
  <si>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</si>
  <si>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</si>
  <si>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</si>
  <si>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</si>
  <si>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</si>
  <si>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</si>
  <si>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</si>
  <si>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</si>
  <si>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</si>
  <si>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</si>
  <si>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</si>
  <si>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</si>
  <si>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</si>
  <si>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</si>
  <si>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</si>
  <si>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</si>
  <si>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</si>
  <si>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</si>
  <si>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</si>
  <si>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</si>
  <si>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</si>
  <si>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</si>
  <si>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</si>
  <si>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</si>
  <si>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</si>
  <si>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</si>
  <si>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</si>
  <si>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</si>
  <si>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</si>
  <si>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</si>
  <si>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</si>
  <si>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</si>
  <si>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</si>
  <si>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</si>
  <si>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</si>
  <si>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</si>
  <si>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</si>
  <si>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</si>
  <si>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</si>
  <si>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</si>
  <si>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</si>
  <si>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</si>
  <si>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</si>
  <si>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</si>
  <si>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</si>
  <si>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</si>
  <si>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</si>
  <si>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</si>
  <si>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</si>
  <si>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</si>
  <si>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</si>
  <si>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</si>
  <si>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</si>
  <si>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</si>
  <si>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</si>
  <si>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</si>
  <si>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</si>
  <si>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</si>
  <si>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</si>
  <si>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</si>
  <si>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</si>
  <si>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</si>
  <si>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</si>
  <si>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</si>
  <si>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</si>
  <si>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</si>
  <si>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</si>
  <si>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</si>
  <si>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</si>
  <si>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</si>
  <si>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</si>
  <si>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</si>
  <si>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</si>
  <si>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</si>
  <si>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</si>
  <si>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</si>
  <si>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</si>
  <si>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</si>
  <si>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</si>
  <si>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</si>
  <si>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</si>
  <si>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</si>
  <si>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</si>
  <si>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</si>
  <si>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</si>
  <si>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</si>
  <si>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</si>
  <si>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</si>
  <si>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</si>
  <si>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</si>
  <si>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</si>
  <si>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</si>
  <si>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</si>
  <si>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</si>
  <si>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</si>
  <si>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</si>
  <si>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</si>
  <si>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</si>
  <si>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</si>
  <si>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</si>
  <si>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</si>
  <si>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</si>
  <si>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</si>
  <si>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</si>
  <si>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</si>
  <si>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</si>
  <si>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</si>
  <si>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</si>
  <si>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</si>
  <si>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</si>
  <si>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</si>
  <si>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</si>
  <si>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</si>
  <si>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</si>
  <si>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</si>
  <si>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</si>
  <si>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</si>
  <si>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</si>
  <si>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</si>
  <si>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</si>
  <si>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</si>
  <si>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</si>
  <si>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</si>
  <si>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</si>
  <si>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</si>
  <si>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</si>
  <si>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</si>
  <si>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</si>
  <si>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</si>
  <si>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</si>
  <si>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</si>
  <si>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</si>
  <si>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</si>
  <si>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</si>
  <si>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</si>
  <si>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</si>
  <si>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</si>
  <si>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</si>
  <si>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</si>
  <si>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</si>
  <si>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</si>
  <si>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</si>
  <si>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</si>
  <si>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</si>
  <si>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</si>
  <si>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</si>
  <si>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</si>
  <si>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</si>
  <si>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</si>
  <si>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</si>
  <si>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</si>
  <si>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</si>
  <si>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</si>
  <si>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</si>
  <si>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</si>
  <si>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</si>
  <si>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</si>
  <si>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</si>
  <si>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</si>
  <si>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</si>
  <si>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</si>
  <si>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</si>
  <si>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</si>
  <si>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</si>
  <si>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</si>
  <si>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</si>
  <si>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</si>
  <si>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</si>
  <si>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</si>
  <si>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</si>
  <si>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</si>
  <si>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</si>
  <si>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</si>
  <si>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</si>
  <si>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</si>
  <si>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</si>
  <si>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</si>
  <si>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</si>
  <si>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</si>
  <si>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</si>
  <si>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</si>
  <si>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</si>
  <si>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</si>
  <si>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</si>
  <si>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</si>
  <si>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</si>
  <si>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</si>
  <si>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</si>
  <si>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</si>
  <si>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</si>
  <si>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</si>
  <si>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</si>
  <si>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</si>
  <si>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</si>
  <si>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</si>
  <si>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</si>
  <si>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</si>
  <si>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</si>
  <si>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</si>
  <si>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</si>
  <si>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</si>
  <si>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</si>
  <si>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</si>
  <si>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</si>
  <si>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</si>
  <si>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</si>
  <si>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</si>
  <si>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</si>
  <si>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</si>
  <si>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</si>
  <si>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</si>
  <si>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</si>
  <si>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</si>
  <si>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</si>
  <si>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</si>
  <si>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</si>
  <si>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</si>
  <si>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</si>
  <si>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</si>
  <si>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</si>
  <si>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</si>
  <si>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</si>
  <si>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</si>
  <si>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</si>
  <si>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</si>
  <si>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</si>
  <si>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</si>
  <si>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</si>
  <si>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</si>
  <si>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</si>
  <si>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</si>
  <si>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</si>
  <si>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</si>
  <si>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</si>
  <si>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</si>
  <si>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</si>
  <si>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</si>
  <si>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</si>
  <si>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</si>
  <si>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</si>
  <si>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</si>
  <si>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</si>
  <si>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</si>
  <si>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</si>
  <si>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</si>
  <si>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</si>
  <si>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</si>
  <si>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</si>
  <si>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</si>
  <si>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</si>
  <si>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</si>
  <si>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</si>
  <si>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</si>
  <si>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</si>
  <si>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</si>
  <si>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</si>
  <si>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</si>
  <si>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</si>
  <si>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</si>
  <si>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</si>
  <si>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</si>
  <si>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</si>
  <si>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</si>
  <si>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</si>
  <si>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</si>
  <si>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</si>
  <si>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</si>
  <si>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</si>
  <si>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</si>
  <si>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</si>
  <si>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</si>
  <si>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</si>
  <si>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</si>
  <si>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</si>
  <si>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</si>
  <si>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</si>
  <si>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</si>
  <si>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</si>
  <si>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</si>
  <si>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</si>
  <si>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</si>
  <si>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</si>
  <si>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</si>
  <si>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</si>
  <si>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</si>
  <si>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</si>
  <si>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</si>
  <si>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</si>
  <si>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</si>
  <si>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</si>
  <si>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</si>
  <si>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</si>
  <si>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</si>
  <si>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</si>
  <si>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</si>
  <si>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</si>
  <si>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</si>
  <si>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</si>
  <si>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</si>
  <si>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</si>
  <si>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</si>
  <si>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</si>
  <si>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</si>
  <si>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</si>
  <si>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</si>
  <si>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</si>
  <si>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</si>
  <si>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</si>
  <si>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</si>
  <si>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</si>
  <si>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</si>
  <si>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</si>
  <si>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</si>
  <si>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</si>
  <si>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</si>
  <si>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</si>
  <si>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</si>
  <si>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</si>
  <si>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</si>
  <si>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</si>
  <si>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</si>
  <si>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</si>
  <si>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</si>
  <si>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</si>
  <si>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</si>
  <si>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</si>
  <si>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</si>
  <si>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</si>
  <si>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</si>
  <si>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</si>
  <si>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</si>
  <si>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</si>
  <si>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</si>
  <si>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</si>
  <si>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</si>
  <si>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</si>
  <si>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</si>
  <si>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</si>
  <si>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</si>
  <si>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</si>
  <si>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</si>
  <si>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</si>
  <si>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</si>
  <si>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</si>
  <si>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</si>
  <si>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</si>
  <si>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</si>
  <si>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</si>
  <si>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</si>
  <si>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</si>
  <si>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</si>
  <si>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</si>
  <si>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</si>
  <si>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</si>
  <si>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</si>
  <si>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</si>
  <si>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</si>
  <si>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</si>
  <si>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</si>
  <si>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</si>
  <si>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</si>
  <si>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</si>
  <si>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</si>
  <si>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</si>
  <si>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</si>
  <si>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</si>
  <si>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</si>
  <si>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</si>
  <si>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</si>
  <si>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</si>
  <si>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</si>
  <si>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</si>
  <si>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</si>
  <si>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</si>
  <si>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</si>
  <si>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</si>
  <si>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</si>
  <si>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</si>
  <si>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</si>
  <si>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</si>
  <si>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</si>
  <si>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</si>
  <si>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</si>
  <si>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</si>
  <si>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</si>
  <si>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</si>
  <si>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</si>
  <si>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</si>
  <si>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</si>
  <si>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</si>
  <si>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</si>
  <si>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</si>
  <si>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</si>
  <si>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</si>
  <si>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</si>
  <si>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</si>
  <si>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</si>
  <si>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</si>
  <si>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</si>
  <si>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</si>
  <si>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</si>
  <si>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</si>
  <si>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</si>
  <si>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</si>
  <si>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</si>
  <si>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</si>
  <si>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</si>
  <si>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</si>
  <si>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</si>
  <si>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</si>
  <si>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</si>
  <si>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</si>
  <si>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</si>
  <si>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</si>
  <si>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</si>
  <si>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</si>
  <si>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</si>
  <si>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</si>
  <si>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</si>
  <si>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</si>
  <si>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</si>
  <si>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</si>
  <si>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</si>
  <si>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</si>
  <si>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</si>
  <si>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</si>
  <si>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</si>
  <si>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</si>
  <si>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</si>
  <si>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</si>
  <si>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</si>
  <si>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</si>
  <si>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</si>
  <si>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</si>
  <si>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</si>
  <si>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</si>
  <si>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</si>
  <si>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</si>
  <si>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</si>
  <si>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</si>
  <si>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</si>
  <si>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</si>
  <si>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</si>
  <si>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</si>
  <si>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</si>
  <si>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</si>
  <si>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</si>
  <si>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</si>
  <si>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</si>
  <si>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</si>
  <si>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</si>
  <si>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</si>
  <si>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</si>
  <si>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</si>
  <si>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</si>
  <si>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</si>
  <si>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</si>
  <si>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</si>
  <si>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</si>
  <si>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</si>
  <si>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</si>
  <si>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</si>
  <si>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</si>
  <si>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</si>
  <si>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</si>
  <si>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</si>
  <si>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</si>
  <si>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</si>
  <si>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</si>
  <si>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</si>
  <si>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</si>
  <si>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</si>
  <si>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</si>
  <si>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</si>
  <si>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</si>
  <si>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</si>
  <si>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</si>
  <si>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</si>
  <si>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</si>
  <si>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</si>
  <si>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</si>
  <si>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</si>
  <si>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</si>
  <si>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</si>
  <si>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</si>
  <si>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</si>
  <si>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</si>
  <si>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</si>
  <si>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</si>
  <si>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</si>
  <si>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</si>
  <si>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</si>
  <si>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</si>
  <si>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</si>
  <si>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</si>
  <si>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</si>
  <si>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</si>
  <si>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</si>
  <si>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</si>
  <si>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</si>
  <si>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</si>
  <si>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</si>
  <si>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</si>
  <si>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</si>
  <si>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</si>
  <si>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</si>
  <si>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</si>
  <si>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</si>
  <si>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</si>
  <si>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</si>
  <si>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</si>
  <si>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</si>
  <si>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</si>
  <si>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</si>
  <si>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</si>
  <si>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</si>
  <si>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</si>
  <si>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</si>
  <si>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</si>
  <si>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</si>
  <si>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</si>
  <si>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</si>
  <si>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</si>
  <si>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</si>
  <si>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</si>
  <si>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</si>
  <si>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</si>
  <si>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</si>
  <si>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</si>
  <si>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</si>
  <si>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</si>
  <si>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</si>
  <si>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</si>
  <si>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</si>
  <si>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</si>
  <si>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</si>
  <si>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</si>
  <si>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</si>
  <si>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</si>
  <si>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</si>
  <si>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</si>
  <si>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</si>
  <si>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</si>
  <si>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</si>
  <si>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</si>
  <si>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</si>
  <si>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</si>
  <si>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</si>
  <si>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</si>
  <si>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</si>
  <si>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</si>
  <si>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</si>
  <si>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</si>
  <si>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</si>
  <si>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</si>
  <si>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</si>
  <si>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</si>
  <si>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</si>
  <si>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</si>
  <si>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</si>
  <si>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</si>
  <si>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</si>
  <si>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</si>
  <si>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</si>
  <si>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</si>
  <si>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</si>
  <si>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</si>
  <si>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</si>
  <si>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</si>
  <si>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</si>
  <si>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</si>
  <si>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</si>
  <si>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</si>
  <si>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</si>
  <si>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</si>
  <si>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</si>
  <si>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</si>
  <si>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</si>
  <si>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</si>
  <si>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</si>
  <si>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</si>
  <si>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</si>
  <si>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</si>
  <si>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</si>
  <si>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</si>
  <si>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</si>
  <si>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</si>
  <si>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</si>
  <si>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</si>
  <si>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</si>
  <si>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</si>
  <si>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</si>
  <si>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</si>
  <si>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</si>
  <si>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</si>
  <si>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</si>
  <si>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</si>
  <si>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</si>
  <si>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</si>
  <si>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</si>
  <si>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</si>
  <si>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</si>
  <si>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</si>
  <si>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</si>
  <si>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</si>
  <si>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</si>
  <si>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</si>
  <si>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</si>
  <si>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</si>
  <si>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</si>
  <si>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</si>
  <si>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</si>
  <si>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</si>
  <si>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</si>
  <si>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</si>
  <si>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</si>
  <si>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</si>
  <si>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</si>
  <si>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</si>
  <si>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</si>
  <si>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</si>
  <si>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</si>
  <si>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</si>
  <si>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</si>
  <si>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</si>
  <si>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</si>
  <si>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</si>
  <si>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</si>
  <si>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</si>
  <si>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</si>
  <si>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</si>
  <si>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</si>
  <si>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</si>
  <si>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</si>
  <si>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</si>
  <si>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</si>
  <si>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</si>
  <si>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</si>
  <si>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</si>
  <si>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</si>
  <si>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</si>
  <si>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</si>
  <si>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</si>
  <si>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</si>
  <si>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</si>
  <si>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</si>
  <si>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</si>
  <si>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</si>
  <si>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</si>
  <si>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</si>
  <si>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</si>
  <si>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</si>
  <si>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</si>
  <si>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</si>
  <si>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</si>
  <si>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</si>
  <si>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</si>
  <si>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</si>
  <si>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</si>
  <si>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</si>
  <si>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</si>
  <si>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</si>
  <si>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</si>
  <si>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</si>
  <si>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</si>
  <si>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</si>
  <si>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</si>
  <si>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</si>
  <si>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</si>
  <si>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</si>
  <si>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</si>
  <si>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</si>
  <si>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</si>
  <si>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</si>
  <si>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</si>
  <si>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</si>
  <si>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</si>
  <si>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</si>
  <si>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</si>
  <si>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</si>
  <si>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</si>
  <si>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</si>
  <si>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</si>
  <si>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</si>
  <si>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</si>
  <si>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</si>
  <si>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</si>
  <si>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</si>
  <si>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</si>
  <si>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</si>
  <si>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</si>
  <si>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</si>
  <si>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</si>
  <si>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</si>
  <si>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</si>
  <si>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</si>
  <si>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</si>
  <si>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</si>
  <si>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</si>
  <si>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</si>
  <si>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</si>
  <si>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</si>
  <si>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</si>
  <si>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</si>
  <si>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</si>
  <si>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</si>
  <si>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</si>
  <si>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</si>
  <si>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</si>
  <si>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</si>
  <si>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</si>
  <si>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</si>
  <si>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</si>
  <si>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</si>
  <si>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</si>
  <si>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</si>
  <si>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</si>
  <si>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</si>
  <si>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</si>
  <si>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</si>
  <si>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</si>
  <si>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</si>
  <si>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</si>
  <si>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</si>
  <si>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</si>
  <si>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</si>
  <si>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</si>
  <si>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</si>
  <si>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</si>
  <si>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</si>
  <si>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</si>
  <si>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</si>
  <si>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</si>
  <si>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</si>
  <si>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</si>
  <si>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</si>
  <si>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</si>
  <si>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</si>
  <si>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</si>
  <si>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</si>
  <si>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</si>
  <si>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</si>
  <si>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</si>
  <si>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</si>
  <si>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</si>
  <si>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</si>
  <si>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</si>
  <si>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</si>
  <si>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</si>
  <si>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</si>
  <si>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</si>
  <si>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</si>
  <si>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</si>
  <si>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</si>
  <si>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</si>
  <si>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</si>
  <si>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</si>
  <si>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</si>
  <si>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</si>
  <si>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</si>
  <si>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</si>
  <si>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</si>
  <si>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</si>
  <si>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</si>
  <si>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</si>
  <si>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</si>
  <si>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</si>
  <si>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</si>
  <si>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</si>
  <si>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</si>
  <si>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</si>
  <si>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</si>
  <si>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</si>
  <si>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</si>
  <si>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</si>
  <si>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</si>
  <si>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</si>
  <si>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</si>
  <si>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</si>
  <si>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</si>
  <si>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</si>
  <si>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</si>
  <si>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</si>
  <si>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</si>
  <si>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</si>
  <si>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</si>
  <si>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</si>
  <si>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</si>
  <si>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</si>
  <si>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</si>
  <si>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</si>
  <si>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</si>
  <si>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</si>
  <si>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</si>
  <si>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</si>
  <si>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</si>
  <si>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</si>
  <si>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</si>
  <si>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</si>
  <si>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</si>
  <si>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</si>
  <si>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</si>
  <si>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</si>
  <si>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</si>
  <si>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</si>
  <si>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</si>
  <si>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</si>
  <si>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</si>
  <si>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</si>
  <si>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</si>
  <si>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</si>
  <si>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</si>
  <si>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</si>
  <si>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</si>
  <si>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</si>
  <si>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</si>
  <si>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</si>
  <si>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</si>
  <si>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</si>
  <si>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</si>
  <si>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</si>
  <si>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</si>
  <si>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</si>
  <si>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</si>
  <si>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</si>
  <si>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</si>
  <si>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</si>
  <si>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</si>
  <si>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</si>
  <si>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</si>
  <si>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</si>
  <si>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</si>
  <si>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</si>
  <si>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</si>
  <si>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</si>
  <si>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</si>
  <si>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</si>
  <si>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</si>
  <si>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</si>
  <si>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</si>
  <si>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</si>
  <si>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</si>
  <si>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</si>
  <si>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</si>
  <si>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</si>
  <si>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</si>
  <si>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</si>
  <si>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</si>
  <si>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</si>
  <si>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</si>
  <si>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</si>
  <si>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</si>
  <si>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</si>
  <si>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</si>
  <si>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</si>
  <si>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</si>
  <si>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</si>
  <si>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</si>
  <si>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</si>
  <si>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</si>
  <si>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</si>
  <si>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</si>
  <si>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</si>
  <si>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</si>
  <si>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</si>
  <si>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</si>
  <si>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</si>
  <si>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</si>
  <si>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</si>
  <si>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</si>
  <si>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</si>
  <si>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</si>
  <si>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</si>
  <si>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</si>
  <si>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</si>
  <si>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</si>
  <si>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</si>
  <si>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</si>
  <si>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</si>
  <si>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</si>
  <si>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</si>
  <si>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</si>
  <si>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</si>
  <si>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</si>
  <si>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</si>
  <si>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</si>
  <si>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</si>
  <si>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</si>
  <si>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</si>
  <si>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</si>
  <si>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</si>
  <si>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</si>
  <si>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</si>
  <si>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</si>
  <si>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</si>
  <si>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</si>
  <si>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</si>
  <si>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</si>
  <si>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</si>
  <si>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</si>
  <si>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</si>
  <si>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</si>
  <si>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</si>
  <si>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</si>
  <si>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</si>
  <si>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</si>
  <si>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</si>
  <si>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</si>
  <si>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</si>
  <si>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</si>
  <si>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</si>
  <si>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</si>
  <si>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</si>
  <si>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</si>
  <si>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</si>
  <si>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</si>
  <si>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</si>
  <si>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</si>
  <si>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</si>
  <si>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</si>
  <si>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</si>
  <si>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</si>
  <si>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</si>
  <si>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</si>
  <si>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</si>
  <si>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</si>
  <si>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</si>
  <si>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</si>
  <si>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</si>
  <si>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</si>
  <si>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</si>
  <si>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</si>
  <si>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</si>
  <si>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</si>
  <si>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</si>
  <si>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</si>
  <si>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</si>
  <si>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</si>
  <si>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</si>
  <si>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</si>
  <si>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</si>
  <si>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</si>
  <si>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</si>
  <si>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</si>
  <si>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</si>
  <si>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</si>
  <si>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</si>
  <si>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</si>
  <si>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</si>
  <si>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</si>
  <si>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</si>
  <si>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</si>
  <si>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</si>
  <si>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</si>
  <si>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</si>
  <si>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</si>
  <si>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</si>
  <si>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</si>
  <si>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</si>
  <si>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</si>
  <si>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</si>
  <si>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</si>
  <si>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</si>
  <si>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</si>
  <si>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</si>
  <si>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</si>
  <si>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</si>
  <si>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</si>
  <si>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</si>
  <si>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</si>
  <si>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</si>
  <si>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</si>
  <si>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</si>
  <si>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</si>
  <si>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</si>
  <si>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</si>
  <si>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</si>
  <si>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</si>
  <si>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</si>
  <si>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</si>
  <si>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</si>
  <si>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</si>
  <si>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</si>
  <si>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</si>
  <si>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</si>
  <si>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</si>
  <si>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</si>
  <si>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</si>
  <si>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</si>
  <si>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</si>
  <si>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</si>
  <si>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</si>
  <si>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</si>
  <si>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</si>
  <si>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</si>
  <si>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</si>
  <si>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</si>
  <si>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</si>
  <si>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</si>
  <si>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</si>
  <si>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</si>
  <si>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</si>
  <si>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</si>
  <si>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</si>
  <si>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</si>
  <si>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</si>
  <si>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</si>
  <si>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</si>
  <si>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</si>
  <si>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</si>
  <si>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</si>
  <si>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</si>
  <si>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</si>
  <si>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</si>
  <si>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</si>
  <si>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</si>
  <si>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</si>
  <si>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</si>
  <si>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</si>
  <si>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</si>
  <si>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</si>
  <si>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</si>
  <si>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</si>
  <si>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</si>
  <si>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</si>
  <si>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</si>
  <si>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</si>
  <si>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</si>
  <si>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</si>
  <si>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</si>
  <si>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</si>
  <si>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</si>
  <si>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</si>
  <si>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</si>
  <si>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</si>
  <si>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</si>
  <si>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</si>
  <si>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</si>
  <si>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</si>
  <si>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</si>
  <si>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</si>
  <si>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</si>
  <si>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</si>
  <si>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</si>
  <si>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</si>
  <si>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</si>
  <si>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</si>
  <si>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</si>
  <si>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</si>
  <si>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</si>
  <si>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</si>
  <si>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</si>
  <si>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</si>
  <si>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</si>
  <si>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</si>
  <si>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</si>
  <si>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</si>
  <si>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</si>
  <si>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</si>
  <si>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</si>
  <si>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</si>
  <si>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</si>
  <si>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</si>
  <si>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</si>
  <si>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</si>
  <si>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</si>
  <si>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</si>
  <si>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</si>
  <si>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</si>
  <si>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</si>
  <si>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</si>
  <si>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</si>
  <si>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</si>
  <si>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</si>
  <si>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</si>
  <si>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</si>
  <si>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</si>
  <si>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</si>
  <si>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</si>
  <si>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</si>
  <si>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</si>
  <si>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</si>
  <si>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</si>
  <si>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</si>
  <si>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</si>
  <si>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</si>
  <si>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</si>
  <si>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</si>
  <si>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</si>
  <si>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</si>
  <si>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</si>
  <si>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</si>
  <si>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</si>
  <si>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</si>
  <si>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</si>
  <si>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</si>
  <si>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</si>
  <si>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</si>
  <si>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</si>
  <si>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</si>
  <si>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</si>
  <si>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</si>
  <si>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</si>
  <si>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</si>
  <si>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</si>
  <si>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</si>
  <si>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</si>
  <si>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</si>
  <si>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</si>
  <si>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</si>
  <si>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</si>
  <si>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</si>
  <si>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</si>
  <si>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</si>
  <si>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</si>
  <si>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</si>
  <si>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</si>
  <si>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</si>
  <si>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</si>
  <si>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</si>
  <si>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</si>
  <si>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</si>
  <si>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</si>
  <si>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</si>
  <si>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</si>
  <si>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</si>
  <si>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</si>
  <si>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</si>
  <si>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</si>
  <si>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</si>
  <si>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</si>
  <si>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</si>
  <si>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</si>
  <si>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</si>
  <si>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</si>
  <si>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</si>
  <si>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</si>
  <si>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</si>
  <si>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</si>
  <si>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</si>
  <si>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</si>
  <si>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</si>
  <si>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</si>
  <si>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</si>
  <si>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</si>
  <si>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</si>
  <si>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</si>
  <si>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</si>
  <si>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</si>
  <si>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</si>
  <si>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</si>
  <si>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</si>
  <si>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</si>
  <si>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</si>
  <si>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</si>
  <si>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</si>
  <si>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</si>
  <si>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</si>
  <si>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</si>
  <si>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</si>
  <si>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</si>
  <si>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</si>
  <si>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</si>
  <si>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</si>
  <si>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</si>
  <si>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</si>
  <si>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</si>
  <si>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</si>
  <si>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</si>
  <si>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</si>
  <si>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</si>
  <si>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</si>
  <si>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</si>
  <si>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</si>
  <si>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</si>
  <si>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</si>
  <si>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</si>
  <si>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</si>
  <si>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</si>
  <si>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</si>
  <si>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</si>
  <si>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</si>
  <si>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</si>
  <si>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</si>
  <si>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</si>
  <si>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</si>
  <si>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</si>
  <si>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</si>
  <si>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</si>
  <si>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</si>
  <si>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</si>
  <si>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</si>
  <si>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</si>
  <si>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</si>
  <si>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</si>
  <si>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</si>
  <si>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</si>
  <si>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</si>
  <si>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</si>
  <si>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</si>
  <si>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</si>
  <si>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</si>
  <si>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</si>
  <si>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</si>
  <si>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</si>
  <si>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</si>
  <si>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</si>
  <si>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</si>
  <si>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</si>
  <si>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</si>
  <si>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</si>
  <si>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</si>
  <si>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</si>
  <si>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</si>
  <si>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</si>
  <si>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</si>
  <si>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</si>
  <si>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</si>
  <si>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</si>
  <si>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</si>
  <si>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</si>
  <si>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</si>
  <si>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</si>
  <si>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</si>
  <si>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</si>
  <si>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</si>
  <si>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</si>
  <si>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</si>
  <si>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</si>
  <si>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</si>
  <si>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</si>
  <si>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</si>
  <si>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</si>
  <si>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</si>
  <si>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</si>
  <si>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</si>
  <si>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</si>
  <si>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</si>
  <si>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</si>
  <si>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</si>
  <si>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</si>
  <si>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</si>
  <si>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</si>
  <si>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</si>
  <si>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</si>
  <si>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</si>
  <si>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</si>
  <si>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</si>
  <si>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</si>
  <si>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</si>
  <si>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</si>
  <si>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</si>
  <si>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</si>
  <si>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</si>
  <si>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</si>
  <si>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</si>
  <si>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</si>
  <si>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</si>
  <si>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</si>
  <si>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</si>
  <si>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</si>
  <si>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</si>
  <si>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</si>
  <si>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</si>
  <si>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</si>
  <si>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</si>
  <si>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</si>
  <si>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</si>
  <si>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</si>
  <si>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</si>
  <si>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</si>
  <si>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</si>
  <si>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</si>
  <si>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</si>
  <si>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</si>
  <si>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</si>
  <si>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</si>
  <si>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</si>
  <si>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</si>
  <si>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</si>
  <si>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</si>
  <si>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</si>
  <si>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</si>
  <si>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</si>
  <si>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</si>
  <si>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</si>
  <si>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</si>
  <si>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</si>
  <si>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</si>
  <si>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</si>
  <si>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</si>
  <si>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</si>
  <si>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</si>
  <si>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</si>
  <si>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</si>
  <si>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</si>
  <si>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</si>
  <si>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</si>
  <si>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</si>
  <si>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</si>
  <si>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</si>
  <si>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</si>
  <si>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</si>
  <si>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</si>
  <si>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</si>
  <si>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</si>
  <si>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</si>
  <si>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</si>
  <si>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</si>
  <si>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</si>
  <si>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</si>
  <si>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</si>
  <si>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</si>
  <si>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</si>
  <si>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</si>
  <si>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</si>
  <si>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</si>
  <si>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</si>
  <si>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</si>
  <si>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</si>
  <si>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</si>
  <si>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</si>
  <si>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</si>
  <si>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</si>
  <si>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</si>
  <si>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</si>
  <si>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</si>
  <si>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</si>
  <si>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</si>
  <si>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</si>
  <si>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</si>
  <si>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</si>
  <si>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</si>
  <si>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</si>
  <si>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</si>
  <si>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</si>
  <si>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</si>
  <si>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</si>
  <si>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</si>
  <si>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</si>
  <si>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</si>
  <si>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</si>
  <si>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</si>
  <si>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</si>
  <si>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</si>
  <si>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</si>
  <si>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</si>
  <si>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</si>
  <si>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</si>
  <si>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</si>
  <si>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</si>
  <si>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</si>
  <si>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</si>
  <si>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</si>
  <si>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</si>
  <si>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</si>
  <si>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</si>
  <si>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</si>
  <si>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</si>
  <si>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</si>
  <si>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</si>
  <si>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</si>
  <si>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</si>
  <si>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</si>
  <si>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</si>
  <si>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</si>
  <si>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</si>
  <si>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</si>
  <si>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</si>
  <si>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</si>
  <si>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</si>
  <si>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</si>
  <si>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</si>
  <si>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</si>
  <si>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</si>
  <si>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</si>
  <si>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</si>
  <si>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</si>
  <si>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</si>
  <si>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</si>
  <si>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</si>
  <si>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</si>
  <si>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</si>
  <si>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</si>
  <si>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</si>
  <si>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</si>
  <si>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</si>
  <si>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</si>
  <si>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</si>
  <si>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</si>
  <si>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</si>
  <si>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</si>
  <si>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</si>
  <si>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</si>
  <si>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</si>
  <si>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</si>
  <si>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</si>
  <si>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</si>
  <si>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</si>
  <si>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</si>
  <si>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</si>
  <si>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</si>
  <si>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</si>
  <si>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</si>
  <si>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</si>
  <si>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</si>
  <si>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</si>
  <si>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</si>
  <si>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</si>
  <si>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</si>
  <si>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</si>
  <si>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</si>
  <si>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</si>
  <si>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</si>
  <si>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</si>
  <si>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</si>
  <si>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</si>
  <si>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</si>
  <si>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</si>
  <si>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</si>
  <si>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</si>
  <si>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</si>
  <si>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</si>
  <si>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</si>
  <si>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</si>
  <si>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</si>
  <si>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</si>
  <si>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</si>
  <si>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</si>
  <si>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</si>
  <si>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</si>
  <si>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</si>
  <si>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</si>
  <si>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</si>
  <si>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</si>
  <si>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</si>
  <si>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</si>
  <si>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</si>
  <si>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</si>
  <si>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</si>
  <si>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</si>
  <si>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</si>
  <si>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</si>
  <si>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</si>
  <si>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</si>
  <si>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</si>
  <si>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</si>
  <si>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</si>
  <si>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</si>
  <si>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</si>
  <si>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</si>
  <si>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</si>
  <si>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</si>
  <si>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</si>
  <si>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</si>
  <si>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</si>
  <si>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</si>
  <si>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</si>
  <si>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</si>
  <si>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</si>
  <si>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</si>
  <si>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</si>
  <si>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</si>
  <si>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</si>
  <si>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</si>
  <si>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</si>
  <si>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</si>
  <si>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</si>
  <si>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</si>
  <si>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</si>
  <si>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</si>
  <si>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</si>
  <si>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</si>
  <si>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</si>
  <si>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</si>
  <si>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</si>
  <si>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</si>
  <si>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</si>
  <si>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</si>
  <si>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</si>
  <si>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</si>
  <si>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</si>
  <si>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</si>
  <si>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</si>
  <si>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</si>
  <si>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</si>
  <si>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</si>
  <si>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</si>
  <si>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</si>
  <si>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</si>
  <si>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</si>
  <si>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</si>
  <si>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</si>
  <si>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</si>
  <si>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</si>
  <si>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</si>
  <si>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</si>
  <si>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</si>
  <si>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</si>
  <si>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</si>
  <si>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</si>
  <si>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</si>
  <si>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</si>
  <si>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</si>
  <si>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</si>
  <si>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</si>
  <si>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</si>
  <si>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</si>
  <si>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</si>
  <si>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</si>
  <si>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</si>
  <si>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</si>
  <si>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</si>
  <si>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</si>
  <si>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</si>
  <si>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</si>
  <si>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</si>
  <si>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</si>
  <si>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</si>
  <si>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</si>
  <si>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</si>
  <si>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</si>
  <si>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</si>
  <si>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</si>
  <si>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</si>
  <si>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</si>
  <si>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</si>
  <si>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</si>
  <si>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</si>
  <si>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</si>
  <si>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</si>
  <si>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</si>
  <si>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</si>
  <si>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</si>
  <si>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</si>
  <si>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</si>
  <si>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</si>
  <si>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</si>
  <si>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</si>
  <si>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</si>
  <si>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</si>
  <si>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</si>
  <si>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</si>
  <si>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</si>
  <si>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</si>
  <si>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</si>
  <si>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</si>
  <si>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</si>
  <si>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</si>
  <si>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</si>
  <si>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</si>
  <si>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</si>
  <si>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</si>
  <si>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</si>
  <si>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</si>
  <si>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</si>
  <si>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</si>
  <si>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</si>
  <si>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</si>
  <si>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</si>
  <si>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</si>
  <si>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</si>
  <si>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</si>
  <si>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</si>
  <si>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</si>
  <si>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</si>
  <si>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</si>
  <si>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</si>
  <si>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</si>
  <si>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</si>
  <si>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</si>
  <si>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</si>
  <si>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</si>
  <si>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</si>
  <si>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</si>
  <si>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</si>
  <si>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</si>
  <si>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</si>
  <si>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</si>
  <si>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</si>
  <si>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</si>
  <si>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</si>
  <si>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</si>
  <si>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</si>
  <si>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</si>
  <si>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</si>
  <si>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</si>
  <si>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</si>
  <si>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</si>
  <si>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</si>
  <si>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</si>
  <si>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</si>
  <si>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</si>
  <si>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</si>
  <si>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</si>
  <si>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</si>
  <si>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</si>
  <si>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</si>
  <si>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</si>
  <si>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</si>
  <si>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</si>
  <si>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</si>
  <si>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</si>
  <si>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</si>
  <si>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</si>
  <si>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</si>
  <si>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</si>
  <si>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</si>
  <si>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</si>
  <si>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</si>
  <si>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</si>
  <si>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</si>
  <si>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</si>
  <si>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</si>
  <si>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</si>
  <si>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</si>
  <si>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</si>
  <si>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</si>
  <si>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</si>
  <si>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</si>
  <si>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</si>
  <si>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</si>
  <si>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</si>
  <si>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</si>
  <si>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</si>
  <si>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</si>
  <si>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</si>
  <si>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</si>
  <si>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</si>
  <si>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</si>
  <si>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</si>
  <si>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</si>
  <si>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</si>
  <si>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</si>
  <si>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</si>
  <si>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</si>
  <si>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</si>
  <si>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</si>
  <si>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</si>
  <si>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</si>
  <si>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</si>
  <si>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</si>
  <si>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</si>
  <si>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</si>
  <si>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</si>
  <si>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</si>
  <si>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</si>
  <si>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</si>
  <si>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</si>
  <si>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</si>
  <si>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</si>
  <si>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</si>
  <si>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</si>
  <si>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</si>
  <si>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</si>
  <si>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</si>
  <si>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</si>
  <si>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</si>
  <si>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</si>
  <si>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</si>
  <si>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</si>
  <si>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</si>
  <si>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</si>
  <si>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</si>
  <si>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</si>
  <si>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</si>
  <si>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</si>
  <si>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</si>
  <si>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</si>
  <si>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</si>
  <si>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</si>
  <si>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</si>
  <si>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</si>
  <si>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</si>
  <si>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</si>
  <si>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</si>
  <si>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</si>
  <si>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</si>
  <si>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</si>
  <si>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</si>
  <si>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</si>
  <si>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</si>
  <si>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</si>
  <si>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</si>
  <si>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</si>
  <si>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</si>
  <si>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</si>
  <si>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</si>
  <si>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</si>
  <si>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</si>
  <si>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</si>
  <si>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</si>
  <si>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</si>
  <si>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</si>
  <si>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</si>
  <si>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</si>
  <si>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</si>
  <si>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</si>
  <si>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</si>
  <si>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</si>
  <si>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</si>
  <si>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</si>
  <si>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</si>
  <si>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</si>
  <si>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</si>
  <si>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</si>
  <si>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</si>
  <si>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</si>
  <si>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</si>
  <si>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</si>
  <si>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</si>
  <si>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</si>
  <si>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</si>
  <si>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</si>
  <si>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</si>
  <si>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</si>
  <si>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</si>
  <si>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</si>
  <si>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</si>
  <si>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</si>
  <si>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</si>
  <si>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</si>
  <si>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</si>
  <si>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</si>
  <si>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</si>
  <si>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</si>
  <si>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</si>
  <si>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</si>
  <si>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</si>
  <si>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</si>
  <si>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</si>
  <si>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</si>
  <si>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</si>
  <si>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</si>
  <si>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</si>
  <si>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</si>
  <si>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</si>
  <si>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</si>
  <si>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</si>
  <si>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</si>
  <si>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</si>
  <si>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</si>
  <si>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</si>
  <si>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</si>
  <si>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</si>
  <si>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</si>
  <si>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</si>
  <si>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</si>
  <si>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</si>
  <si>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</si>
  <si>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</si>
  <si>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</si>
  <si>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</si>
  <si>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</si>
  <si>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</si>
  <si>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</si>
  <si>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</si>
  <si>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</si>
  <si>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</si>
  <si>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</si>
  <si>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</si>
  <si>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</si>
  <si>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</si>
  <si>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</si>
  <si>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</si>
  <si>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</si>
  <si>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</si>
  <si>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</si>
  <si>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</si>
  <si>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</si>
  <si>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</si>
  <si>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</si>
  <si>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</si>
  <si>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</si>
  <si>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</si>
  <si>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</si>
  <si>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</si>
  <si>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</si>
  <si>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</si>
  <si>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</si>
  <si>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</si>
  <si>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</si>
  <si>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</si>
  <si>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</si>
  <si>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</si>
  <si>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</si>
  <si>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</si>
  <si>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</si>
  <si>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</si>
  <si>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</si>
  <si>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</si>
  <si>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</si>
  <si>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</si>
  <si>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</si>
  <si>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</si>
  <si>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</si>
  <si>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</si>
  <si>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</si>
  <si>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</si>
  <si>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</si>
  <si>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</si>
  <si>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</si>
  <si>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</si>
  <si>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</si>
  <si>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</si>
  <si>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</si>
  <si>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</si>
  <si>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</si>
  <si>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</si>
  <si>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</si>
  <si>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</si>
  <si>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</si>
  <si>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</si>
  <si>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</si>
  <si>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</si>
  <si>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</si>
  <si>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</si>
  <si>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</si>
  <si>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</si>
  <si>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</si>
  <si>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</si>
  <si>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</si>
  <si>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</si>
  <si>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</si>
  <si>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</si>
  <si>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</si>
  <si>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</si>
  <si>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</si>
  <si>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</si>
  <si>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</si>
  <si>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</si>
  <si>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</si>
  <si>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</si>
  <si>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</si>
  <si>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</si>
  <si>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</si>
  <si>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</si>
  <si>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</si>
  <si>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</si>
  <si>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</si>
  <si>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</si>
  <si>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</si>
  <si>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</si>
  <si>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</si>
  <si>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</si>
  <si>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</si>
  <si>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</si>
  <si>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</si>
  <si>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</si>
  <si>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</si>
  <si>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</si>
  <si>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</si>
  <si>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</si>
  <si>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</si>
  <si>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</si>
  <si>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</si>
  <si>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</si>
  <si>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</si>
  <si>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</si>
  <si>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</si>
  <si>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</si>
  <si>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</si>
  <si>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</si>
  <si>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</si>
  <si>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</si>
  <si>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</si>
  <si>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</si>
  <si>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</si>
  <si>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</si>
  <si>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</si>
  <si>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</si>
  <si>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</si>
  <si>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</si>
  <si>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</si>
  <si>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</si>
  <si>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</si>
  <si>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</si>
  <si>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</si>
  <si>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</si>
  <si>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</si>
  <si>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</si>
  <si>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</si>
  <si>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</si>
  <si>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</si>
  <si>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</si>
  <si>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</si>
  <si>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</si>
  <si>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</si>
  <si>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</si>
  <si>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</si>
  <si>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</si>
  <si>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</si>
  <si>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</si>
  <si>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</si>
  <si>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</si>
  <si>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</si>
  <si>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</si>
  <si>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</si>
  <si>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</si>
  <si>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</si>
  <si>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</si>
  <si>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</si>
  <si>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</si>
  <si>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</si>
  <si>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</si>
  <si>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</si>
  <si>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</si>
  <si>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</si>
  <si>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</si>
  <si>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</si>
  <si>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</si>
  <si>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</si>
  <si>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</si>
  <si>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</si>
  <si>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</si>
  <si>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</si>
  <si>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</si>
  <si>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</si>
  <si>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</si>
  <si>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</si>
  <si>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</si>
  <si>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</si>
  <si>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</si>
  <si>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</si>
  <si>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</si>
  <si>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</si>
  <si>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</si>
  <si>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</si>
  <si>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</si>
  <si>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</si>
  <si>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</si>
  <si>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</si>
  <si>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</si>
  <si>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</si>
  <si>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</si>
  <si>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</si>
  <si>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</si>
  <si>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</si>
  <si>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</si>
  <si>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</si>
  <si>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</si>
  <si>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</si>
  <si>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</si>
  <si>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</si>
  <si>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</si>
  <si>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</si>
  <si>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</si>
  <si>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</si>
  <si>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</si>
  <si>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</si>
  <si>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</si>
  <si>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</si>
  <si>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</si>
  <si>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</si>
  <si>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</si>
  <si>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</si>
  <si>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</si>
  <si>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</si>
  <si>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</si>
  <si>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</si>
  <si>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</si>
  <si>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</si>
  <si>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</si>
  <si>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</si>
  <si>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</si>
  <si>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</si>
  <si>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</si>
  <si>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</si>
  <si>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</si>
  <si>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</si>
  <si>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</si>
  <si>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</si>
  <si>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</si>
  <si>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</si>
  <si>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</si>
  <si>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</si>
  <si>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</si>
  <si>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</si>
  <si>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</si>
  <si>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</si>
  <si>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</si>
  <si>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</si>
  <si>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</si>
  <si>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</si>
  <si>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</si>
  <si>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</si>
  <si>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</si>
  <si>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</si>
  <si>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</si>
  <si>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</si>
  <si>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</si>
  <si>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</si>
  <si>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</si>
  <si>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</si>
  <si>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</si>
  <si>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</si>
  <si>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</si>
  <si>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</si>
  <si>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</si>
  <si>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</si>
  <si>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</si>
  <si>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</si>
  <si>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</si>
  <si>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</si>
  <si>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</si>
  <si>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</si>
  <si>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</si>
  <si>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</si>
  <si>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</si>
  <si>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</si>
  <si>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</si>
  <si>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</si>
  <si>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</si>
  <si>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</si>
  <si>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</si>
  <si>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</si>
  <si>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</si>
  <si>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</si>
  <si>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</si>
  <si>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</si>
  <si>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</si>
  <si>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</si>
  <si>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</si>
  <si>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</si>
  <si>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</si>
  <si>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</si>
  <si>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</si>
  <si>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</si>
  <si>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</si>
  <si>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</si>
  <si>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</si>
  <si>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</si>
  <si>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</si>
  <si>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</si>
  <si>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</si>
  <si>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</si>
  <si>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</si>
  <si>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</si>
  <si>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</si>
  <si>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</si>
  <si>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</si>
  <si>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</si>
  <si>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</si>
  <si>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</si>
  <si>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</si>
  <si>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</si>
  <si>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</si>
  <si>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</si>
  <si>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</si>
  <si>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</si>
  <si>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</si>
  <si>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</si>
  <si>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</si>
  <si>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</si>
  <si>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</si>
  <si>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</si>
  <si>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</si>
  <si>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</si>
  <si>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</si>
  <si>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</si>
  <si>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</si>
  <si>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</si>
  <si>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</si>
  <si>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</si>
  <si>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</si>
  <si>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</si>
  <si>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</si>
  <si>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</si>
  <si>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</si>
  <si>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</si>
  <si>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</si>
  <si>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</si>
  <si>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</si>
  <si>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</si>
  <si>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</si>
  <si>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</si>
  <si>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</si>
  <si>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</si>
  <si>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</si>
  <si>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</si>
  <si>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</si>
  <si>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</si>
  <si>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</si>
  <si>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</si>
  <si>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</si>
  <si>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</si>
  <si>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</si>
  <si>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</si>
  <si>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</si>
  <si>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</si>
  <si>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</si>
  <si>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</si>
  <si>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</si>
  <si>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</si>
  <si>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</si>
  <si>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</si>
  <si>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</si>
  <si>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</si>
  <si>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</si>
  <si>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</si>
  <si>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</si>
  <si>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</si>
  <si>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</si>
  <si>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</si>
  <si>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</si>
  <si>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</si>
  <si>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</si>
  <si>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</si>
  <si>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</si>
  <si>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</si>
  <si>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</si>
  <si>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</si>
  <si>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</si>
  <si>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</si>
  <si>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</si>
  <si>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</si>
  <si>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</si>
  <si>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</si>
  <si>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</si>
  <si>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</si>
  <si>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</si>
  <si>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</si>
  <si>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</si>
  <si>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</si>
  <si>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</si>
  <si>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</si>
  <si>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</si>
  <si>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</si>
  <si>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</si>
  <si>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</si>
  <si>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</si>
  <si>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</si>
  <si>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</si>
  <si>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</si>
  <si>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</si>
  <si>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</si>
  <si>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</si>
  <si>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</si>
  <si>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</si>
  <si>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</si>
  <si>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</si>
  <si>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</si>
  <si>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</si>
  <si>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</si>
  <si>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</si>
  <si>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</si>
  <si>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</si>
  <si>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</si>
  <si>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</si>
  <si>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</si>
  <si>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</si>
  <si>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</si>
  <si>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</si>
  <si>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</si>
  <si>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</si>
  <si>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</si>
  <si>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</si>
  <si>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</si>
  <si>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</si>
  <si>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</si>
  <si>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</si>
  <si>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</si>
  <si>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</si>
  <si>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</si>
  <si>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</si>
  <si>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</si>
  <si>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</si>
  <si>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</si>
  <si>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</si>
  <si>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</si>
  <si>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</si>
  <si>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</si>
  <si>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</si>
  <si>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</si>
  <si>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</si>
  <si>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</si>
  <si>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</si>
  <si>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</si>
  <si>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</si>
  <si>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</si>
  <si>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</si>
  <si>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</si>
  <si>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</si>
  <si>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</si>
  <si>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</si>
  <si>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</si>
  <si>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</si>
  <si>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</si>
  <si>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</si>
  <si>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</si>
  <si>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</si>
  <si>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</si>
  <si>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</si>
  <si>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</si>
  <si>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</si>
  <si>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</si>
  <si>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</si>
  <si>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</si>
  <si>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</si>
  <si>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</si>
  <si>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</si>
  <si>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</si>
  <si>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</si>
  <si>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</si>
  <si>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</si>
  <si>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</si>
  <si>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</si>
  <si>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</si>
  <si>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</si>
  <si>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</si>
  <si>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</si>
  <si>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</si>
  <si>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</si>
  <si>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</si>
  <si>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</si>
  <si>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</si>
  <si>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</si>
  <si>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</si>
  <si>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</si>
  <si>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</si>
  <si>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</si>
  <si>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</si>
  <si>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</si>
  <si>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</si>
  <si>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</si>
  <si>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</si>
  <si>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</si>
  <si>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</si>
  <si>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</si>
  <si>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</si>
  <si>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</si>
  <si>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</si>
  <si>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</si>
  <si>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</si>
  <si>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</si>
  <si>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</si>
  <si>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</si>
  <si>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</si>
  <si>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</si>
  <si>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</si>
  <si>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</si>
  <si>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</si>
  <si>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</si>
  <si>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</si>
  <si>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</si>
  <si>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</si>
  <si>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</si>
  <si>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</si>
  <si>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</si>
  <si>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</si>
  <si>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</si>
  <si>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</si>
  <si>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</si>
  <si>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</si>
  <si>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</si>
  <si>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</si>
  <si>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</si>
  <si>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</si>
  <si>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</si>
  <si>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</si>
  <si>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</si>
  <si>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</si>
  <si>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</si>
  <si>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</si>
  <si>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</si>
  <si>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</si>
  <si>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</si>
  <si>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</si>
  <si>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</si>
  <si>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</si>
  <si>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</si>
  <si>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</si>
  <si>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</si>
  <si>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</si>
  <si>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</si>
  <si>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</si>
  <si>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</si>
  <si>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</si>
  <si>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</si>
  <si>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</si>
  <si>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</si>
  <si>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</si>
  <si>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</si>
  <si>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</si>
  <si>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</si>
  <si>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</si>
  <si>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</si>
  <si>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</si>
  <si>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</si>
  <si>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</si>
  <si>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</si>
  <si>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</si>
  <si>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</si>
  <si>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</si>
  <si>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</si>
  <si>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</si>
  <si>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</si>
  <si>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</si>
  <si>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</si>
  <si>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</si>
  <si>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</si>
  <si>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</si>
  <si>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</si>
  <si>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</si>
  <si>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</si>
  <si>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</si>
  <si>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</si>
  <si>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</si>
  <si>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</si>
  <si>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</si>
  <si>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</si>
  <si>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</si>
  <si>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</si>
  <si>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</si>
  <si>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</si>
  <si>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</si>
  <si>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</si>
  <si>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</si>
  <si>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</si>
  <si>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</si>
  <si>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</si>
  <si>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</si>
  <si>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</si>
  <si>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</si>
  <si>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</si>
  <si>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</si>
  <si>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</si>
  <si>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</si>
  <si>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</si>
  <si>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</si>
  <si>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</si>
  <si>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</si>
  <si>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</si>
  <si>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</si>
  <si>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</si>
  <si>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</si>
  <si>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</si>
  <si>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</si>
  <si>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</si>
  <si>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</si>
  <si>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</si>
  <si>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</si>
  <si>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</si>
  <si>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</si>
  <si>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</si>
  <si>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</si>
  <si>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</si>
  <si>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</si>
  <si>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</si>
  <si>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</si>
  <si>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</si>
  <si>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</si>
  <si>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</si>
  <si>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</si>
  <si>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</si>
  <si>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</si>
  <si>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</si>
  <si>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</si>
  <si>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</si>
  <si>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</si>
  <si>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</si>
  <si>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</si>
  <si>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</si>
  <si>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</si>
  <si>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</si>
  <si>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</si>
  <si>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</si>
  <si>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</si>
  <si>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</si>
  <si>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</si>
  <si>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</si>
  <si>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</si>
  <si>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</si>
  <si>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</si>
  <si>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</si>
  <si>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</si>
  <si>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</si>
  <si>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</si>
  <si>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</si>
  <si>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</si>
  <si>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</si>
  <si>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</si>
  <si>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</si>
  <si>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</si>
  <si>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</si>
  <si>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</si>
  <si>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</si>
  <si>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</si>
  <si>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</si>
  <si>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</si>
  <si>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</si>
  <si>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</si>
  <si>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</si>
  <si>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</si>
  <si>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</si>
  <si>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</si>
  <si>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</si>
  <si>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</si>
  <si>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</si>
  <si>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</si>
  <si>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</si>
  <si>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</si>
  <si>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</si>
  <si>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</si>
  <si>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</si>
  <si>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</si>
  <si>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</si>
  <si>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</si>
  <si>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</si>
  <si>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</si>
  <si>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</si>
  <si>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</si>
  <si>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</si>
  <si>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</si>
  <si>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</si>
  <si>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</si>
  <si>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</si>
  <si>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</si>
  <si>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</si>
  <si>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</si>
  <si>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</si>
  <si>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</si>
  <si>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</si>
  <si>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</si>
  <si>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</si>
  <si>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</si>
  <si>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</si>
  <si>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</si>
  <si>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</si>
  <si>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</si>
  <si>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</si>
  <si>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</si>
  <si>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</si>
  <si>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</si>
  <si>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</si>
  <si>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</si>
  <si>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</si>
  <si>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</si>
  <si>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</si>
  <si>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</si>
  <si>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</si>
  <si>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</si>
  <si>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</si>
  <si>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</si>
  <si>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</si>
  <si>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</si>
  <si>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</si>
  <si>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</si>
  <si>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</si>
  <si>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</si>
  <si>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</si>
  <si>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</si>
  <si>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</si>
  <si>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</si>
  <si>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</si>
  <si>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</si>
  <si>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</si>
  <si>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</si>
  <si>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</si>
  <si>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</si>
  <si>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</si>
  <si>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</si>
  <si>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</si>
  <si>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</si>
  <si>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</si>
  <si>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</si>
  <si>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</si>
  <si>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</si>
  <si>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</si>
  <si>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</si>
  <si>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</si>
  <si>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</si>
  <si>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</si>
  <si>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</si>
  <si>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</si>
  <si>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</si>
  <si>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</si>
  <si>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</si>
  <si>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</si>
  <si>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</si>
  <si>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</si>
  <si>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</si>
  <si>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</si>
  <si>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</si>
  <si>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</si>
  <si>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</si>
  <si>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</si>
  <si>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</si>
  <si>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</si>
  <si>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</si>
  <si>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</si>
  <si>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</si>
  <si>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</si>
  <si>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</si>
  <si>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</si>
  <si>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</si>
  <si>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</si>
  <si>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</si>
  <si>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</si>
  <si>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</si>
  <si>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</si>
  <si>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</si>
  <si>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</si>
  <si>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</si>
  <si>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</si>
  <si>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</si>
  <si>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</si>
  <si>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</si>
  <si>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</si>
  <si>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</si>
  <si>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</si>
  <si>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</si>
  <si>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</si>
  <si>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</si>
  <si>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</si>
  <si>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</si>
  <si>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</si>
  <si>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</si>
  <si>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</si>
  <si>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</si>
  <si>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</si>
  <si>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</si>
  <si>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</si>
  <si>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</si>
  <si>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</si>
  <si>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</si>
  <si>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</si>
  <si>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</si>
  <si>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</si>
  <si>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</si>
  <si>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</si>
  <si>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</si>
  <si>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</si>
  <si>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</si>
  <si>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</si>
  <si>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</si>
  <si>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</si>
  <si>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</si>
  <si>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</si>
  <si>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</si>
  <si>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</si>
  <si>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</si>
  <si>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</si>
  <si>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</si>
  <si>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</si>
  <si>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</si>
  <si>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</si>
  <si>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</si>
  <si>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</si>
  <si>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</si>
  <si>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</si>
  <si>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</si>
  <si>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</si>
  <si>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</si>
  <si>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</si>
  <si>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</si>
  <si>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</si>
  <si>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</si>
  <si>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</si>
  <si>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</si>
  <si>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</si>
  <si>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</si>
  <si>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</si>
  <si>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</si>
  <si>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</si>
  <si>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</si>
  <si>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</si>
  <si>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</si>
  <si>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</si>
  <si>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</si>
  <si>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</si>
  <si>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</si>
  <si>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</si>
  <si>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</si>
  <si>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</si>
  <si>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</si>
  <si>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</si>
  <si>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</si>
  <si>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</si>
  <si>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</si>
  <si>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</si>
  <si>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</si>
  <si>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</si>
  <si>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</si>
  <si>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</si>
  <si>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</si>
  <si>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</si>
  <si>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</si>
  <si>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</si>
  <si>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</si>
  <si>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</si>
  <si>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</si>
  <si>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</si>
  <si>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</si>
  <si>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</si>
  <si>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</si>
  <si>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</si>
  <si>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</si>
  <si>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</si>
  <si>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</si>
  <si>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</si>
  <si>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</si>
  <si>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</si>
  <si>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</si>
  <si>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</si>
  <si>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</si>
  <si>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</si>
  <si>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</si>
  <si>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</si>
  <si>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</si>
  <si>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</si>
  <si>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</si>
  <si>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</si>
  <si>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</si>
  <si>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</si>
  <si>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</si>
  <si>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</si>
  <si>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</si>
  <si>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</si>
  <si>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</si>
  <si>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</si>
  <si>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</si>
  <si>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</si>
  <si>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</si>
  <si>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</si>
  <si>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</si>
  <si>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</si>
  <si>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</si>
  <si>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</si>
  <si>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</si>
  <si>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</si>
  <si>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</si>
  <si>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</si>
  <si>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</si>
  <si>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</si>
  <si>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</si>
  <si>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</si>
  <si>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</si>
  <si>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</si>
  <si>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</si>
  <si>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</si>
  <si>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</si>
  <si>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</si>
  <si>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</si>
  <si>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</si>
  <si>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</si>
  <si>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</si>
  <si>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</si>
  <si>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</si>
  <si>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</si>
  <si>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</si>
  <si>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</si>
  <si>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</si>
  <si>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</si>
  <si>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</si>
  <si>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</si>
  <si>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</si>
  <si>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</si>
  <si>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</si>
  <si>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</si>
  <si>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</si>
  <si>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</si>
  <si>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</si>
  <si>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</si>
  <si>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</si>
  <si>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</si>
  <si>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</si>
  <si>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</si>
  <si>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</si>
  <si>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</si>
  <si>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</si>
  <si>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</si>
  <si>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</si>
  <si>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</si>
  <si>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</si>
  <si>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</si>
  <si>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</si>
  <si>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</si>
  <si>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</si>
  <si>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</si>
  <si>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</si>
  <si>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</si>
  <si>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</si>
  <si>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</si>
  <si>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</si>
  <si>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</si>
  <si>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</si>
  <si>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</si>
  <si>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</si>
  <si>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</si>
  <si>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</si>
  <si>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</si>
  <si>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</si>
  <si>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</si>
  <si>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</si>
  <si>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</si>
  <si>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</si>
  <si>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</si>
  <si>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</si>
  <si>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</si>
  <si>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</si>
  <si>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</si>
  <si>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</si>
  <si>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</si>
  <si>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</si>
  <si>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</si>
  <si>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</si>
  <si>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</si>
  <si>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</si>
  <si>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</si>
  <si>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</si>
  <si>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</si>
  <si>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</si>
  <si>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</si>
  <si>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</si>
  <si>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</si>
  <si>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</si>
  <si>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</si>
  <si>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</si>
  <si>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</si>
  <si>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</si>
  <si>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</si>
  <si>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</si>
  <si>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</si>
  <si>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</si>
  <si>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</si>
  <si>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</si>
  <si>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</si>
  <si>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</si>
  <si>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</si>
  <si>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</si>
  <si>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</si>
  <si>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</si>
  <si>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</si>
  <si>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</si>
  <si>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</si>
  <si>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</si>
  <si>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</si>
  <si>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</si>
  <si>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</si>
  <si>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</si>
  <si>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</si>
  <si>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</si>
  <si>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</si>
  <si>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</si>
  <si>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</si>
  <si>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</si>
  <si>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</si>
  <si>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</si>
  <si>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</si>
  <si>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</si>
  <si>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</si>
  <si>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</si>
  <si>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</si>
  <si>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</si>
  <si>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</si>
  <si>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</si>
  <si>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</si>
  <si>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</si>
  <si>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</si>
  <si>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</si>
  <si>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</si>
  <si>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</si>
  <si>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</si>
  <si>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</si>
  <si>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</si>
  <si>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</si>
  <si>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</si>
  <si>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</si>
  <si>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</si>
  <si>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</si>
  <si>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</si>
  <si>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</si>
  <si>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</si>
  <si>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</si>
  <si>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</si>
  <si>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</si>
  <si>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</si>
  <si>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</si>
  <si>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</si>
  <si>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</si>
  <si>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</si>
  <si>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</si>
  <si>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</si>
  <si>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</si>
  <si>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</si>
  <si>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</si>
  <si>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</si>
  <si>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</si>
  <si>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</si>
  <si>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</si>
  <si>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</si>
  <si>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</si>
  <si>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</si>
  <si>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</si>
  <si>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</si>
  <si>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</si>
  <si>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</si>
  <si>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</si>
  <si>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</si>
  <si>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</si>
  <si>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</si>
  <si>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</si>
  <si>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</si>
  <si>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</si>
  <si>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</si>
  <si>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</si>
  <si>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</si>
  <si>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</si>
  <si>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</si>
  <si>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</si>
  <si>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</si>
  <si>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</si>
  <si>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</si>
  <si>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</si>
  <si>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</si>
  <si>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</si>
  <si>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</si>
  <si>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</si>
  <si>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</si>
  <si>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</si>
  <si>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</si>
  <si>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</si>
  <si>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</si>
  <si>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</si>
  <si>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</si>
  <si>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</si>
  <si>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</si>
  <si>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</si>
  <si>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</si>
  <si>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</si>
  <si>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</si>
  <si>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</si>
  <si>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</si>
  <si>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</si>
  <si>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</si>
  <si>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</si>
  <si>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</si>
  <si>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</si>
  <si>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</si>
  <si>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</si>
  <si>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</si>
  <si>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</si>
  <si>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</si>
  <si>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</si>
  <si>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</si>
  <si>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</si>
  <si>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</si>
  <si>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</si>
  <si>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</si>
  <si>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</si>
  <si>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</si>
  <si>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</si>
  <si>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</si>
  <si>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</si>
  <si>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</si>
  <si>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</si>
  <si>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</si>
  <si>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</si>
  <si>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</si>
  <si>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</si>
  <si>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</si>
  <si>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</si>
  <si>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</si>
  <si>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</si>
  <si>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</si>
  <si>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</si>
  <si>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</si>
  <si>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</si>
  <si>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</si>
  <si>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</si>
  <si>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</si>
  <si>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</si>
  <si>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</si>
  <si>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</si>
  <si>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</si>
  <si>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</si>
  <si>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</si>
  <si>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</si>
  <si>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</si>
  <si>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</si>
  <si>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</si>
  <si>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</si>
  <si>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</si>
  <si>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</si>
  <si>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</si>
  <si>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</si>
  <si>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</si>
  <si>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</si>
  <si>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</si>
  <si>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</si>
  <si>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</si>
  <si>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</si>
  <si>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</si>
  <si>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</si>
  <si>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</si>
  <si>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</si>
  <si>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</si>
  <si>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</si>
  <si>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</si>
  <si>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</si>
  <si>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</si>
  <si>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</si>
  <si>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</si>
  <si>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</si>
  <si>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</si>
  <si>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</si>
  <si>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</si>
  <si>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</si>
  <si>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</si>
  <si>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</si>
  <si>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</si>
  <si>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</si>
  <si>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</si>
  <si>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</si>
  <si>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</si>
  <si>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</si>
  <si>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</si>
  <si>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</si>
  <si>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</si>
  <si>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</si>
  <si>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</si>
  <si>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</si>
  <si>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</si>
  <si>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</si>
  <si>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</si>
  <si>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</si>
  <si>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</si>
  <si>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</si>
  <si>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</si>
  <si>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</si>
  <si>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</si>
  <si>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</si>
  <si>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</si>
  <si>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</si>
  <si>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</si>
  <si>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</si>
  <si>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</si>
  <si>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</si>
  <si>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</si>
  <si>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</si>
  <si>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</si>
  <si>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</si>
  <si>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</si>
  <si>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</si>
  <si>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</si>
  <si>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</si>
  <si>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</si>
  <si>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</si>
  <si>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</si>
  <si>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</si>
  <si>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</si>
  <si>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</si>
  <si>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</si>
  <si>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</si>
  <si>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</si>
  <si>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</si>
  <si>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</si>
  <si>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</si>
  <si>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</si>
  <si>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</si>
  <si>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</si>
  <si>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</si>
  <si>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</si>
  <si>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</si>
  <si>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</si>
  <si>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</si>
  <si>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</si>
  <si>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</si>
  <si>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</si>
  <si>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</si>
  <si>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</si>
  <si>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</si>
  <si>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</si>
  <si>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</si>
  <si>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</si>
  <si>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</si>
  <si>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</si>
  <si>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</si>
  <si>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</si>
  <si>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</si>
  <si>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</si>
  <si>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</si>
  <si>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</si>
  <si>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</si>
  <si>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</si>
  <si>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</si>
  <si>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</si>
  <si>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</si>
  <si>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</si>
  <si>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</si>
  <si>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</si>
  <si>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</si>
  <si>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</si>
  <si>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</si>
  <si>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</si>
  <si>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</si>
  <si>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</si>
  <si>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</si>
  <si>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</si>
  <si>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</si>
  <si>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</si>
  <si>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</si>
  <si>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</si>
  <si>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</si>
  <si>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</si>
  <si>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</si>
  <si>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</si>
  <si>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</si>
  <si>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</si>
  <si>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</si>
  <si>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</si>
  <si>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</si>
  <si>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</si>
  <si>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</si>
  <si>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</si>
  <si>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</si>
  <si>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</si>
  <si>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</si>
  <si>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</si>
  <si>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</si>
  <si>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</si>
  <si>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</si>
  <si>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</si>
  <si>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</si>
  <si>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</si>
  <si>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</si>
  <si>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</si>
  <si>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</si>
  <si>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</si>
  <si>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</si>
  <si>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</si>
  <si>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</si>
  <si>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</si>
  <si>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</si>
  <si>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</si>
  <si>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</si>
  <si>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</si>
  <si>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</si>
  <si>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</si>
  <si>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</si>
  <si>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</si>
  <si>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</si>
  <si>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</si>
  <si>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</si>
  <si>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</si>
  <si>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</si>
  <si>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</si>
  <si>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</si>
  <si>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</si>
  <si>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</si>
  <si>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</si>
  <si>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</si>
  <si>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</si>
  <si>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</si>
  <si>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</si>
  <si>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</si>
  <si>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</si>
  <si>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</si>
  <si>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</si>
  <si>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</si>
  <si>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</si>
  <si>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</si>
  <si>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</si>
  <si>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</si>
  <si>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</si>
  <si>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</si>
  <si>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</si>
  <si>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</si>
  <si>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</si>
  <si>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</si>
  <si>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</si>
  <si>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</si>
  <si>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</si>
  <si>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</si>
  <si>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</si>
  <si>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</si>
  <si>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</si>
  <si>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</si>
  <si>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</si>
  <si>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</si>
  <si>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</si>
  <si>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</si>
  <si>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</si>
  <si>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</si>
  <si>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</si>
  <si>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</si>
  <si>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</si>
  <si>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</si>
  <si>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</si>
  <si>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</si>
  <si>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</si>
  <si>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</si>
  <si>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</si>
  <si>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</si>
  <si>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</si>
  <si>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</si>
  <si>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</si>
  <si>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</si>
  <si>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</si>
  <si>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</si>
  <si>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</si>
  <si>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</si>
  <si>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</si>
  <si>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</si>
  <si>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</si>
  <si>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</si>
  <si>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</si>
  <si>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</si>
  <si>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</si>
  <si>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</si>
  <si>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</si>
  <si>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</si>
  <si>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</si>
  <si>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</si>
  <si>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</si>
  <si>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</si>
  <si>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</si>
  <si>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</si>
  <si>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</si>
  <si>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</si>
  <si>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</si>
  <si>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</si>
  <si>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</si>
  <si>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</si>
  <si>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</si>
  <si>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</si>
  <si>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</si>
  <si>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</si>
  <si>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</si>
  <si>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</si>
  <si>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</si>
  <si>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</si>
  <si>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</si>
  <si>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</si>
  <si>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</si>
  <si>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</si>
  <si>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</si>
  <si>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</si>
  <si>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</si>
  <si>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</si>
  <si>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</si>
  <si>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</si>
  <si>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</si>
  <si>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</si>
  <si>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</si>
  <si>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</si>
  <si>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</si>
  <si>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</si>
  <si>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</si>
  <si>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</si>
  <si>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</si>
  <si>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</si>
  <si>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</si>
  <si>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</si>
  <si>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</si>
  <si>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</si>
  <si>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</si>
  <si>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</si>
  <si>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</si>
  <si>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</si>
  <si>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</si>
  <si>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</si>
  <si>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</si>
  <si>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</si>
  <si>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</si>
  <si>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</si>
  <si>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</si>
  <si>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</si>
  <si>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</si>
  <si>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</si>
  <si>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</si>
  <si>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</si>
  <si>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</si>
  <si>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</si>
  <si>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</si>
  <si>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</si>
  <si>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</si>
  <si>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</si>
  <si>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</si>
  <si>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</si>
  <si>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</si>
  <si>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</si>
  <si>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</si>
  <si>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</si>
  <si>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</si>
  <si>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</si>
  <si>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</si>
  <si>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</si>
  <si>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</si>
  <si>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</si>
  <si>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</si>
  <si>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</si>
  <si>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</si>
  <si>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</si>
  <si>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</si>
  <si>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</si>
  <si>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</si>
  <si>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</si>
  <si>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</si>
  <si>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</si>
  <si>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</si>
  <si>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</si>
  <si>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</si>
  <si>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</si>
  <si>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</si>
  <si>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</si>
  <si>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</si>
  <si>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</si>
  <si>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</si>
  <si>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</si>
  <si>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</si>
  <si>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</si>
  <si>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</si>
  <si>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</si>
  <si>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</si>
  <si>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</si>
  <si>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</si>
  <si>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</si>
  <si>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</si>
  <si>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</si>
  <si>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</si>
  <si>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</si>
  <si>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</si>
  <si>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</si>
  <si>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</si>
  <si>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</si>
  <si>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</si>
  <si>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</si>
  <si>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</si>
  <si>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</si>
  <si>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</si>
  <si>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</si>
  <si>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</si>
  <si>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</si>
  <si>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</si>
  <si>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</si>
  <si>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</si>
  <si>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</si>
  <si>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</si>
  <si>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</si>
  <si>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</si>
  <si>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</si>
  <si>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</si>
  <si>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</si>
  <si>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</si>
  <si>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</si>
  <si>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</si>
  <si>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</si>
  <si>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</si>
  <si>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</si>
  <si>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</si>
  <si>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</si>
  <si>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</si>
  <si>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</si>
  <si>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</si>
  <si>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</si>
  <si>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</si>
  <si>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</si>
  <si>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</si>
  <si>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</si>
  <si>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</si>
  <si>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</si>
  <si>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</si>
  <si>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</si>
  <si>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</si>
  <si>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</si>
  <si>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</si>
  <si>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</si>
  <si>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</si>
  <si>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</si>
  <si>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</si>
  <si>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</si>
  <si>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</si>
  <si>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</si>
  <si>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</si>
  <si>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</si>
  <si>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</si>
  <si>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</si>
  <si>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</si>
  <si>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</si>
  <si>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</si>
  <si>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</si>
  <si>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</si>
  <si>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</si>
  <si>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</si>
  <si>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</si>
  <si>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</si>
  <si>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</si>
  <si>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</si>
  <si>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</si>
  <si>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</si>
  <si>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</si>
  <si>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</si>
  <si>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</si>
  <si>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</si>
  <si>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</si>
  <si>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</si>
  <si>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</si>
  <si>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</si>
  <si>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</si>
  <si>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</si>
  <si>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</si>
  <si>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</si>
  <si>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</si>
  <si>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</si>
  <si>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</si>
  <si>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</si>
  <si>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</si>
  <si>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</si>
  <si>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</si>
  <si>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</si>
  <si>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</si>
  <si>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</si>
  <si>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</si>
  <si>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</si>
  <si>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</si>
  <si>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</si>
  <si>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</si>
  <si>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</si>
  <si>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</si>
  <si>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</si>
  <si>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</si>
  <si>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</si>
  <si>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</si>
  <si>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</si>
  <si>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</si>
  <si>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</si>
  <si>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</si>
  <si>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</si>
  <si>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</si>
  <si>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</si>
  <si>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</si>
  <si>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</si>
  <si>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</si>
  <si>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</si>
  <si>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</si>
  <si>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</si>
  <si>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</si>
  <si>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</si>
  <si>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</si>
  <si>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</si>
  <si>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</si>
  <si>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</si>
  <si>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</si>
  <si>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</si>
  <si>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</si>
  <si>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</si>
  <si>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</si>
  <si>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</si>
  <si>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</si>
  <si>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</si>
  <si>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</si>
  <si>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</si>
  <si>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</si>
  <si>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</si>
  <si>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</si>
  <si>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</si>
  <si>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</si>
  <si>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</si>
  <si>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</si>
  <si>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</si>
  <si>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</si>
  <si>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</si>
  <si>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</si>
  <si>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</si>
  <si>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</si>
  <si>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</si>
  <si>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</si>
  <si>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</si>
  <si>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</si>
  <si>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</si>
  <si>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</si>
  <si>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</si>
  <si>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</si>
  <si>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</si>
  <si>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</si>
  <si>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</si>
  <si>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</si>
  <si>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</si>
  <si>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</si>
  <si>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</si>
  <si>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</si>
  <si>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</si>
  <si>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</si>
  <si>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</si>
  <si>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</si>
  <si>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</si>
  <si>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</si>
  <si>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</si>
  <si>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</si>
  <si>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</si>
  <si>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</si>
  <si>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</si>
  <si>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</si>
  <si>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</si>
  <si>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</si>
  <si>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</si>
  <si>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</si>
  <si>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</si>
  <si>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</si>
  <si>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</si>
  <si>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</si>
  <si>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</si>
  <si>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</si>
  <si>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</si>
  <si>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</si>
  <si>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</si>
  <si>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</si>
  <si>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</si>
  <si>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</si>
  <si>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</si>
  <si>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</si>
  <si>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</si>
  <si>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</si>
  <si>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</si>
  <si>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</si>
  <si>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</si>
  <si>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</si>
  <si>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</si>
  <si>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</si>
  <si>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</si>
  <si>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</si>
  <si>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</si>
  <si>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</si>
  <si>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</si>
  <si>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</si>
  <si>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</si>
  <si>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</si>
  <si>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</si>
  <si>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</si>
  <si>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</si>
  <si>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</si>
  <si>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</si>
  <si>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</si>
  <si>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</si>
  <si>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</si>
  <si>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</si>
  <si>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</si>
  <si>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</si>
  <si>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</si>
  <si>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</si>
  <si>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</si>
  <si>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</si>
  <si>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</si>
  <si>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</si>
  <si>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</si>
  <si>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</si>
  <si>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</si>
  <si>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</si>
  <si>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</si>
  <si>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</si>
  <si>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</si>
  <si>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</si>
  <si>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</si>
  <si>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</si>
  <si>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</si>
  <si>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</si>
  <si>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</si>
  <si>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</si>
  <si>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</si>
  <si>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</si>
  <si>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</si>
  <si>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</si>
  <si>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</si>
  <si>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</si>
  <si>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</si>
  <si>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</si>
  <si>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</si>
  <si>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</si>
  <si>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</si>
  <si>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</si>
  <si>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</si>
  <si>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</si>
  <si>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</si>
  <si>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</si>
  <si>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</si>
  <si>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</si>
  <si>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</si>
  <si>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</si>
  <si>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</si>
  <si>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</si>
  <si>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</si>
  <si>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</si>
  <si>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</si>
  <si>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</si>
  <si>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</si>
  <si>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</si>
  <si>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</si>
  <si>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</si>
  <si>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</si>
  <si>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</si>
  <si>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</si>
  <si>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</si>
  <si>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</si>
  <si>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</si>
  <si>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</si>
  <si>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</si>
  <si>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</si>
  <si>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</si>
  <si>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</si>
  <si>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</si>
  <si>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</si>
  <si>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</si>
  <si>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</si>
  <si>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</si>
  <si>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</si>
  <si>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</si>
  <si>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</si>
  <si>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</si>
  <si>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</si>
  <si>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</si>
  <si>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</si>
  <si>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</si>
  <si>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</si>
  <si>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</si>
  <si>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</si>
  <si>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</si>
  <si>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</si>
  <si>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</si>
  <si>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</si>
  <si>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</si>
  <si>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</si>
  <si>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</si>
  <si>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</si>
  <si>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</si>
  <si>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</si>
  <si>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</si>
  <si>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</si>
  <si>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</si>
  <si>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</si>
  <si>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</si>
  <si>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</si>
  <si>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</si>
  <si>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</si>
  <si>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</si>
  <si>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</si>
  <si>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</si>
  <si>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</si>
  <si>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</si>
  <si>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</si>
  <si>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</si>
  <si>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</si>
  <si>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</si>
  <si>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</si>
  <si>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</si>
  <si>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</si>
  <si>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</si>
  <si>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</si>
  <si>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</si>
  <si>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</si>
  <si>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</si>
  <si>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</si>
  <si>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</si>
  <si>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</si>
  <si>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</si>
  <si>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</si>
  <si>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</si>
  <si>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</si>
  <si>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</si>
  <si>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</si>
  <si>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</si>
  <si>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</si>
  <si>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</si>
  <si>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</si>
  <si>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</si>
  <si>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</si>
  <si>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</si>
  <si>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</si>
  <si>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</si>
  <si>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</si>
  <si>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</si>
  <si>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</si>
  <si>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</si>
  <si>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</si>
  <si>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</si>
  <si>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</si>
  <si>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</si>
  <si>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</si>
  <si>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</si>
  <si>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</si>
  <si>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</si>
  <si>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</si>
  <si>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</si>
  <si>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</si>
  <si>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</si>
  <si>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</si>
  <si>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</si>
  <si>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</si>
  <si>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</si>
  <si>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</si>
  <si>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</si>
  <si>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</si>
  <si>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</si>
  <si>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</si>
  <si>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</si>
  <si>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</si>
  <si>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</si>
  <si>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</si>
  <si>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</si>
  <si>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</si>
  <si>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</si>
  <si>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</si>
  <si>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</si>
  <si>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</si>
  <si>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</si>
  <si>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</si>
  <si>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</si>
  <si>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</si>
  <si>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</si>
  <si>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</si>
  <si>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</si>
  <si>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</si>
  <si>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</si>
  <si>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</si>
  <si>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</si>
  <si>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</si>
  <si>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</si>
  <si>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</si>
  <si>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</si>
  <si>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</si>
  <si>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</si>
  <si>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</si>
  <si>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</si>
  <si>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</si>
  <si>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</si>
  <si>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</si>
  <si>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</si>
  <si>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</si>
  <si>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</si>
  <si>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</si>
  <si>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</si>
  <si>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</si>
  <si>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</si>
  <si>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</si>
  <si>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</si>
  <si>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</si>
  <si>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</si>
  <si>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</si>
  <si>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</si>
  <si>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</si>
  <si>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</si>
  <si>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</si>
  <si>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</si>
  <si>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</si>
  <si>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</si>
  <si>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</si>
  <si>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</si>
  <si>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</si>
  <si>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</si>
  <si>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</si>
  <si>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</si>
  <si>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</si>
  <si>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</si>
  <si>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</si>
  <si>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</si>
  <si>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</si>
  <si>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</si>
  <si>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</si>
  <si>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</si>
  <si>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</si>
  <si>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</si>
  <si>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</si>
  <si>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</si>
  <si>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</si>
  <si>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</si>
  <si>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</si>
  <si>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</si>
  <si>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</si>
  <si>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</si>
  <si>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</si>
  <si>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</si>
  <si>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</si>
  <si>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</si>
  <si>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</si>
  <si>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</si>
  <si>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</si>
  <si>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</si>
  <si>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</si>
  <si>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</si>
  <si>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</si>
  <si>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</si>
  <si>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</si>
  <si>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</si>
  <si>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</si>
  <si>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</si>
  <si>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</si>
  <si>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</si>
  <si>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</si>
  <si>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</si>
  <si>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</si>
  <si>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</si>
  <si>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</si>
  <si>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</si>
  <si>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</si>
  <si>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</si>
  <si>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</si>
  <si>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</si>
  <si>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</si>
  <si>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</si>
  <si>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</si>
  <si>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</si>
  <si>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</si>
  <si>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</si>
  <si>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</si>
  <si>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</si>
  <si>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</si>
  <si>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</si>
  <si>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</si>
  <si>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</si>
  <si>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</si>
  <si>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</si>
  <si>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</si>
  <si>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</si>
  <si>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</si>
  <si>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</si>
  <si>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</si>
  <si>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</si>
  <si>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</si>
  <si>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</si>
  <si>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</si>
  <si>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</si>
  <si>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</si>
  <si>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</si>
  <si>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</si>
  <si>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</si>
  <si>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</si>
  <si>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</si>
  <si>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</si>
  <si>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</si>
  <si>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</si>
  <si>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</si>
  <si>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</si>
  <si>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</si>
  <si>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</si>
  <si>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</si>
  <si>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</si>
  <si>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</si>
  <si>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</si>
  <si>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</si>
  <si>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</si>
  <si>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</si>
  <si>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</si>
  <si>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</si>
  <si>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</si>
  <si>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</si>
  <si>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</si>
  <si>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</si>
  <si>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</si>
  <si>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</si>
  <si>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</si>
  <si>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</si>
  <si>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</si>
  <si>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</si>
  <si>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</si>
  <si>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</si>
  <si>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</si>
  <si>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</si>
  <si>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</si>
  <si>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</si>
  <si>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</si>
  <si>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</si>
  <si>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</si>
  <si>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</si>
  <si>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</si>
  <si>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</si>
  <si>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</si>
  <si>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</si>
  <si>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</si>
  <si>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</si>
  <si>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</si>
  <si>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</si>
  <si>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</si>
  <si>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</si>
  <si>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</si>
  <si>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</si>
  <si>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</si>
  <si>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</si>
  <si>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</si>
  <si>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</si>
  <si>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</si>
  <si>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</si>
  <si>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</si>
  <si>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</si>
  <si>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</si>
  <si>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</si>
  <si>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</si>
  <si>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</si>
  <si>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</si>
  <si>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</si>
  <si>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</si>
  <si>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</si>
  <si>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</si>
  <si>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</si>
  <si>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</si>
  <si>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</si>
  <si>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</si>
  <si>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</si>
  <si>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</si>
  <si>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</si>
  <si>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</si>
  <si>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</si>
  <si>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</si>
  <si>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</si>
  <si>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</si>
  <si>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</si>
  <si>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</si>
  <si>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</si>
  <si>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</si>
  <si>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</si>
  <si>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</si>
  <si>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</si>
  <si>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</si>
  <si>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</si>
  <si>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</si>
  <si>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</si>
  <si>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</si>
  <si>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</si>
  <si>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</si>
  <si>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</si>
  <si>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</si>
  <si>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</si>
  <si>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</si>
  <si>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</si>
  <si>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</si>
  <si>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</si>
  <si>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</si>
  <si>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</si>
  <si>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</si>
  <si>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</si>
  <si>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</si>
  <si>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</si>
  <si>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</si>
  <si>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</si>
  <si>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</si>
  <si>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</si>
  <si>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</si>
  <si>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</si>
  <si>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</si>
  <si>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</si>
  <si>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</si>
  <si>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</si>
  <si>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</si>
  <si>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</si>
  <si>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</si>
  <si>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</si>
  <si>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</si>
  <si>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</si>
  <si>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</si>
  <si>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</si>
  <si>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</si>
  <si>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</si>
  <si>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</si>
  <si>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</si>
  <si>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</si>
  <si>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</si>
  <si>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</si>
  <si>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</si>
  <si>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</si>
  <si>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</si>
  <si>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</si>
  <si>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</si>
  <si>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</si>
  <si>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</si>
  <si>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</si>
  <si>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</si>
  <si>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</si>
  <si>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</si>
  <si>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</si>
  <si>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</si>
  <si>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</si>
  <si>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</si>
  <si>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</si>
  <si>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</si>
  <si>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</si>
  <si>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</si>
  <si>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</si>
  <si>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</si>
  <si>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</si>
  <si>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</si>
  <si>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</si>
  <si>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</si>
  <si>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</si>
  <si>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</si>
  <si>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</si>
  <si>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</si>
  <si>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</si>
  <si>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</si>
  <si>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</si>
  <si>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</si>
  <si>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</si>
  <si>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</si>
  <si>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</si>
  <si>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</si>
  <si>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</si>
  <si>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</si>
  <si>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</si>
  <si>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</si>
  <si>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</si>
  <si>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</si>
  <si>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</si>
  <si>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</si>
  <si>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</si>
  <si>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</si>
  <si>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</si>
  <si>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</si>
  <si>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</si>
  <si>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</si>
  <si>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</si>
  <si>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</si>
  <si>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</si>
  <si>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</si>
  <si>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</si>
  <si>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</si>
  <si>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</si>
  <si>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</si>
  <si>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</si>
  <si>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</si>
  <si>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</si>
  <si>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</si>
  <si>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</si>
  <si>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</si>
  <si>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</si>
  <si>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</si>
  <si>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</si>
  <si>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</si>
  <si>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</si>
  <si>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</si>
  <si>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</si>
  <si>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</si>
  <si>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</si>
  <si>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</si>
  <si>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</si>
  <si>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</si>
  <si>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</si>
  <si>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</si>
  <si>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</si>
  <si>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</si>
  <si>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</si>
  <si>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</si>
  <si>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</si>
  <si>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</si>
  <si>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</si>
  <si>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</si>
  <si>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</si>
  <si>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</si>
  <si>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</si>
  <si>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</si>
  <si>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</si>
  <si>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</si>
  <si>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</si>
  <si>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</si>
  <si>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</si>
  <si>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</si>
  <si>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</si>
  <si>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</si>
  <si>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</si>
  <si>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</si>
  <si>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</si>
  <si>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</si>
  <si>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</si>
  <si>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</si>
  <si>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</si>
  <si>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</si>
  <si>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</si>
  <si>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</si>
  <si>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</si>
  <si>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</si>
  <si>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</si>
  <si>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</si>
  <si>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</si>
  <si>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</si>
  <si>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</si>
  <si>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</si>
  <si>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</si>
  <si>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</si>
  <si>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</si>
  <si>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</si>
  <si>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</si>
  <si>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</si>
  <si>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</si>
  <si>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</si>
  <si>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</si>
  <si>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</si>
  <si>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</si>
  <si>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</si>
  <si>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</si>
  <si>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</si>
  <si>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</si>
  <si>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</si>
  <si>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</si>
  <si>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</si>
  <si>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</si>
  <si>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</si>
  <si>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</si>
  <si>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</si>
  <si>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</si>
  <si>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</si>
  <si>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</si>
  <si>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</si>
  <si>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</si>
  <si>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</si>
  <si>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</si>
  <si>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</si>
  <si>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</si>
  <si>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</si>
  <si>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</si>
  <si>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</si>
  <si>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</si>
  <si>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</si>
  <si>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</si>
  <si>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</si>
  <si>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</si>
  <si>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</si>
  <si>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</si>
  <si>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</si>
  <si>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</si>
  <si>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</si>
  <si>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</si>
  <si>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</si>
  <si>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</si>
  <si>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</si>
  <si>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</si>
  <si>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</si>
  <si>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</si>
  <si>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</si>
  <si>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</si>
  <si>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</si>
  <si>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</si>
  <si>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</si>
  <si>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</si>
  <si>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</si>
  <si>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</si>
  <si>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</si>
  <si>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</si>
  <si>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</si>
  <si>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</si>
  <si>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</si>
  <si>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</si>
  <si>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</si>
  <si>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</si>
  <si>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</si>
  <si>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</si>
  <si>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</si>
  <si>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</si>
  <si>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</si>
  <si>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</si>
  <si>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</si>
  <si>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</si>
  <si>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</si>
  <si>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</si>
  <si>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</si>
  <si>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</si>
  <si>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</si>
  <si>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</si>
  <si>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</si>
  <si>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</si>
  <si>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</si>
  <si>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</si>
  <si>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</si>
  <si>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</si>
  <si>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</si>
  <si>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</si>
  <si>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</si>
  <si>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</si>
  <si>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</si>
  <si>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</si>
  <si>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</si>
  <si>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</si>
  <si>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</si>
  <si>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</si>
  <si>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</si>
  <si>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</si>
  <si>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</si>
  <si>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</si>
  <si>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</si>
  <si>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</si>
  <si>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</si>
  <si>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</si>
  <si>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</si>
  <si>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</si>
  <si>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</si>
  <si>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</si>
  <si>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</si>
  <si>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</si>
  <si>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</si>
  <si>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</si>
  <si>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</si>
  <si>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</si>
  <si>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</si>
  <si>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</si>
  <si>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</si>
  <si>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</si>
  <si>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</si>
  <si>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</si>
  <si>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</si>
  <si>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</si>
  <si>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</si>
  <si>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</si>
  <si>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</si>
  <si>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</si>
  <si>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</si>
  <si>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</si>
  <si>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</si>
  <si>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</si>
  <si>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</si>
  <si>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</si>
  <si>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</si>
  <si>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</si>
  <si>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</si>
  <si>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</si>
  <si>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</si>
  <si>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</si>
  <si>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</si>
  <si>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</si>
  <si>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</si>
  <si>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</si>
  <si>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</si>
  <si>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</si>
  <si>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</si>
  <si>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</si>
  <si>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</si>
  <si>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</si>
  <si>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</si>
  <si>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</si>
  <si>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</si>
  <si>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</si>
  <si>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</si>
  <si>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</si>
  <si>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</si>
  <si>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</si>
  <si>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</si>
  <si>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</si>
  <si>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</si>
  <si>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</si>
  <si>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</si>
  <si>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</si>
  <si>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</si>
  <si>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</si>
  <si>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</si>
  <si>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</si>
  <si>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</si>
  <si>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</si>
  <si>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</si>
  <si>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</si>
  <si>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</si>
  <si>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</si>
  <si>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</si>
  <si>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</si>
  <si>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</si>
  <si>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</si>
  <si>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</si>
  <si>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</si>
  <si>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</si>
  <si>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</si>
  <si>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</si>
  <si>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</si>
  <si>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</si>
  <si>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</si>
  <si>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</si>
  <si>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</si>
  <si>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</si>
  <si>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</si>
  <si>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</si>
  <si>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</si>
  <si>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</si>
  <si>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</si>
  <si>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</si>
  <si>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</si>
  <si>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</si>
  <si>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</si>
  <si>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</si>
  <si>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</si>
  <si>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</si>
  <si>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</si>
  <si>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</si>
  <si>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</si>
  <si>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</si>
  <si>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</si>
  <si>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</si>
  <si>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</si>
  <si>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</si>
  <si>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</si>
  <si>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</si>
  <si>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</si>
  <si>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</si>
  <si>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</si>
  <si>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</si>
  <si>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</si>
  <si>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</si>
  <si>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</si>
  <si>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</si>
  <si>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</si>
  <si>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</si>
  <si>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</si>
  <si>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</si>
  <si>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</si>
  <si>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</si>
  <si>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</si>
  <si>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</si>
  <si>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</si>
  <si>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</si>
  <si>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</si>
  <si>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</si>
  <si>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</si>
  <si>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</si>
  <si>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</si>
  <si>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</si>
  <si>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</si>
  <si>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</si>
  <si>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</si>
  <si>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</si>
  <si>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</si>
  <si>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</si>
  <si>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</si>
  <si>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</si>
  <si>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</si>
  <si>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</si>
  <si>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</si>
  <si>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</si>
  <si>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</si>
  <si>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</si>
  <si>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</si>
  <si>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</si>
  <si>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</si>
  <si>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</si>
  <si>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</si>
  <si>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</si>
  <si>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</si>
  <si>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</si>
  <si>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</si>
  <si>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</si>
  <si>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</si>
  <si>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</si>
  <si>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</si>
  <si>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</si>
  <si>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</si>
  <si>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</si>
  <si>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</si>
  <si>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</si>
  <si>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</si>
  <si>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</si>
  <si>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</si>
  <si>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</si>
  <si>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</si>
  <si>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</si>
  <si>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</si>
  <si>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</si>
  <si>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</si>
  <si>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</si>
  <si>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</si>
  <si>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</si>
  <si>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</si>
  <si>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</si>
  <si>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</si>
  <si>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</si>
  <si>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</si>
  <si>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</si>
  <si>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</si>
  <si>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</si>
  <si>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</si>
  <si>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</si>
  <si>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</si>
  <si>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</si>
  <si>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</si>
  <si>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</si>
  <si>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</si>
  <si>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</si>
  <si>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</si>
  <si>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</si>
  <si>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</si>
  <si>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</si>
  <si>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</si>
  <si>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</si>
  <si>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</si>
  <si>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</si>
  <si>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</si>
  <si>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</si>
  <si>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</si>
  <si>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</si>
  <si>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</si>
  <si>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</si>
  <si>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</si>
  <si>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</si>
  <si>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</si>
  <si>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</si>
  <si>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</si>
  <si>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</si>
  <si>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</si>
  <si>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</si>
  <si>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</si>
  <si>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</si>
  <si>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</si>
  <si>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</si>
  <si>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</si>
  <si>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</si>
  <si>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</si>
  <si>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</si>
  <si>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</si>
  <si>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</si>
  <si>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</si>
  <si>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</si>
  <si>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</si>
  <si>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</si>
  <si>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</si>
  <si>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</si>
  <si>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</si>
  <si>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</si>
  <si>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</si>
  <si>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</si>
  <si>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</si>
  <si>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</si>
  <si>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</si>
  <si>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</si>
  <si>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</si>
  <si>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</si>
  <si>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</si>
  <si>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</si>
  <si>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</si>
  <si>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</si>
  <si>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</si>
  <si>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</si>
  <si>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</si>
  <si>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</si>
  <si>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</si>
  <si>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</si>
  <si>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</si>
  <si>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</si>
  <si>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</si>
  <si>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</si>
  <si>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</si>
  <si>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</si>
  <si>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</si>
  <si>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</si>
  <si>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</si>
  <si>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</si>
  <si>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</si>
  <si>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</si>
  <si>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</si>
  <si>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</si>
  <si>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</si>
  <si>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</si>
  <si>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</si>
  <si>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</si>
  <si>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</si>
  <si>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</si>
  <si>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</si>
  <si>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</si>
  <si>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</si>
  <si>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</si>
  <si>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</si>
  <si>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</si>
  <si>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</si>
  <si>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</si>
  <si>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</si>
  <si>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</si>
  <si>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</si>
  <si>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</si>
  <si>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</si>
  <si>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</si>
  <si>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</si>
  <si>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</si>
  <si>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</si>
  <si>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</si>
  <si>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</si>
  <si>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</si>
  <si>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</si>
  <si>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</si>
  <si>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</si>
  <si>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</si>
  <si>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</si>
  <si>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</si>
  <si>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</si>
  <si>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</si>
  <si>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</si>
  <si>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</si>
  <si>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</si>
  <si>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</si>
  <si>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</si>
  <si>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</si>
  <si>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</si>
  <si>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</si>
  <si>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</si>
  <si>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</si>
  <si>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</si>
  <si>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</si>
  <si>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</si>
  <si>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</si>
  <si>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</si>
  <si>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</si>
  <si>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</si>
  <si>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</si>
  <si>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</si>
  <si>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</si>
  <si>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</si>
  <si>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</si>
  <si>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</si>
  <si>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</si>
  <si>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</si>
  <si>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</si>
  <si>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</si>
  <si>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</si>
  <si>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</si>
  <si>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</si>
  <si>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</si>
  <si>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</si>
  <si>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</si>
  <si>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</si>
  <si>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</si>
  <si>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</si>
  <si>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</si>
  <si>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</si>
  <si>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</si>
  <si>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</si>
  <si>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</si>
  <si>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</si>
  <si>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</si>
  <si>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</si>
  <si>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</si>
  <si>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</si>
  <si>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</si>
  <si>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</si>
  <si>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</si>
  <si>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</si>
  <si>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</si>
  <si>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</si>
  <si>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</si>
  <si>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</si>
  <si>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</si>
  <si>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</si>
  <si>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</si>
  <si>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</si>
  <si>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</si>
  <si>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</si>
  <si>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</si>
  <si>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</si>
  <si>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</si>
  <si>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</si>
  <si>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</si>
  <si>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</si>
  <si>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</si>
  <si>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</si>
  <si>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</si>
  <si>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</si>
  <si>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</si>
  <si>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</si>
  <si>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</si>
  <si>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</si>
  <si>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</si>
  <si>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</si>
  <si>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</si>
  <si>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</si>
  <si>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</si>
  <si>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</si>
  <si>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</si>
  <si>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</si>
  <si>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</si>
  <si>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</si>
  <si>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</si>
  <si>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</si>
  <si>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</si>
  <si>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</si>
  <si>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</si>
  <si>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</si>
  <si>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</si>
  <si>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</si>
  <si>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</si>
  <si>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</si>
  <si>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</si>
  <si>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</si>
  <si>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</si>
  <si>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</si>
  <si>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</si>
  <si>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</si>
  <si>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</si>
  <si>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</si>
  <si>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</si>
  <si>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</si>
  <si>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</si>
  <si>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</si>
  <si>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</si>
  <si>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</si>
  <si>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</si>
  <si>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</si>
  <si>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</si>
  <si>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</si>
  <si>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</si>
  <si>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</si>
  <si>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</si>
  <si>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</si>
  <si>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</si>
  <si>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</si>
  <si>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</si>
  <si>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</si>
  <si>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</si>
  <si>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</si>
  <si>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</si>
  <si>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</si>
  <si>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</si>
  <si>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</si>
  <si>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</si>
  <si>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</si>
  <si>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</si>
  <si>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</si>
  <si>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</si>
  <si>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</si>
  <si>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</si>
  <si>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</si>
  <si>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</si>
  <si>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</si>
  <si>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</si>
  <si>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</si>
  <si>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</si>
  <si>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</si>
  <si>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</si>
  <si>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</si>
  <si>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</si>
  <si>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</si>
  <si>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</si>
  <si>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</si>
  <si>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</si>
  <si>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</si>
  <si>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</si>
  <si>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</si>
  <si>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</si>
  <si>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</si>
  <si>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</si>
  <si>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</si>
  <si>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</si>
  <si>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</si>
  <si>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</si>
  <si>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</si>
  <si>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</si>
  <si>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</si>
  <si>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</si>
  <si>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</si>
  <si>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</si>
  <si>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</si>
  <si>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</si>
  <si>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</si>
  <si>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</si>
  <si>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</si>
  <si>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</si>
  <si>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</si>
  <si>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</si>
  <si>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</si>
  <si>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</si>
  <si>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</si>
  <si>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</si>
  <si>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</si>
  <si>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</si>
  <si>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</si>
  <si>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</si>
  <si>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</si>
  <si>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</si>
  <si>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</si>
  <si>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</si>
  <si>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</si>
  <si>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</si>
  <si>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</si>
  <si>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</si>
  <si>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</si>
  <si>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</si>
  <si>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</si>
  <si>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</si>
  <si>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</si>
  <si>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</si>
  <si>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</si>
  <si>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</si>
  <si>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</si>
  <si>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</si>
  <si>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</si>
  <si>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</si>
  <si>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</si>
  <si>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</si>
  <si>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</si>
  <si>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</si>
  <si>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</si>
  <si>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</si>
  <si>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</si>
  <si>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</si>
  <si>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</si>
  <si>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</si>
  <si>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</si>
  <si>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</si>
  <si>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</si>
  <si>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</si>
  <si>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</si>
  <si>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</si>
  <si>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</si>
  <si>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</si>
  <si>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</si>
  <si>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</si>
  <si>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</si>
  <si>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</si>
  <si>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</si>
  <si>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</si>
  <si>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</si>
  <si>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</si>
  <si>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</si>
  <si>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</si>
  <si>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</si>
  <si>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</si>
  <si>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</si>
  <si>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</si>
  <si>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</si>
  <si>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</si>
  <si>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</si>
  <si>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</si>
  <si>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</si>
  <si>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</si>
  <si>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</si>
  <si>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</si>
  <si>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</si>
  <si>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</si>
  <si>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</si>
  <si>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</si>
  <si>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</si>
  <si>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</si>
  <si>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</si>
  <si>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</si>
  <si>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</si>
  <si>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</si>
  <si>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</si>
  <si>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</si>
  <si>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</si>
  <si>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</si>
  <si>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</si>
  <si>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</si>
  <si>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</si>
  <si>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</si>
  <si>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</si>
  <si>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</si>
  <si>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</si>
  <si>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</si>
  <si>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</si>
  <si>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</si>
  <si>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</si>
  <si>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</si>
  <si>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</si>
  <si>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</si>
  <si>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</si>
  <si>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</si>
  <si>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</si>
  <si>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</si>
  <si>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</si>
  <si>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</si>
  <si>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</si>
  <si>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</si>
  <si>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</si>
  <si>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</si>
  <si>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</si>
  <si>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</si>
  <si>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</si>
  <si>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</si>
  <si>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</si>
  <si>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</si>
  <si>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</si>
  <si>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</si>
  <si>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</si>
  <si>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</si>
  <si>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</si>
  <si>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</si>
  <si>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</si>
  <si>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</si>
  <si>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</si>
  <si>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</si>
  <si>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</si>
  <si>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</si>
  <si>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</si>
  <si>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</si>
  <si>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</si>
  <si>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</si>
  <si>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</si>
  <si>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</si>
  <si>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</si>
  <si>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</si>
  <si>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</si>
  <si>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</si>
  <si>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</si>
  <si>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</si>
  <si>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</si>
  <si>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</si>
  <si>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</si>
  <si>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</si>
  <si>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</si>
  <si>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</si>
  <si>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</si>
  <si>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</si>
  <si>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</si>
  <si>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</si>
  <si>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</si>
  <si>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</si>
  <si>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</si>
  <si>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</si>
  <si>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</si>
  <si>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</si>
  <si>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</si>
  <si>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</si>
  <si>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</si>
  <si>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</si>
  <si>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</si>
  <si>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</si>
  <si>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</si>
  <si>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</si>
  <si>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</si>
  <si>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</si>
  <si>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</si>
  <si>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</si>
  <si>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</si>
  <si>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</si>
  <si>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</si>
  <si>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</si>
  <si>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</si>
  <si>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</si>
  <si>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</si>
  <si>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</si>
  <si>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</si>
  <si>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</si>
  <si>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</si>
  <si>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</si>
  <si>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</si>
  <si>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</si>
  <si>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</si>
  <si>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</si>
  <si>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</si>
  <si>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</si>
  <si>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</si>
  <si>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</si>
  <si>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</si>
  <si>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</si>
  <si>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</si>
  <si>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</si>
  <si>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</si>
  <si>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</si>
  <si>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</si>
  <si>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</si>
  <si>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</si>
  <si>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</si>
  <si>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</si>
  <si>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</si>
  <si>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</si>
  <si>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</si>
  <si>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</si>
  <si>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</si>
  <si>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</si>
  <si>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</si>
  <si>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</si>
  <si>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</si>
  <si>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</si>
  <si>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</si>
  <si>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</si>
  <si>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</si>
  <si>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</si>
  <si>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</si>
  <si>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</si>
  <si>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</si>
  <si>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</si>
  <si>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</si>
  <si>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</si>
  <si>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</si>
  <si>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</si>
  <si>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</si>
  <si>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</si>
  <si>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</si>
  <si>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</si>
  <si>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</si>
  <si>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</si>
  <si>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</si>
  <si>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</si>
  <si>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</si>
  <si>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</si>
  <si>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</si>
  <si>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</si>
  <si>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</si>
  <si>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</si>
  <si>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</si>
  <si>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</si>
  <si>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</si>
  <si>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</si>
  <si>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</si>
  <si>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</si>
  <si>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</si>
  <si>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</si>
  <si>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</si>
  <si>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</si>
  <si>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</si>
  <si>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</si>
  <si>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</si>
  <si>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</si>
  <si>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</si>
  <si>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</si>
  <si>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</si>
  <si>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</si>
  <si>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</si>
  <si>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</si>
  <si>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</si>
  <si>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</si>
  <si>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</si>
  <si>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</si>
  <si>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</si>
  <si>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</si>
  <si>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</si>
  <si>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</si>
  <si>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</si>
  <si>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</si>
  <si>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</si>
  <si>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</si>
  <si>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</si>
  <si>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</si>
  <si>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</si>
  <si>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</si>
  <si>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</si>
  <si>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</si>
  <si>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</si>
  <si>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</si>
  <si>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</si>
  <si>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</si>
  <si>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</si>
  <si>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</si>
  <si>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</si>
  <si>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</si>
  <si>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</si>
  <si>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</si>
  <si>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</si>
  <si>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</si>
  <si>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</si>
  <si>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</si>
  <si>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</si>
  <si>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</si>
  <si>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</si>
  <si>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</si>
  <si>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</si>
  <si>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</si>
  <si>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</si>
  <si>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</si>
  <si>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</si>
  <si>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</si>
  <si>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</si>
  <si>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</si>
  <si>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</si>
  <si>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</si>
  <si>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</si>
  <si>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</si>
  <si>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</si>
  <si>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</si>
  <si>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</si>
  <si>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</si>
  <si>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</si>
  <si>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</si>
  <si>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</si>
  <si>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</si>
  <si>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</si>
  <si>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</si>
  <si>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</si>
  <si>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</si>
  <si>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</si>
  <si>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</si>
  <si>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</si>
  <si>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</si>
  <si>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</si>
  <si>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</si>
  <si>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</si>
  <si>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</si>
  <si>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</si>
  <si>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</si>
  <si>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</si>
  <si>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</si>
  <si>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</si>
  <si>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</si>
  <si>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</si>
  <si>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</si>
  <si>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</si>
  <si>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</si>
  <si>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</si>
  <si>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</si>
  <si>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</si>
  <si>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</si>
  <si>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</si>
  <si>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</si>
  <si>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</si>
  <si>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</si>
  <si>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</si>
  <si>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</si>
  <si>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</si>
  <si>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</si>
  <si>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</si>
  <si>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</si>
  <si>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</si>
  <si>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</si>
  <si>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</si>
  <si>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</si>
  <si>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</si>
  <si>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</si>
  <si>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</si>
  <si>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</si>
  <si>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</si>
  <si>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</si>
  <si>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</si>
  <si>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</si>
  <si>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</si>
  <si>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</si>
  <si>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</si>
  <si>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</si>
  <si>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</si>
  <si>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</si>
  <si>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</si>
  <si>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</si>
  <si>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</si>
  <si>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</si>
  <si>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</si>
  <si>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</si>
  <si>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</si>
  <si>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</si>
  <si>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</si>
  <si>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</si>
  <si>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</si>
  <si>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</si>
  <si>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</si>
  <si>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</si>
  <si>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</si>
  <si>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</si>
  <si>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</si>
  <si>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</si>
  <si>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</si>
  <si>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</si>
  <si>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</si>
  <si>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</si>
  <si>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</si>
  <si>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</si>
  <si>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</si>
  <si>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</si>
  <si>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</si>
  <si>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</si>
  <si>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</si>
  <si>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</si>
  <si>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</si>
  <si>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</si>
  <si>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</si>
  <si>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</si>
  <si>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</si>
  <si>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</si>
  <si>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</si>
  <si>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</si>
  <si>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</si>
  <si>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</si>
  <si>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</si>
  <si>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</si>
  <si>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</si>
  <si>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</si>
  <si>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</si>
  <si>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</si>
  <si>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</si>
  <si>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</si>
  <si>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</si>
  <si>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</si>
  <si>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</si>
  <si>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</si>
  <si>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</si>
  <si>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</si>
  <si>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</si>
  <si>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</si>
  <si>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</si>
  <si>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</si>
  <si>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</si>
  <si>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</si>
  <si>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</si>
  <si>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</si>
  <si>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</si>
  <si>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</si>
  <si>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</si>
  <si>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</si>
  <si>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</si>
  <si>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</si>
  <si>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</si>
  <si>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</si>
  <si>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</si>
  <si>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</si>
  <si>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</si>
  <si>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</si>
  <si>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</si>
  <si>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</si>
  <si>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</si>
  <si>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</si>
  <si>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</si>
  <si>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</si>
  <si>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</si>
  <si>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</si>
  <si>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</si>
  <si>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</si>
  <si>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</si>
  <si>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</si>
  <si>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</si>
  <si>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</si>
  <si>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</si>
  <si>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</si>
  <si>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</si>
  <si>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</si>
  <si>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</si>
  <si>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</si>
  <si>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</si>
  <si>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</si>
  <si>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</si>
  <si>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</si>
  <si>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</si>
  <si>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</si>
  <si>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</si>
  <si>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</si>
  <si>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</si>
  <si>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</si>
  <si>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</si>
  <si>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</si>
  <si>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</si>
  <si>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</si>
  <si>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</si>
  <si>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</si>
  <si>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</si>
  <si>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</si>
  <si>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</si>
  <si>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</si>
  <si>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</si>
  <si>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</si>
  <si>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</si>
  <si>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</si>
  <si>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</si>
  <si>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</si>
  <si>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</si>
  <si>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</si>
  <si>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</si>
  <si>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</si>
  <si>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</si>
  <si>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</si>
  <si>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</si>
  <si>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</si>
  <si>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</si>
  <si>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</si>
  <si>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</si>
  <si>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</si>
  <si>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</si>
  <si>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</si>
  <si>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</si>
  <si>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</si>
  <si>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</si>
  <si>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</si>
  <si>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</si>
  <si>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</si>
  <si>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</si>
  <si>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</si>
  <si>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</si>
  <si>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</si>
  <si>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</si>
  <si>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</si>
  <si>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</si>
  <si>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</si>
  <si>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</si>
  <si>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</si>
  <si>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</si>
  <si>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</si>
  <si>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</si>
  <si>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</si>
  <si>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</si>
  <si>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</si>
  <si>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</si>
  <si>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</si>
  <si>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</si>
  <si>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</si>
  <si>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</si>
  <si>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</si>
  <si>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</si>
  <si>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</si>
  <si>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</si>
  <si>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</si>
  <si>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</si>
  <si>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</si>
  <si>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</si>
  <si>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</si>
  <si>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</si>
  <si>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</si>
  <si>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</si>
  <si>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</si>
  <si>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</si>
  <si>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</si>
  <si>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</si>
  <si>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</si>
  <si>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</si>
  <si>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</si>
  <si>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</si>
  <si>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</si>
  <si>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</si>
  <si>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</si>
  <si>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</si>
  <si>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</si>
  <si>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</si>
  <si>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</si>
  <si>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</si>
  <si>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</si>
  <si>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</si>
  <si>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</si>
  <si>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</si>
  <si>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</si>
  <si>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</si>
  <si>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</si>
  <si>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</si>
  <si>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</si>
  <si>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</si>
  <si>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</si>
  <si>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</si>
  <si>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</si>
  <si>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</si>
  <si>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</si>
  <si>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</si>
  <si>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</si>
  <si>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</si>
  <si>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</si>
  <si>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</si>
  <si>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</si>
  <si>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</si>
  <si>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</si>
  <si>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</si>
  <si>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</si>
  <si>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</si>
  <si>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</si>
  <si>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</si>
  <si>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</si>
  <si>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</si>
  <si>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</si>
  <si>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</si>
  <si>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</si>
  <si>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</si>
  <si>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</si>
  <si>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</si>
  <si>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</si>
  <si>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</si>
  <si>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</si>
  <si>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</si>
  <si>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</si>
  <si>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</si>
  <si>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</si>
  <si>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</si>
  <si>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</si>
  <si>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</si>
  <si>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</si>
  <si>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</si>
  <si>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</si>
  <si>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</si>
  <si>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</si>
  <si>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</si>
  <si>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</si>
  <si>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</si>
  <si>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</si>
  <si>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</si>
  <si>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</si>
  <si>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</si>
  <si>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</si>
  <si>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</si>
  <si>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</si>
  <si>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</si>
  <si>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</si>
  <si>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</si>
  <si>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</si>
  <si>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</si>
  <si>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</si>
  <si>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</si>
  <si>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</si>
  <si>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</si>
  <si>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</si>
  <si>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</si>
  <si>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</si>
  <si>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</si>
  <si>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</si>
  <si>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</si>
  <si>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</si>
  <si>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</si>
  <si>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</si>
  <si>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</si>
  <si>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</si>
  <si>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</si>
  <si>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</si>
  <si>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</si>
  <si>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</si>
  <si>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</si>
  <si>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</si>
  <si>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</si>
  <si>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</si>
  <si>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</si>
  <si>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</si>
  <si>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</si>
  <si>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</si>
  <si>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</si>
  <si>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</si>
  <si>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</si>
  <si>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</si>
  <si>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</si>
  <si>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</si>
  <si>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</si>
  <si>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</si>
  <si>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</si>
  <si>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</si>
  <si>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</si>
  <si>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</si>
  <si>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</si>
  <si>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</si>
  <si>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</si>
  <si>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</si>
  <si>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</si>
  <si>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</si>
  <si>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</si>
  <si>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</si>
  <si>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</si>
  <si>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</si>
  <si>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</si>
  <si>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</si>
  <si>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</si>
  <si>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</si>
  <si>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</si>
  <si>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</si>
  <si>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</si>
  <si>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</si>
  <si>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</si>
  <si>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</si>
  <si>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</si>
  <si>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</si>
  <si>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</si>
  <si>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</si>
  <si>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</si>
  <si>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</si>
  <si>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</si>
  <si>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</si>
  <si>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</si>
  <si>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</si>
  <si>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</si>
  <si>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</si>
  <si>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</si>
  <si>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</si>
  <si>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</si>
  <si>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</si>
  <si>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</si>
  <si>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</si>
  <si>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</si>
  <si>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</si>
  <si>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</si>
  <si>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</si>
  <si>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</si>
  <si>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</si>
  <si>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</si>
  <si>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</si>
  <si>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</si>
  <si>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</si>
  <si>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</si>
  <si>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</si>
  <si>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</si>
  <si>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</si>
  <si>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</si>
  <si>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</si>
  <si>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</si>
  <si>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</si>
  <si>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</si>
  <si>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</si>
  <si>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</si>
  <si>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</si>
  <si>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</si>
  <si>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</si>
  <si>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</si>
  <si>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</si>
  <si>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</si>
  <si>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</si>
  <si>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</si>
  <si>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</si>
  <si>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</si>
  <si>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</si>
  <si>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</si>
  <si>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</si>
  <si>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</si>
  <si>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</si>
  <si>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</si>
  <si>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</si>
  <si>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</si>
  <si>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</si>
  <si>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</si>
  <si>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</si>
  <si>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</si>
  <si>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</si>
  <si>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</si>
  <si>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</si>
  <si>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</si>
  <si>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</si>
  <si>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</si>
  <si>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</si>
  <si>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</si>
  <si>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</si>
  <si>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</si>
  <si>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</si>
  <si>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</si>
  <si>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</si>
  <si>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</si>
  <si>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</si>
  <si>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</si>
  <si>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</si>
  <si>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</si>
  <si>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</si>
  <si>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</si>
  <si>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</si>
  <si>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</si>
  <si>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</si>
  <si>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</si>
  <si>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</si>
  <si>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</si>
  <si>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</si>
  <si>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</si>
  <si>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</si>
  <si>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</si>
  <si>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</si>
  <si>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</si>
  <si>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</si>
  <si>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</si>
  <si>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</si>
  <si>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</si>
  <si>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</si>
  <si>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</si>
  <si>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</si>
  <si>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</si>
  <si>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</si>
  <si>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</si>
  <si>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</si>
  <si>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</si>
  <si>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</si>
  <si>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</si>
  <si>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</si>
  <si>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</si>
  <si>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</si>
  <si>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</si>
  <si>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</si>
  <si>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</si>
  <si>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</si>
  <si>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</si>
  <si>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</si>
  <si>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</si>
  <si>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</si>
  <si>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</si>
  <si>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</si>
  <si>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</si>
  <si>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</si>
  <si>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</si>
  <si>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</si>
  <si>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</si>
  <si>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</si>
  <si>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</si>
  <si>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</si>
  <si>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</si>
  <si>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</si>
  <si>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</si>
  <si>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</si>
  <si>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</si>
  <si>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</si>
  <si>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</si>
  <si>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</si>
  <si>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</si>
  <si>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</si>
  <si>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</si>
  <si>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</si>
  <si>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</si>
  <si>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</si>
  <si>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</si>
  <si>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</si>
  <si>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</si>
  <si>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</si>
  <si>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</si>
  <si>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</si>
  <si>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</si>
  <si>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</si>
  <si>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</si>
  <si>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</si>
  <si>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</si>
  <si>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</si>
  <si>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</si>
  <si>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</si>
  <si>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</si>
  <si>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</si>
  <si>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</si>
  <si>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</si>
  <si>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</si>
  <si>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</si>
  <si>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</si>
  <si>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</si>
  <si>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</si>
  <si>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</si>
  <si>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</si>
  <si>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</si>
  <si>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</si>
  <si>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</si>
  <si>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</si>
  <si>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</si>
  <si>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</si>
  <si>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</si>
  <si>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</si>
  <si>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</si>
  <si>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</si>
  <si>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</si>
  <si>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</si>
  <si>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</si>
  <si>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</si>
  <si>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</si>
  <si>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</si>
  <si>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</si>
  <si>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</si>
  <si>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</si>
  <si>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</si>
  <si>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</si>
  <si>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</si>
  <si>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</si>
  <si>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</si>
  <si>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</si>
  <si>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</si>
  <si>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</si>
  <si>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</si>
  <si>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</si>
  <si>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</si>
  <si>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</si>
  <si>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</si>
  <si>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</si>
  <si>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</si>
  <si>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</si>
  <si>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</si>
  <si>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</si>
  <si>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</si>
  <si>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</si>
  <si>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</si>
  <si>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</si>
  <si>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</si>
  <si>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</si>
  <si>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</si>
  <si>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</si>
  <si>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</si>
  <si>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</si>
  <si>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</si>
  <si>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</si>
  <si>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</si>
  <si>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</si>
  <si>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</si>
  <si>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</si>
  <si>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</si>
  <si>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</si>
  <si>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</si>
  <si>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</si>
  <si>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</si>
  <si>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</si>
  <si>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</si>
  <si>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</si>
  <si>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</si>
  <si>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</si>
  <si>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</si>
  <si>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</si>
  <si>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</si>
  <si>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</si>
  <si>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</si>
  <si>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</si>
  <si>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</si>
  <si>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</si>
  <si>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</si>
  <si>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</si>
  <si>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</si>
  <si>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</si>
  <si>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</si>
  <si>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</si>
  <si>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</si>
  <si>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</si>
  <si>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</si>
  <si>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</si>
  <si>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</si>
  <si>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</si>
  <si>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</si>
  <si>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</si>
  <si>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</si>
  <si>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</si>
  <si>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</si>
  <si>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</si>
  <si>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</si>
  <si>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</si>
  <si>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</si>
  <si>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</si>
  <si>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</si>
  <si>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</si>
  <si>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</si>
  <si>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</si>
  <si>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</si>
  <si>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</si>
  <si>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</si>
  <si>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</si>
  <si>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</si>
  <si>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</si>
  <si>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</si>
  <si>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</si>
  <si>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</si>
  <si>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</si>
  <si>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</si>
  <si>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</si>
  <si>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</si>
  <si>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</si>
  <si>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</si>
  <si>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</si>
  <si>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</si>
  <si>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</si>
  <si>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</si>
  <si>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</si>
  <si>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</si>
  <si>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</si>
  <si>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</si>
  <si>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</si>
  <si>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</si>
  <si>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</si>
  <si>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</si>
  <si>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</si>
  <si>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</si>
  <si>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</si>
  <si>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</si>
  <si>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</si>
  <si>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</si>
  <si>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</si>
  <si>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</si>
  <si>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</si>
  <si>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</si>
  <si>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</si>
  <si>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</si>
  <si>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</si>
  <si>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</si>
  <si>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</si>
  <si>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</si>
  <si>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</si>
  <si>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</si>
  <si>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</si>
  <si>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</si>
  <si>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</si>
  <si>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</si>
  <si>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</si>
  <si>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</si>
  <si>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</si>
  <si>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</si>
  <si>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</si>
  <si>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</si>
  <si>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</si>
  <si>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</si>
  <si>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</si>
  <si>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</si>
  <si>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</si>
  <si>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</si>
  <si>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</si>
  <si>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</si>
  <si>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</si>
  <si>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</si>
  <si>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</si>
  <si>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</si>
  <si>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</si>
  <si>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</si>
  <si>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</si>
  <si>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</si>
  <si>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</si>
  <si>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</si>
  <si>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</si>
  <si>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</si>
  <si>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</si>
  <si>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</si>
  <si>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</si>
  <si>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</si>
  <si>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</si>
  <si>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</si>
  <si>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</si>
  <si>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</si>
  <si>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</si>
  <si>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</si>
  <si>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</si>
  <si>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</si>
  <si>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</si>
  <si>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</si>
  <si>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</si>
  <si>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</si>
  <si>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</si>
  <si>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</si>
  <si>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</si>
  <si>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</si>
  <si>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</si>
  <si>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</si>
  <si>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</si>
  <si>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</si>
  <si>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</si>
  <si>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</si>
  <si>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</si>
  <si>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</si>
  <si>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</si>
  <si>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</si>
  <si>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</si>
  <si>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</si>
  <si>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</si>
  <si>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</si>
  <si>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</si>
  <si>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</si>
  <si>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</si>
  <si>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</si>
  <si>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</si>
  <si>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</si>
  <si>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</si>
  <si>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</si>
  <si>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</si>
  <si>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</si>
  <si>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</si>
  <si>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</si>
  <si>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</si>
  <si>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</si>
  <si>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</si>
  <si>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</si>
  <si>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</si>
  <si>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</si>
  <si>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</si>
  <si>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</si>
  <si>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</si>
  <si>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</si>
  <si>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</si>
  <si>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</si>
  <si>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</si>
  <si>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</si>
  <si>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</si>
  <si>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</si>
  <si>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</si>
  <si>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</si>
  <si>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</si>
  <si>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</si>
  <si>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</si>
  <si>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</si>
  <si>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</si>
  <si>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</si>
  <si>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</si>
  <si>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</si>
  <si>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</si>
  <si>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</si>
  <si>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</si>
  <si>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</si>
  <si>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</si>
  <si>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</si>
  <si>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</si>
  <si>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</si>
  <si>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</si>
  <si>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</si>
  <si>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</si>
  <si>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</si>
  <si>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</si>
  <si>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</si>
  <si>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</si>
  <si>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</si>
  <si>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</si>
  <si>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</si>
  <si>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</si>
  <si>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</si>
  <si>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</si>
  <si>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</si>
  <si>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</si>
  <si>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</si>
  <si>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</si>
  <si>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</si>
  <si>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</si>
  <si>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</si>
  <si>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</si>
  <si>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</si>
  <si>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</si>
  <si>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</si>
  <si>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</si>
  <si>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</si>
  <si>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</si>
  <si>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</si>
  <si>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</si>
  <si>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</si>
  <si>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</si>
  <si>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</si>
  <si>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</si>
  <si>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</si>
  <si>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</si>
  <si>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</si>
  <si>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</si>
  <si>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</si>
  <si>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</si>
  <si>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</si>
  <si>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</si>
  <si>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</si>
  <si>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</si>
  <si>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</si>
  <si>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</si>
  <si>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</si>
  <si>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</si>
  <si>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</si>
  <si>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</si>
  <si>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</si>
  <si>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</si>
  <si>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</si>
  <si>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</si>
  <si>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</si>
  <si>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</si>
  <si>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</si>
  <si>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</si>
  <si>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</si>
  <si>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</si>
  <si>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</si>
  <si>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</si>
  <si>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</si>
  <si>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</si>
  <si>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</si>
  <si>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</si>
  <si>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</si>
  <si>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</si>
  <si>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</si>
  <si>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</si>
  <si>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</si>
  <si>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</si>
  <si>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</si>
  <si>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</si>
  <si>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</si>
  <si>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</si>
  <si>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</si>
  <si>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</si>
  <si>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</si>
  <si>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</si>
  <si>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</si>
  <si>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</si>
  <si>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</si>
  <si>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</si>
  <si>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</si>
  <si>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</si>
  <si>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</si>
  <si>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</si>
  <si>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</si>
  <si>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</si>
  <si>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</si>
  <si>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</si>
  <si>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</si>
  <si>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</si>
  <si>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</si>
  <si>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</si>
  <si>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</si>
  <si>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</si>
  <si>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</si>
  <si>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</si>
  <si>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</si>
  <si>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</si>
  <si>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</si>
  <si>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</si>
  <si>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</si>
  <si>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</si>
  <si>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</si>
  <si>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</si>
  <si>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</si>
  <si>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</si>
  <si>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</si>
  <si>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</si>
  <si>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</si>
  <si>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</si>
  <si>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</si>
  <si>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</si>
  <si>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</si>
  <si>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</si>
  <si>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</si>
  <si>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</si>
  <si>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</si>
  <si>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</si>
  <si>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</si>
  <si>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</si>
  <si>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</si>
  <si>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</si>
  <si>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</si>
  <si>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</si>
  <si>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</si>
  <si>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</si>
  <si>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</si>
  <si>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</si>
  <si>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</si>
  <si>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</si>
  <si>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</si>
  <si>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</si>
  <si>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</si>
  <si>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</si>
  <si>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</si>
  <si>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</si>
  <si>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</si>
  <si>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</si>
  <si>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</si>
  <si>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</si>
  <si>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</si>
  <si>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</si>
  <si>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</si>
  <si>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</si>
  <si>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</si>
  <si>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</si>
  <si>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</si>
  <si>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</si>
  <si>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</si>
  <si>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</si>
  <si>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</si>
  <si>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</si>
  <si>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</si>
  <si>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</si>
  <si>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</si>
  <si>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</si>
  <si>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</si>
  <si>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</si>
  <si>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</si>
  <si>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</si>
  <si>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</si>
  <si>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</si>
  <si>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</si>
  <si>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</si>
  <si>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</si>
  <si>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</si>
  <si>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</si>
  <si>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</si>
  <si>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</si>
  <si>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</si>
  <si>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</si>
  <si>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</si>
  <si>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</si>
  <si>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</si>
  <si>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</si>
  <si>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</si>
  <si>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</si>
  <si>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</si>
  <si>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</si>
  <si>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</si>
  <si>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</si>
  <si>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</si>
  <si>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</si>
  <si>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</si>
  <si>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</si>
  <si>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</si>
  <si>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</si>
  <si>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</si>
  <si>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</si>
  <si>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</si>
  <si>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</si>
  <si>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</si>
  <si>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</si>
  <si>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</si>
  <si>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</si>
  <si>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</si>
  <si>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</si>
  <si>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</si>
  <si>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</si>
  <si>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</si>
  <si>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</si>
  <si>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</si>
  <si>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</si>
  <si>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</si>
  <si>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</si>
  <si>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</si>
  <si>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</si>
  <si>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</si>
  <si>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</si>
  <si>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</si>
  <si>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</si>
  <si>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</si>
  <si>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</si>
  <si>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</si>
  <si>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</si>
  <si>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</si>
  <si>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</si>
  <si>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</si>
  <si>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</si>
  <si>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</si>
  <si>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</si>
  <si>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</si>
  <si>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</si>
  <si>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</si>
  <si>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</si>
  <si>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</si>
  <si>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</si>
  <si>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</si>
  <si>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</si>
  <si>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</si>
  <si>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</si>
  <si>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</si>
  <si>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</si>
  <si>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</si>
  <si>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</si>
  <si>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</si>
  <si>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</si>
  <si>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</si>
  <si>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</si>
  <si>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</si>
  <si>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</si>
  <si>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</si>
  <si>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</si>
  <si>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</si>
  <si>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</si>
  <si>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</si>
  <si>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</si>
  <si>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</si>
  <si>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</si>
  <si>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</si>
  <si>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</si>
  <si>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</si>
  <si>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</si>
  <si>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</si>
  <si>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</si>
  <si>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</si>
  <si>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</si>
  <si>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</si>
  <si>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</si>
  <si>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</si>
  <si>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</si>
  <si>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</si>
  <si>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</si>
  <si>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</si>
  <si>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</si>
  <si>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</si>
  <si>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</si>
  <si>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</si>
  <si>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</si>
  <si>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</si>
  <si>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</si>
  <si>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</si>
  <si>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</si>
  <si>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</si>
  <si>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</si>
  <si>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</si>
  <si>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</si>
  <si>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</si>
  <si>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</si>
  <si>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</si>
  <si>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</si>
  <si>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</si>
  <si>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</si>
  <si>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</si>
  <si>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</si>
  <si>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</si>
  <si>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</si>
  <si>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</si>
  <si>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</si>
  <si>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</si>
  <si>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</si>
  <si>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</si>
  <si>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</si>
  <si>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</si>
  <si>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</si>
  <si>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</si>
  <si>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</si>
  <si>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</si>
  <si>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</si>
  <si>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</si>
  <si>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</si>
  <si>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</si>
  <si>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</si>
  <si>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</si>
  <si>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</si>
  <si>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</si>
  <si>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</si>
  <si>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</si>
  <si>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</si>
  <si>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</si>
  <si>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</si>
  <si>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</si>
  <si>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</si>
  <si>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</si>
  <si>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</si>
  <si>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</si>
  <si>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</si>
  <si>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</si>
  <si>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</si>
  <si>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</si>
  <si>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</si>
  <si>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</si>
  <si>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</si>
  <si>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</si>
  <si>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</si>
  <si>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</si>
  <si>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</si>
  <si>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</si>
  <si>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</si>
  <si>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</si>
  <si>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</si>
  <si>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</si>
  <si>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</si>
  <si>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</si>
  <si>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</si>
  <si>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</si>
  <si>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</si>
  <si>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</si>
  <si>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</si>
  <si>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</si>
  <si>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</si>
  <si>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</si>
  <si>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</si>
  <si>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</si>
  <si>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</si>
  <si>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</si>
  <si>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</si>
  <si>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</si>
  <si>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</si>
  <si>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</si>
  <si>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</si>
  <si>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</si>
  <si>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</si>
  <si>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</si>
  <si>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</si>
  <si>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</si>
  <si>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</si>
  <si>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</si>
  <si>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</si>
  <si>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</si>
  <si>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</si>
  <si>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</si>
  <si>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</si>
  <si>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</si>
  <si>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</si>
  <si>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</si>
  <si>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</si>
  <si>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</si>
  <si>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</si>
  <si>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</si>
  <si>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</si>
  <si>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</si>
  <si>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</si>
  <si>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</si>
  <si>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</si>
  <si>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</si>
  <si>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</si>
  <si>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</si>
  <si>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</si>
  <si>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</si>
  <si>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</si>
  <si>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</si>
  <si>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</si>
  <si>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</si>
  <si>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</si>
  <si>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</si>
  <si>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</si>
  <si>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</si>
  <si>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</si>
  <si>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</si>
  <si>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</si>
  <si>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</si>
  <si>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</si>
  <si>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</si>
  <si>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</si>
  <si>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</si>
  <si>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</si>
  <si>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</si>
  <si>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</si>
  <si>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</si>
  <si>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</si>
  <si>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</si>
  <si>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</si>
  <si>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</si>
  <si>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</si>
  <si>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</si>
  <si>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</si>
  <si>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</si>
  <si>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</si>
  <si>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</si>
  <si>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</si>
  <si>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</si>
  <si>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</si>
  <si>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</si>
  <si>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</si>
  <si>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</si>
  <si>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</si>
  <si>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</si>
  <si>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</si>
  <si>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</si>
  <si>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</si>
  <si>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</si>
  <si>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</si>
  <si>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</si>
  <si>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</si>
  <si>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</si>
  <si>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</si>
  <si>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</si>
  <si>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</si>
  <si>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</si>
  <si>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</si>
  <si>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</si>
  <si>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</si>
  <si>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</si>
  <si>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</si>
  <si>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</si>
  <si>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</si>
  <si>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</si>
  <si>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</si>
  <si>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</si>
  <si>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</si>
  <si>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</si>
  <si>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</si>
  <si>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</si>
  <si>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</si>
  <si>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</si>
  <si>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</si>
  <si>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</si>
  <si>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</si>
  <si>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</si>
  <si>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</si>
  <si>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</si>
  <si>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</si>
  <si>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</si>
  <si>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</si>
  <si>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</si>
  <si>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</si>
  <si>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</si>
  <si>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</si>
  <si>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</si>
  <si>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</si>
  <si>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</si>
  <si>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</si>
  <si>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</si>
  <si>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</si>
  <si>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</si>
  <si>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</si>
  <si>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</si>
  <si>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</si>
  <si>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</si>
  <si>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</si>
  <si>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</si>
  <si>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</si>
  <si>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</si>
  <si>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</si>
  <si>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</si>
  <si>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</si>
  <si>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</si>
  <si>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</si>
  <si>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</si>
  <si>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</si>
  <si>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</si>
  <si>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</si>
  <si>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</si>
  <si>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</si>
  <si>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</si>
  <si>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</si>
  <si>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</si>
  <si>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</si>
  <si>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</si>
  <si>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</si>
  <si>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</si>
  <si>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</si>
  <si>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</si>
  <si>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</si>
  <si>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</si>
  <si>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</si>
  <si>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</si>
  <si>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</si>
  <si>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</si>
  <si>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</si>
  <si>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</si>
  <si>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</si>
  <si>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</si>
  <si>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</si>
  <si>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</si>
  <si>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</si>
  <si>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</si>
  <si>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</si>
  <si>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</si>
  <si>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</si>
  <si>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</si>
  <si>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</si>
  <si>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</si>
  <si>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</si>
  <si>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</si>
  <si>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</si>
  <si>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</si>
  <si>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</si>
  <si>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</si>
  <si>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</si>
  <si>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</si>
  <si>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</si>
  <si>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</si>
  <si>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</si>
  <si>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</si>
  <si>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</si>
  <si>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</si>
  <si>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</si>
  <si>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</si>
  <si>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</si>
  <si>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</si>
  <si>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</si>
  <si>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</si>
  <si>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</si>
  <si>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</si>
  <si>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</si>
  <si>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</si>
  <si>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</si>
  <si>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</si>
  <si>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</si>
  <si>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</si>
  <si>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</si>
  <si>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</si>
  <si>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</si>
  <si>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</si>
  <si>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</si>
  <si>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</si>
  <si>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</si>
  <si>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</si>
  <si>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</si>
  <si>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</si>
  <si>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</si>
  <si>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</si>
  <si>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</si>
  <si>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</si>
  <si>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</si>
  <si>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</si>
  <si>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</si>
  <si>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</si>
  <si>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</si>
  <si>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</si>
  <si>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</si>
  <si>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</si>
  <si>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</si>
  <si>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</si>
  <si>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</si>
  <si>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</si>
  <si>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</si>
  <si>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</si>
  <si>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</si>
  <si>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</si>
  <si>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</si>
  <si>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</si>
  <si>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</si>
  <si>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</si>
  <si>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</si>
  <si>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</si>
  <si>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</si>
  <si>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</si>
  <si>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</si>
  <si>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</si>
  <si>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</si>
  <si>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</si>
  <si>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</si>
  <si>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</si>
  <si>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</si>
  <si>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</si>
  <si>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</si>
  <si>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</si>
  <si>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</si>
  <si>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</si>
  <si>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</si>
  <si>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</si>
  <si>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</si>
  <si>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</si>
  <si>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</si>
  <si>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</si>
  <si>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</si>
  <si>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</si>
  <si>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</si>
  <si>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</si>
  <si>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</si>
  <si>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</si>
  <si>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</si>
  <si>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</si>
  <si>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</si>
  <si>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</si>
  <si>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</si>
  <si>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</si>
  <si>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</si>
  <si>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</si>
  <si>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</si>
  <si>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</si>
  <si>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</si>
  <si>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</si>
  <si>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</si>
  <si>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</si>
  <si>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</si>
  <si>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</si>
  <si>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</si>
  <si>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</si>
  <si>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</si>
  <si>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</si>
  <si>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</si>
  <si>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</si>
  <si>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</si>
  <si>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</si>
  <si>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</si>
  <si>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</si>
  <si>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</si>
  <si>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</si>
  <si>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</si>
  <si>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</si>
  <si>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</si>
  <si>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</si>
  <si>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</si>
  <si>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</si>
  <si>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</si>
  <si>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</si>
  <si>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</si>
  <si>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</si>
  <si>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</si>
  <si>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</si>
  <si>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</si>
  <si>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</si>
  <si>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</si>
  <si>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</si>
  <si>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</si>
  <si>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</si>
  <si>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</si>
  <si>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</si>
  <si>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</si>
  <si>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</si>
  <si>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</si>
  <si>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</si>
  <si>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</si>
  <si>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</si>
  <si>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</si>
  <si>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</si>
  <si>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</si>
  <si>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</si>
  <si>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</si>
  <si>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</si>
  <si>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</si>
  <si>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</si>
  <si>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</si>
  <si>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</si>
  <si>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</si>
  <si>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</si>
  <si>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</si>
  <si>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</si>
  <si>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</si>
  <si>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</si>
  <si>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</si>
  <si>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</si>
  <si>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</si>
  <si>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</si>
  <si>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</si>
  <si>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</si>
  <si>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</si>
  <si>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</si>
  <si>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</si>
  <si>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</si>
  <si>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</si>
  <si>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</si>
  <si>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</si>
  <si>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</si>
  <si>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</si>
  <si>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</si>
  <si>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</si>
  <si>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</si>
  <si>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</si>
  <si>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</si>
  <si>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</si>
  <si>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</si>
  <si>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</si>
  <si>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</si>
  <si>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</si>
  <si>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</si>
  <si>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</si>
  <si>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</si>
  <si>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</si>
  <si>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</si>
  <si>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</si>
  <si>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</si>
  <si>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</si>
  <si>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</si>
  <si>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</si>
  <si>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</si>
  <si>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</si>
  <si>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</si>
  <si>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</si>
  <si>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</si>
  <si>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</si>
  <si>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</si>
  <si>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</si>
  <si>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</si>
  <si>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</si>
  <si>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</si>
  <si>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</si>
  <si>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</si>
  <si>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</si>
  <si>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</si>
  <si>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</si>
  <si>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</si>
  <si>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</si>
  <si>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</si>
  <si>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</si>
  <si>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</si>
  <si>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</si>
  <si>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</si>
  <si>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</si>
  <si>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</si>
  <si>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</si>
  <si>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</si>
  <si>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</si>
  <si>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</si>
  <si>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</si>
  <si>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</si>
  <si>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</si>
  <si>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</si>
  <si>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</si>
  <si>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</si>
  <si>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</si>
  <si>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</si>
  <si>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</si>
  <si>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</si>
  <si>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</si>
  <si>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</si>
  <si>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</si>
  <si>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</si>
  <si>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</si>
  <si>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</si>
  <si>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</si>
  <si>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</si>
  <si>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</si>
  <si>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</si>
  <si>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</si>
  <si>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</si>
  <si>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</si>
  <si>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</si>
  <si>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</si>
  <si>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</si>
  <si>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</si>
  <si>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</si>
  <si>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</si>
  <si>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</si>
  <si>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</si>
  <si>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</si>
  <si>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</si>
  <si>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</si>
  <si>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</si>
  <si>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</si>
  <si>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</si>
  <si>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</si>
  <si>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</si>
  <si>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</si>
  <si>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</si>
  <si>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</si>
  <si>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</si>
  <si>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</si>
  <si>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</si>
  <si>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</si>
  <si>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</si>
  <si>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</si>
  <si>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</si>
  <si>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</si>
  <si>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</si>
  <si>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</si>
  <si>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</si>
  <si>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</si>
  <si>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</si>
  <si>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</si>
  <si>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</si>
  <si>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</si>
  <si>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</si>
  <si>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</si>
  <si>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</si>
  <si>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</si>
  <si>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</si>
  <si>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</si>
  <si>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</si>
  <si>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</si>
  <si>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</si>
  <si>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</si>
  <si>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</si>
  <si>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</si>
  <si>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</si>
  <si>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</si>
  <si>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</si>
  <si>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</si>
  <si>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</si>
  <si>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</si>
  <si>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</si>
  <si>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</si>
  <si>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</si>
  <si>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</si>
  <si>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</si>
  <si>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</si>
  <si>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</si>
  <si>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</si>
  <si>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</si>
  <si>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</si>
  <si>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</si>
  <si>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</si>
  <si>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</si>
  <si>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</si>
  <si>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</si>
  <si>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</si>
  <si>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</si>
  <si>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</si>
  <si>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</si>
  <si>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</si>
  <si>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</si>
  <si>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</si>
  <si>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</si>
  <si>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</si>
  <si>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</si>
  <si>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</si>
  <si>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</si>
  <si>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</si>
  <si>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</si>
  <si>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</si>
  <si>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</si>
  <si>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</si>
  <si>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</si>
  <si>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</si>
  <si>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</si>
  <si>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</si>
  <si>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</si>
  <si>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</si>
  <si>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</si>
  <si>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</si>
  <si>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</si>
  <si>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</si>
  <si>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</si>
  <si>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</si>
  <si>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</si>
  <si>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</si>
  <si>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</si>
  <si>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</si>
  <si>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</si>
  <si>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</si>
  <si>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</si>
  <si>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</si>
  <si>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</si>
  <si>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</si>
  <si>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</si>
  <si>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</si>
  <si>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</si>
  <si>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</si>
  <si>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</si>
  <si>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</si>
  <si>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</si>
  <si>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</si>
  <si>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</si>
  <si>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</si>
  <si>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</si>
  <si>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</si>
  <si>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</si>
  <si>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</si>
  <si>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</si>
  <si>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</si>
  <si>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</si>
  <si>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</si>
  <si>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</si>
  <si>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</si>
  <si>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</si>
  <si>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</si>
  <si>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</si>
  <si>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</si>
  <si>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</si>
  <si>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</si>
  <si>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</si>
  <si>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</si>
  <si>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</si>
  <si>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</si>
  <si>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</si>
  <si>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</si>
  <si>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</si>
  <si>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</si>
  <si>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</si>
  <si>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</si>
  <si>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</si>
  <si>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</si>
  <si>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</si>
  <si>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</si>
  <si>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</si>
  <si>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</si>
  <si>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</si>
  <si>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</si>
  <si>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</si>
  <si>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</si>
  <si>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</si>
  <si>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</si>
  <si>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</si>
  <si>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</si>
  <si>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</si>
  <si>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</si>
  <si>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</si>
  <si>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</si>
  <si>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</si>
  <si>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</si>
  <si>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</si>
  <si>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</si>
  <si>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</si>
  <si>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</si>
  <si>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</si>
  <si>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</si>
  <si>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</si>
  <si>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</si>
  <si>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</si>
  <si>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</si>
  <si>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</si>
  <si>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</si>
  <si>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</si>
  <si>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</si>
  <si>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</si>
  <si>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</si>
  <si>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</si>
  <si>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</si>
  <si>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</si>
  <si>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</si>
  <si>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</si>
  <si>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</si>
  <si>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</si>
  <si>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</si>
  <si>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</si>
  <si>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</si>
  <si>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</si>
  <si>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</si>
  <si>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</si>
  <si>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</si>
  <si>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</si>
  <si>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</si>
  <si>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</si>
  <si>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</si>
  <si>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</si>
  <si>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</si>
  <si>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</si>
  <si>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</si>
  <si>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</si>
  <si>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</si>
  <si>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</si>
  <si>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</si>
  <si>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</si>
  <si>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</si>
  <si>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</si>
  <si>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</si>
  <si>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</si>
  <si>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</si>
  <si>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</si>
  <si>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</si>
  <si>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</si>
  <si>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</si>
  <si>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</si>
  <si>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</si>
  <si>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</si>
  <si>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</si>
  <si>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</si>
  <si>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</si>
  <si>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</si>
  <si>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</si>
  <si>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</si>
  <si>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</si>
  <si>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</si>
  <si>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</si>
  <si>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</si>
  <si>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</si>
  <si>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</si>
  <si>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</si>
  <si>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</si>
  <si>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</si>
  <si>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</si>
  <si>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</si>
  <si>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</si>
  <si>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</si>
  <si>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</si>
  <si>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</si>
  <si>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</si>
  <si>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</si>
  <si>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</si>
  <si>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</si>
  <si>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</si>
  <si>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</si>
  <si>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</si>
  <si>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</si>
  <si>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</si>
  <si>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</si>
  <si>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</si>
  <si>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</si>
  <si>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</si>
  <si>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</si>
  <si>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</si>
  <si>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</si>
  <si>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</si>
  <si>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</si>
  <si>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</si>
  <si>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</si>
  <si>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</si>
  <si>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</si>
  <si>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</si>
  <si>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</si>
  <si>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</si>
  <si>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</si>
  <si>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</si>
  <si>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</si>
  <si>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</si>
  <si>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</si>
  <si>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</si>
  <si>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</si>
  <si>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</si>
  <si>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</si>
  <si>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</si>
  <si>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</si>
  <si>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</si>
  <si>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</si>
  <si>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</si>
  <si>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</si>
  <si>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</si>
  <si>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</si>
  <si>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</si>
  <si>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</si>
  <si>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</si>
  <si>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</si>
  <si>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</si>
  <si>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</si>
  <si>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</si>
  <si>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</si>
  <si>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</si>
  <si>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</si>
  <si>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</si>
  <si>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</si>
  <si>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</si>
  <si>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</si>
  <si>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</si>
  <si>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</si>
  <si>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</si>
  <si>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-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</si>
  <si>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</si>
  <si>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</si>
  <si>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</si>
  <si>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</si>
  <si>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</si>
  <si>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</si>
  <si>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</si>
  <si>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</si>
  <si>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</si>
  <si>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</si>
  <si>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</si>
  <si>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</si>
  <si>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</si>
  <si>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</si>
  <si>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</si>
  <si>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</si>
  <si>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</si>
  <si>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</si>
  <si>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</si>
  <si>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</si>
  <si>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</si>
  <si>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</si>
  <si>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</si>
  <si>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</si>
  <si>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</si>
  <si>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</si>
  <si>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</si>
  <si>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</si>
  <si>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</si>
  <si>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Queued</t>
  </si>
  <si>
    <t>607095-004-0323200</t>
  </si>
  <si>
    <t>IDBI</t>
  </si>
  <si>
    <t>Upload Fastag ImageGet HelpCheck Tag Status</t>
  </si>
  <si>
    <t>607095-004-0345961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</si>
</sst>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0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56" totalsRowShown="0" headerRowDxfId="79" dataDxfId="78">
  <autoFilter ref="A1:R256" xr:uid="{97E63F84-BDFB-4C38-B1FD-28318E0D1D3F}"/>
  <tableColumns count="18">
    <tableColumn id="1" xr3:uid="{DEBB3640-E433-4779-93BC-95B8FB492623}" name="S.NO" dataDxfId="77">
      <calculatedColumnFormula>ROW()-1</calculatedColumnFormula>
    </tableColumn>
    <tableColumn id="13" xr3:uid="{86C56767-9BFE-4154-9FC1-CEA7C183815E}" name="APPLICATION NO." dataDxfId="76"/>
    <tableColumn id="2" xr3:uid="{6ABB4EDF-0F58-40D7-979C-D37D8D91A6BC}" name="CHASSIS" dataDxfId="75"/>
    <tableColumn id="17" xr3:uid="{0BBF5E4D-B8B0-4055-8D5F-3A6BB4D4A4DA}" name="ENGINE NO." dataDxfId="74"/>
    <tableColumn id="3" xr3:uid="{285CC4F4-4CD1-4FFC-A101-ED051DA40438}" name="NAME" dataDxfId="73"/>
    <tableColumn id="4" xr3:uid="{28DC8B59-EFA0-4502-86B0-033B0B60D615}" name="MODEL" dataDxfId="72"/>
    <tableColumn id="14" xr3:uid="{B25F5A6A-3B72-4772-B75C-D86670F35131}" name="COLOR" dataDxfId="71"/>
    <tableColumn id="15" xr3:uid="{22F5E9AE-FC4E-4EBD-ADBF-5C93F85B331F}" name="RTO" dataDxfId="70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9"/>
    <tableColumn id="6" xr3:uid="{9942893D-0703-456F-8072-CD136C7B4052}" name="DATE OF REG" dataDxfId="68"/>
    <tableColumn id="12" xr3:uid="{CC83ADC7-1924-4CE0-83FB-B2DFBEF7A193}" name="CONTACT" dataDxfId="67"/>
    <tableColumn id="7" xr3:uid="{3AD2B0D9-D7A5-46E0-B596-F6B7F1CDDEA6}" name="DSE" dataDxfId="66"/>
    <tableColumn id="8" xr3:uid="{475221AE-3FDC-4CED-B76C-4DA1DD4F8AD9}" name="RC RECEIVED BY" dataDxfId="65"/>
    <tableColumn id="9" xr3:uid="{F594ED7D-6966-47AC-A5C3-25754B73A3CC}" name="DATE" dataDxfId="64"/>
    <tableColumn id="10" xr3:uid="{452E3ECD-E927-4EC7-A8A2-4A866233750E}" name="FASTTAG" dataDxfId="63"/>
    <tableColumn id="11" xr3:uid="{CFEE5573-D700-4B26-B382-BCA8210C54C2}" name="DATED" dataDxfId="62"/>
    <tableColumn id="16" xr3:uid="{07363D0C-2FBE-403B-A617-BDB5768FAC43}" name="FT STATUS" dataDxfId="61"/>
    <tableColumn id="19" xr3:uid="{9456CF5E-F4D1-41FB-BAEA-332735A8583D}" name="REMARKS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9" dataDxfId="57" headerRowBorderDxfId="58" tableBorderDxfId="56">
  <autoFilter ref="A1:U1475" xr:uid="{D370B51C-D08F-47BE-AAB1-EC19B1CB5D0A}"/>
  <tableColumns count="21">
    <tableColumn id="1" xr3:uid="{F2AB5776-2910-4922-8F7A-A29B241AFBFB}" name="S.NO" dataDxfId="55"/>
    <tableColumn id="2" xr3:uid="{BD6FD91D-E737-4D6A-B00A-D80EC1A61CA8}" name="DATE" dataDxfId="54"/>
    <tableColumn id="3" xr3:uid="{523BFE7D-9361-4DD0-92B3-69A6F8F0C3E9}" name="CUSTOMER NAME" dataDxfId="53"/>
    <tableColumn id="4" xr3:uid="{D470DE80-5E84-419F-ABF9-6269311CD45E}" name="MARUTI" dataDxfId="52"/>
    <tableColumn id="5" xr3:uid="{89C10B6F-C9EE-4AD2-A610-262BFCF29B4E}" name="MODEL OR VARIANT" dataDxfId="51"/>
    <tableColumn id="6" xr3:uid="{9CB69D3E-706F-4EED-A315-D5399BE00D5C}" name="RTO" dataDxfId="50"/>
    <tableColumn id="7" xr3:uid="{2FB81954-C8D6-43B3-92E2-574B07BBFCCB}" name="VEHICLE CLASS" dataDxfId="49"/>
    <tableColumn id="8" xr3:uid="{1892A735-1187-4E6C-8786-9B173567AAD2}" name="REG. NO" dataDxfId="48"/>
    <tableColumn id="9" xr3:uid="{AFB37B1C-50E7-42BE-BC49-27B4D7E4E829}" name="VIN" dataDxfId="47"/>
    <tableColumn id="10" xr3:uid="{A3569458-1056-4E90-B079-94E3430A5743}" name="APPLICATION NO." dataDxfId="46"/>
    <tableColumn id="11" xr3:uid="{E25E7D92-4EC4-485D-93B8-A15B0538604A}" name="RTO AMMOUNT " dataDxfId="45"/>
    <tableColumn id="12" xr3:uid="{DB89535A-8F36-4EF8-B62C-86ABB378F51F}" name="HSRP" dataDxfId="44"/>
    <tableColumn id="13" xr3:uid="{6BD25826-954F-49C4-BE9E-24422B1B85BE}" name="ACCOUNT" dataDxfId="43"/>
    <tableColumn id="14" xr3:uid="{974951AE-D99C-487A-9DB5-065DA8DD25D4}" name="RM NAME" dataDxfId="42"/>
    <tableColumn id="15" xr3:uid="{FA4014CD-BE60-4554-9D6D-C0CC54B2CA05}" name="PAYMENT MODE" dataDxfId="41"/>
    <tableColumn id="16" xr3:uid="{84C48B22-72C9-4BD7-86AD-D8ECD87C3A64}" name="FILE PUNCHED BY" dataDxfId="40"/>
    <tableColumn id="17" xr3:uid="{87E46E14-6F6C-41D4-BBF8-CEAFAFE4CA8F}" name="PAYMENT ID" dataDxfId="39"/>
    <tableColumn id="18" xr3:uid="{0F2CD467-C868-4769-B436-AE2A25413B52}" name="RC STATUS" dataDxfId="38"/>
    <tableColumn id="19" xr3:uid="{0A9FDBF9-6418-4F2B-8B46-BE05C8150A04}" name="RC GIVEN DATE" dataDxfId="37"/>
    <tableColumn id="20" xr3:uid="{3A50F2B6-47D6-4A09-AA43-188FC568EA57}" name="FASTTAG ISSUE" dataDxfId="36"/>
    <tableColumn id="21" xr3:uid="{E4802D5D-D65F-42D3-B57E-E27729185964}" name="FASTTAG ISSUE DAT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93" totalsRowShown="0" headerRowDxfId="34" dataDxfId="33">
  <autoFilter ref="A2:H93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3"/>
    <tableColumn id="2" xr3:uid="{1E57C5CE-907A-4DF0-BCA2-BBCD2651216C}" name="APPLICATION NO." dataDxfId="22"/>
    <tableColumn id="3" xr3:uid="{F626713A-3C61-423D-BD37-451203C3E29C}" name="CHASSIS" dataDxfId="21"/>
    <tableColumn id="4" xr3:uid="{32C5A048-ADD8-4648-8106-9F20D6757D66}" name="NAME" dataDxfId="20"/>
    <tableColumn id="5" xr3:uid="{BA1FDE8E-99ED-4918-A545-B2E041B306D6}" name="MODEL" dataDxfId="19"/>
    <tableColumn id="6" xr3:uid="{872ECA2D-515D-4EDE-B60A-82A8BDEFEDCC}" name="COLOR" dataDxfId="18"/>
    <tableColumn id="7" xr3:uid="{C729A2AA-8F61-4959-9BE7-9F1BD3A49990}" name="RTO" dataDxfId="17"/>
    <tableColumn id="8" xr3:uid="{49CDED17-8118-4E4F-BBF5-6407D0788647}" name="REG NUM" dataDxfId="16"/>
    <tableColumn id="9" xr3:uid="{6E044422-F791-464A-944A-0668F0C8112F}" name="DATE OF REG" dataDxfId="15"/>
    <tableColumn id="11" xr3:uid="{942D52E6-8B19-4B1A-ADDF-6D959D8E7BE1}" name="DSE" dataDxfId="14"/>
    <tableColumn id="12" xr3:uid="{04B58679-3282-4D6D-BF3E-2233E3C4DC81}" name="RC RECEIVED BY" dataDxfId="1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2" tableBorderDxfId="11" totalsRowBorderDxfId="10">
  <autoFilter ref="B27:E32" xr:uid="{859DCBAE-920B-4469-9E0B-BF5ADC0248E9}"/>
  <tableColumns count="4">
    <tableColumn id="1" xr3:uid="{898528DA-B3AC-435C-B00C-9234887E5F11}" name="REG NUM" dataDxfId="9"/>
    <tableColumn id="2" xr3:uid="{89440296-A536-440E-A74B-186B5A98AE6C}" name="DATE OF REG" dataDxfId="8"/>
    <tableColumn id="3" xr3:uid="{7A04E3EB-93DA-4428-AB0C-3D251E144655}" name="RC RECEIVED BY" dataDxfId="7"/>
    <tableColumn id="4" xr3:uid="{0D350352-EB5F-413B-8CE6-3B46D80C3172}" name="DA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34"/>
  <sheetViews>
    <sheetView topLeftCell="N233" zoomScaleNormal="100" workbookViewId="0">
      <selection activeCell="R246" sqref="R24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2"/>
        <v>94</v>
      </c>
      <c r="B95" s="47" t="s">
        <v>6515</v>
      </c>
      <c r="C95" s="47" t="s">
        <v>6516</v>
      </c>
      <c r="D95" s="47"/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2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2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4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4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6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4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4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4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6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6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4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si="6"/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4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4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4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4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4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6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6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6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4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4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8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ref="H195:H222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9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9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9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44</v>
      </c>
      <c r="N210" s="48"/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9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/>
      <c r="N220" s="48"/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9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8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9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ref="H223:H232" si="10"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8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si="10"/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8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0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8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0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8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0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8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0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/>
      <c r="N228" s="48"/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8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0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8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0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/>
      <c r="P230" s="50"/>
      <c r="Q230" s="47"/>
      <c r="R230" s="47"/>
    </row>
    <row r="231" spans="1:18" x14ac:dyDescent="0.25">
      <c r="A231" s="47">
        <f t="shared" si="8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0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/>
      <c r="P231" s="50"/>
      <c r="Q231" s="47"/>
      <c r="R231" s="47"/>
    </row>
    <row r="232" spans="1:18" x14ac:dyDescent="0.25">
      <c r="A232" s="47">
        <f t="shared" si="8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0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8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ref="H233:H245" si="11">IF(LEFT(I233,4)="JK13","PULWAMA",IF(LEFT(I233,4)="JK01","SRINAGAR",IF(LEFT(I233,4)="JK04","BUDGAM",IF(LEFT(I233,4)="JK03","ANANTNAG",IF(LEFT(I233,4)="JK05","BARAMULLA",IF(LEFT(I233,4)="25BH","BHARAT",IF(LEFT(I233,4)="JK12","POONCH",IF(LEFT(I233,4)="JK18","KULGAM",IF(LEFT(I233,4)="JK22","SHOPIAN",IF(LEFT(I233,4)="T102","TEMP",IF(LEFT(I233,4)="JK09","KUPWARA",IF(LEFT(I233,4)="JK15","BANDIPORA",IF(LEFT(I233,4)="T112","KARGIL","NEW"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8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1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/>
      <c r="P234" s="50"/>
      <c r="Q234" s="47"/>
      <c r="R234" s="47"/>
    </row>
    <row r="235" spans="1:18" x14ac:dyDescent="0.25">
      <c r="A235" s="47">
        <f t="shared" si="8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1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/>
      <c r="N235" s="48"/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8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1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8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1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8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1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8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1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8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1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8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1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8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1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8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1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8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1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8"/>
        <v>244</v>
      </c>
      <c r="B245" s="47" t="s">
        <v>7427</v>
      </c>
      <c r="C245" s="47" t="s">
        <v>7428</v>
      </c>
      <c r="D245" s="47" t="s">
        <v>7429</v>
      </c>
      <c r="E245" s="47" t="s">
        <v>7430</v>
      </c>
      <c r="F245" s="47" t="s">
        <v>125</v>
      </c>
      <c r="G245" s="47" t="s">
        <v>174</v>
      </c>
      <c r="H245" s="47" t="str">
        <f t="shared" si="11"/>
        <v>SRINAGAR</v>
      </c>
      <c r="I245" s="47" t="s">
        <v>7444</v>
      </c>
      <c r="J245" s="48">
        <v>46014</v>
      </c>
      <c r="K245" s="47">
        <v>9797999350</v>
      </c>
      <c r="L245" s="47" t="s">
        <v>176</v>
      </c>
      <c r="M245" s="49"/>
      <c r="N245" s="48"/>
      <c r="O245" s="47"/>
      <c r="P245" s="50"/>
      <c r="Q245" s="47"/>
      <c r="R245" s="47"/>
    </row>
    <row r="246" spans="1:18" x14ac:dyDescent="0.25">
      <c r="A246" s="47">
        <f t="shared" si="8"/>
        <v>245</v>
      </c>
      <c r="B246" s="47" t="s">
        <v>7434</v>
      </c>
      <c r="C246" s="47" t="s">
        <v>7431</v>
      </c>
      <c r="D246" s="47" t="s">
        <v>7432</v>
      </c>
      <c r="E246" s="47" t="s">
        <v>7433</v>
      </c>
      <c r="F246" s="47" t="s">
        <v>12</v>
      </c>
      <c r="G246" s="47" t="s">
        <v>181</v>
      </c>
      <c r="H246" s="47" t="str">
        <f t="shared" ref="H246:H256" si="12">IF(LEFT(I246,4)="JK13","PULWAMA",IF(LEFT(I246,4)="JK01","SRINAGAR",IF(LEFT(I246,4)="JK04","BUDGAM",IF(LEFT(I246,4)="JK03","ANANTNAG",IF(LEFT(I246,4)="JK05","BARAMULLA",IF(LEFT(I246,4)="25BH","BHARAT",IF(LEFT(I246,4)="JK12","POONCH",IF(LEFT(I246,4)="JK18","KULGAM",IF(LEFT(I246,4)="JK22","SHOPIAN",IF(LEFT(I246,4)="T102","TEMP",IF(LEFT(I246,4)="JK09","KUPWARA",IF(LEFT(I246,4)="JK15","BANDIPORA",IF(LEFT(I246,4)="T112","KARGIL","NEW")))))))))))))</f>
        <v>BUDGAM</v>
      </c>
      <c r="I246" s="47" t="s">
        <v>7439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8"/>
        <v>246</v>
      </c>
      <c r="B247" s="47" t="s">
        <v>7435</v>
      </c>
      <c r="C247" s="47" t="s">
        <v>7436</v>
      </c>
      <c r="D247" s="47" t="s">
        <v>7437</v>
      </c>
      <c r="E247" s="47" t="s">
        <v>7438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7442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8"/>
        <v>247</v>
      </c>
      <c r="B248" s="47" t="s">
        <v>7445</v>
      </c>
      <c r="C248" s="47" t="s">
        <v>7446</v>
      </c>
      <c r="D248" s="47" t="s">
        <v>7447</v>
      </c>
      <c r="E248" s="47" t="s">
        <v>7448</v>
      </c>
      <c r="F248" s="47" t="s">
        <v>100</v>
      </c>
      <c r="G248" s="47" t="s">
        <v>174</v>
      </c>
      <c r="H248" s="47" t="str">
        <f t="shared" si="12"/>
        <v>NEW</v>
      </c>
      <c r="I248" s="47"/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8"/>
        <v>248</v>
      </c>
      <c r="B249" s="47" t="s">
        <v>7449</v>
      </c>
      <c r="C249" s="47" t="s">
        <v>7450</v>
      </c>
      <c r="D249" s="47" t="s">
        <v>7451</v>
      </c>
      <c r="E249" s="47" t="s">
        <v>7452</v>
      </c>
      <c r="F249" s="47" t="s">
        <v>486</v>
      </c>
      <c r="G249" s="47" t="s">
        <v>221</v>
      </c>
      <c r="H249" s="47" t="str">
        <f t="shared" si="12"/>
        <v>NEW</v>
      </c>
      <c r="I249" s="47"/>
      <c r="J249" s="48">
        <v>46014</v>
      </c>
      <c r="K249" s="47">
        <v>7298772174</v>
      </c>
      <c r="L249" s="47" t="s">
        <v>1517</v>
      </c>
      <c r="M249" s="49"/>
      <c r="N249" s="48"/>
      <c r="O249" s="47"/>
      <c r="P249" s="50"/>
      <c r="Q249" s="47"/>
      <c r="R249" s="47"/>
    </row>
    <row r="250" spans="1:18" x14ac:dyDescent="0.25">
      <c r="A250" s="47">
        <f t="shared" si="8"/>
        <v>249</v>
      </c>
      <c r="B250" s="55"/>
      <c r="C250" s="47"/>
      <c r="D250" s="47"/>
      <c r="E250" s="47"/>
      <c r="F250" s="47"/>
      <c r="G250" s="47"/>
      <c r="H250" s="47" t="str">
        <f t="shared" si="12"/>
        <v>NEW</v>
      </c>
      <c r="I250" s="47"/>
      <c r="J250" s="48"/>
      <c r="K250" s="47"/>
      <c r="L250" s="47"/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8"/>
        <v>250</v>
      </c>
      <c r="B251" s="55"/>
      <c r="C251" s="47"/>
      <c r="D251" s="47"/>
      <c r="E251" s="47"/>
      <c r="F251" s="47"/>
      <c r="G251" s="47"/>
      <c r="H251" s="47" t="str">
        <f t="shared" si="12"/>
        <v>NEW</v>
      </c>
      <c r="I251" s="47"/>
      <c r="J251" s="48"/>
      <c r="K251" s="47"/>
      <c r="L251" s="47"/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8"/>
        <v>251</v>
      </c>
      <c r="B252" s="55"/>
      <c r="C252" s="47"/>
      <c r="D252" s="47"/>
      <c r="E252" s="47"/>
      <c r="F252" s="47"/>
      <c r="G252" s="47"/>
      <c r="H252" s="47" t="str">
        <f t="shared" si="12"/>
        <v>NEW</v>
      </c>
      <c r="I252" s="47"/>
      <c r="J252" s="48"/>
      <c r="K252" s="47"/>
      <c r="L252" s="47"/>
      <c r="M252" s="49"/>
      <c r="N252" s="48"/>
      <c r="O252" s="47"/>
      <c r="P252" s="50"/>
      <c r="Q252" s="47"/>
      <c r="R252" s="47"/>
    </row>
    <row r="253" spans="1:18" x14ac:dyDescent="0.25">
      <c r="A253" s="47">
        <f t="shared" si="8"/>
        <v>252</v>
      </c>
      <c r="B253" s="55"/>
      <c r="C253" s="47"/>
      <c r="D253" s="47"/>
      <c r="E253" s="47"/>
      <c r="F253" s="47"/>
      <c r="G253" s="47"/>
      <c r="H253" s="47" t="str">
        <f t="shared" si="12"/>
        <v>NEW</v>
      </c>
      <c r="I253" s="47"/>
      <c r="J253" s="48"/>
      <c r="K253" s="47"/>
      <c r="L253" s="47"/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8"/>
        <v>253</v>
      </c>
      <c r="B254" s="55"/>
      <c r="C254" s="47"/>
      <c r="D254" s="47"/>
      <c r="E254" s="47"/>
      <c r="F254" s="47"/>
      <c r="G254" s="47"/>
      <c r="H254" s="47" t="str">
        <f t="shared" si="12"/>
        <v>NEW</v>
      </c>
      <c r="I254" s="47"/>
      <c r="J254" s="48"/>
      <c r="K254" s="47"/>
      <c r="L254" s="47"/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8"/>
        <v>254</v>
      </c>
      <c r="B255" s="55"/>
      <c r="C255" s="47"/>
      <c r="D255" s="47"/>
      <c r="E255" s="47"/>
      <c r="F255" s="47"/>
      <c r="G255" s="47"/>
      <c r="H255" s="47" t="str">
        <f t="shared" si="12"/>
        <v>NEW</v>
      </c>
      <c r="I255" s="47"/>
      <c r="J255" s="48"/>
      <c r="K255" s="47"/>
      <c r="L255" s="47"/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8"/>
        <v>255</v>
      </c>
      <c r="B256" s="55"/>
      <c r="C256" s="47"/>
      <c r="D256" s="47"/>
      <c r="E256" s="47"/>
      <c r="F256" s="47"/>
      <c r="G256" s="47"/>
      <c r="H256" s="47" t="str">
        <f t="shared" si="12"/>
        <v>NEW</v>
      </c>
      <c r="I256" s="47"/>
      <c r="J256" s="48"/>
      <c r="K256" s="47"/>
      <c r="L256" s="47"/>
      <c r="M256" s="49"/>
      <c r="N256" s="48"/>
      <c r="O256" s="47"/>
      <c r="P256" s="50"/>
      <c r="Q256" s="47"/>
      <c r="R256" s="47"/>
    </row>
    <row r="257" spans="1:17" ht="15.75" x14ac:dyDescent="0.25">
      <c r="C257" s="1"/>
      <c r="D257" s="1"/>
      <c r="E257" s="1"/>
      <c r="F257" s="1"/>
      <c r="G257" s="1"/>
      <c r="H257" s="1"/>
      <c r="I257" s="20"/>
      <c r="J257" s="19"/>
      <c r="K257" s="47"/>
      <c r="M257" t="s">
        <v>44</v>
      </c>
    </row>
    <row r="258" spans="1:17" ht="15.75" x14ac:dyDescent="0.25">
      <c r="C258" s="1"/>
      <c r="D258" s="1"/>
      <c r="E258" s="1"/>
      <c r="F258" s="1"/>
      <c r="G258" s="1"/>
      <c r="H258" s="1"/>
      <c r="I258" s="20"/>
      <c r="K258" s="47"/>
    </row>
    <row r="259" spans="1:17" ht="15.75" x14ac:dyDescent="0.25">
      <c r="C259" s="1"/>
      <c r="D259" s="1"/>
      <c r="E259" s="1"/>
      <c r="F259" s="1"/>
      <c r="G259" s="1"/>
      <c r="H259" s="1"/>
      <c r="I259" s="20"/>
      <c r="K259" s="47"/>
    </row>
    <row r="260" spans="1:17" ht="15.75" x14ac:dyDescent="0.25">
      <c r="C260" s="1"/>
      <c r="D260" s="1"/>
      <c r="E260" s="1"/>
      <c r="F260" s="1"/>
      <c r="G260" s="1"/>
      <c r="H260" s="1"/>
      <c r="I260" s="20"/>
      <c r="K260" s="47"/>
    </row>
    <row r="261" spans="1:17" ht="15.75" x14ac:dyDescent="0.25">
      <c r="C261" s="1"/>
      <c r="D261" s="1"/>
      <c r="E261" s="1"/>
      <c r="F261" s="1"/>
      <c r="G261" s="1"/>
      <c r="H261" s="1"/>
      <c r="I261" s="20"/>
      <c r="K261" s="47"/>
    </row>
    <row r="262" spans="1:17" x14ac:dyDescent="0.25">
      <c r="A262" s="5"/>
      <c r="B262" s="6"/>
      <c r="C262" s="7"/>
      <c r="D262" s="7"/>
      <c r="E262" s="7"/>
      <c r="F262" s="7"/>
      <c r="G262" s="7"/>
      <c r="H262" s="7"/>
      <c r="I262" s="7"/>
      <c r="J262" s="7"/>
      <c r="K262" s="47"/>
      <c r="L262" s="7"/>
      <c r="M262" s="7"/>
      <c r="N262" s="7"/>
      <c r="O262" s="7"/>
      <c r="P262" s="7"/>
      <c r="Q262" s="7"/>
    </row>
    <row r="263" spans="1:17" x14ac:dyDescent="0.25">
      <c r="A263" s="5"/>
      <c r="B263" s="6"/>
      <c r="C263" s="7"/>
      <c r="D263" s="7"/>
      <c r="E263" s="7"/>
      <c r="F263" s="7"/>
      <c r="G263" s="7"/>
      <c r="H263" s="7"/>
      <c r="I263" s="7"/>
      <c r="J263" s="7"/>
      <c r="K263" s="47"/>
      <c r="L263" s="7"/>
      <c r="M263" s="7"/>
      <c r="N263" s="7"/>
      <c r="O263" s="7"/>
      <c r="P263" s="7"/>
      <c r="Q263" s="7"/>
    </row>
    <row r="264" spans="1:17" x14ac:dyDescent="0.25">
      <c r="K264" s="47"/>
    </row>
    <row r="265" spans="1:17" x14ac:dyDescent="0.25">
      <c r="K265" s="47"/>
    </row>
    <row r="266" spans="1:17" x14ac:dyDescent="0.25">
      <c r="K266" s="47"/>
    </row>
    <row r="267" spans="1:17" x14ac:dyDescent="0.25">
      <c r="K267" s="47"/>
    </row>
    <row r="268" spans="1:17" x14ac:dyDescent="0.25">
      <c r="K268" s="47"/>
    </row>
    <row r="269" spans="1:17" x14ac:dyDescent="0.25">
      <c r="K269" s="47"/>
    </row>
    <row r="270" spans="1:17" x14ac:dyDescent="0.25">
      <c r="K270" s="47"/>
    </row>
    <row r="271" spans="1:17" x14ac:dyDescent="0.25">
      <c r="K271" s="47"/>
    </row>
    <row r="272" spans="1:17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x14ac:dyDescent="0.25">
      <c r="K396" s="44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9 H220:J220 K220:R221 G221:J222 I221:I224 A222:A231 H223:J223 H224 J224 H225:J226 H227:H229 I227:J238 F230:H230 H231 A232:H232 A233 H233:H234 A234:B234 A235:H237 H238 A238:A241 G239:J244 A242:B242 A243 A244:B244 H245:R245 A245:A256 B246:J247 L246:R251 H248:J251 H252:R256 K257:K346 L222:R244">
    <cfRule type="expression" dxfId="5" priority="2">
      <formula>CELL("row")=ROW()</formula>
    </cfRule>
  </conditionalFormatting>
  <conditionalFormatting sqref="K220:K251">
    <cfRule type="expression" dxfId="4" priority="1">
      <formula>CELL("row")=ROW()</formula>
    </cfRule>
  </conditionalFormatting>
  <conditionalFormatting sqref="K258:O268 L257:O257">
    <cfRule type="expression" dxfId="3" priority="11">
      <formula>ROW(M93)=HighlightRow</formula>
    </cfRule>
  </conditionalFormatting>
  <conditionalFormatting sqref="P257:Q268">
    <cfRule type="expression" dxfId="2" priority="15">
      <formula>ROW(S93)=HighlightRow</formula>
    </cfRule>
  </conditionalFormatting>
  <conditionalFormatting sqref="S105:XFD105">
    <cfRule type="expression" dxfId="1" priority="16">
      <formula>ROW(T94)=HighlightRow</formula>
    </cfRule>
  </conditionalFormatting>
  <conditionalFormatting sqref="S106:XFD114">
    <cfRule type="expression" dxfId="0" priority="13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N1103" zoomScaleNormal="100" workbookViewId="0">
      <selection activeCell="P1112" sqref="P111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02"/>
  <sheetViews>
    <sheetView tabSelected="1" topLeftCell="A73" zoomScale="85" zoomScaleNormal="85" workbookViewId="0">
      <selection activeCell="B96" sqref="B96:M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93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7424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7425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7426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7438</v>
      </c>
      <c r="C90" s="43">
        <v>9906998728</v>
      </c>
      <c r="D90" s="43" t="s">
        <v>7443</v>
      </c>
      <c r="E90" s="43" t="s">
        <v>7442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7441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7440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/>
      <c r="C93" s="43"/>
      <c r="D93" s="43"/>
      <c r="E93" s="43"/>
      <c r="F93" s="21"/>
      <c r="G93" s="21"/>
      <c r="H93" s="19"/>
    </row>
    <row r="94" spans="1:13" x14ac:dyDescent="0.25">
      <c r="D94" s="46" t="s">
        <v>6665</v>
      </c>
      <c r="F94" s="45" t="s">
        <v>7423</v>
      </c>
    </row>
    <row r="96" spans="1:13" x14ac:dyDescent="0.25">
      <c r="B96" s="34" t="s">
        <v>7357</v>
      </c>
      <c r="C96" s="34">
        <v>8491929306</v>
      </c>
      <c r="D96" s="34" t="s">
        <v>7453</v>
      </c>
      <c r="E96" s="34" t="s">
        <v>7454</v>
      </c>
      <c r="F96" s="34" t="s">
        <v>7423</v>
      </c>
      <c r="G96" s="34" t="s">
        <v>7376</v>
      </c>
      <c r="H96" s="34" t="s">
        <v>7423</v>
      </c>
      <c r="I96" s="34" t="s">
        <v>7423</v>
      </c>
      <c r="J96" s="34" t="s">
        <v>7423</v>
      </c>
      <c r="K96" s="34" t="s">
        <v>7455</v>
      </c>
      <c r="L96" s="34" t="s">
        <v>7423</v>
      </c>
      <c r="M96" s="34" t="s">
        <v>7456</v>
      </c>
    </row>
    <row r="97" spans="2:13" x14ac:dyDescent="0.25">
      <c r="B97" s="45"/>
      <c r="C97" s="45" t="s">
        <v>7433</v>
      </c>
      <c r="D97" s="45">
        <v>7889474847</v>
      </c>
      <c r="E97" s="46" t="s">
        <v>6665</v>
      </c>
      <c r="F97" s="45" t="s">
        <v>7457</v>
      </c>
      <c r="G97" s="45" t="s">
        <v>7423</v>
      </c>
      <c r="H97" s="45" t="s">
        <v>7439</v>
      </c>
      <c r="I97" s="33"/>
      <c r="J97" s="33"/>
      <c r="K97" s="33"/>
      <c r="L97" s="33"/>
      <c r="M97" s="33"/>
    </row>
    <row r="102" spans="2:13" x14ac:dyDescent="0.25">
      <c r="F102" s="34"/>
      <c r="H102" s="34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2025-12-23T12:41:05Z</dcterms:modified>
</cp:coreProperties>
</file>