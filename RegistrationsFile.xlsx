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C9FB4FD-3D0A-497A-BDC6-C135A445434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9" i="7" l="1"/>
  <c r="A168" i="7"/>
  <c r="A177" i="7"/>
  <c r="A178" i="7"/>
  <c r="A179" i="7"/>
  <c r="A180" i="7"/>
  <c r="H375" i="4"/>
  <c r="H376" i="4"/>
  <c r="H377" i="4"/>
  <c r="H378" i="4"/>
  <c r="H379" i="4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70" i="7"/>
  <c r="A171" i="7"/>
  <c r="A172" i="7"/>
  <c r="A173" i="7"/>
  <c r="A174" i="7"/>
  <c r="A175" i="7"/>
  <c r="A176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H358" i="4"/>
  <c r="H359" i="4"/>
  <c r="H333" i="4"/>
  <c r="H326" i="4"/>
  <c r="H327" i="4"/>
  <c r="H328" i="4"/>
  <c r="H357" i="4"/>
  <c r="H330" i="4"/>
  <c r="H331" i="4"/>
  <c r="H332" i="4"/>
  <c r="H334" i="4"/>
  <c r="H201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29" i="4"/>
  <c r="H351" i="4"/>
  <c r="H352" i="4"/>
  <c r="H353" i="4"/>
  <c r="H335" i="4"/>
  <c r="H355" i="4"/>
  <c r="H356" i="4"/>
  <c r="H350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57" i="4"/>
  <c r="A330" i="4"/>
  <c r="A331" i="4"/>
  <c r="A332" i="4"/>
  <c r="A333" i="4"/>
  <c r="A334" i="4"/>
  <c r="A201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4" i="7"/>
  <c r="A3" i="7"/>
  <c r="H96" i="4"/>
  <c r="H302" i="4"/>
  <c r="H303" i="4"/>
  <c r="H221" i="4"/>
  <c r="H305" i="4"/>
  <c r="H306" i="4"/>
  <c r="H307" i="4"/>
  <c r="H308" i="4"/>
  <c r="H309" i="4"/>
  <c r="H310" i="4"/>
  <c r="H311" i="4"/>
  <c r="A96" i="4"/>
  <c r="A302" i="4"/>
  <c r="A303" i="4"/>
  <c r="A221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304" i="4"/>
  <c r="A287" i="4"/>
  <c r="A288" i="4"/>
  <c r="A299" i="4"/>
  <c r="A290" i="4"/>
  <c r="A291" i="4"/>
  <c r="A292" i="4"/>
  <c r="A293" i="4"/>
  <c r="A294" i="4"/>
  <c r="A295" i="4"/>
  <c r="A304" i="4"/>
  <c r="H271" i="4"/>
  <c r="H284" i="4"/>
  <c r="H285" i="4"/>
  <c r="H286" i="4"/>
  <c r="A271" i="4"/>
  <c r="A284" i="4"/>
  <c r="A285" i="4"/>
  <c r="A286" i="4"/>
  <c r="H354" i="4"/>
  <c r="H276" i="4"/>
  <c r="H267" i="4"/>
  <c r="H268" i="4"/>
  <c r="H259" i="4"/>
  <c r="H269" i="4"/>
  <c r="H270" i="4"/>
  <c r="H183" i="4"/>
  <c r="H272" i="4"/>
  <c r="H184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301" i="4"/>
  <c r="H264" i="4"/>
  <c r="H280" i="4"/>
  <c r="H266" i="4"/>
  <c r="A256" i="4"/>
  <c r="A257" i="4"/>
  <c r="A258" i="4"/>
  <c r="A260" i="4"/>
  <c r="A261" i="4"/>
  <c r="A262" i="4"/>
  <c r="A301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165" i="4"/>
  <c r="H132" i="4"/>
  <c r="H220" i="4"/>
  <c r="H187" i="4"/>
  <c r="H218" i="4"/>
  <c r="H217" i="4"/>
  <c r="H214" i="4"/>
  <c r="H215" i="4"/>
  <c r="H216" i="4"/>
  <c r="A216" i="4"/>
  <c r="A217" i="4"/>
  <c r="A218" i="4"/>
  <c r="A187" i="4"/>
  <c r="A220" i="4"/>
  <c r="A165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H195" i="4"/>
  <c r="H196" i="4"/>
  <c r="H219" i="4"/>
  <c r="H198" i="4"/>
  <c r="H199" i="4"/>
  <c r="H200" i="4"/>
  <c r="H159" i="4"/>
  <c r="H202" i="4"/>
  <c r="H194" i="4"/>
  <c r="H193" i="4"/>
  <c r="H192" i="4"/>
  <c r="H191" i="4"/>
  <c r="H190" i="4"/>
  <c r="H156" i="4"/>
  <c r="H157" i="4"/>
  <c r="H158" i="4"/>
  <c r="H197" i="4"/>
  <c r="H160" i="4"/>
  <c r="H161" i="4"/>
  <c r="H162" i="4"/>
  <c r="H163" i="4"/>
  <c r="H164" i="4"/>
  <c r="H10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263" i="4"/>
  <c r="H185" i="4"/>
  <c r="H186" i="4"/>
  <c r="H296" i="4"/>
  <c r="H188" i="4"/>
  <c r="H189" i="4"/>
  <c r="H130" i="4"/>
  <c r="H6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275" i="4"/>
  <c r="H97" i="4"/>
  <c r="H98" i="4"/>
  <c r="H99" i="4"/>
  <c r="H100" i="4"/>
  <c r="H101" i="4"/>
  <c r="H102" i="4"/>
  <c r="H103" i="4"/>
  <c r="H104" i="4"/>
  <c r="H273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97" i="4"/>
  <c r="A160" i="4"/>
  <c r="A161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00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<sst xmlns="http://schemas.openxmlformats.org/spreadsheetml/2006/main" count="21108" uniqueCount="8238">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</sst>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9" totalsRowShown="0" headerRowDxfId="88" dataDxfId="87">
  <autoFilter ref="A1:R379" xr:uid="{97E63F84-BDFB-4C38-B1FD-28318E0D1D3F}"/>
  <tableColumns count="18">
    <tableColumn id="1" xr3:uid="{DEBB3640-E433-4779-93BC-95B8FB492623}" name="S.NO" dataDxfId="86">
      <calculatedColumnFormula>ROW()-1</calculatedColumnFormula>
    </tableColumn>
    <tableColumn id="13" xr3:uid="{86C56767-9BFE-4154-9FC1-CEA7C183815E}" name="APPLICATION NO." dataDxfId="85"/>
    <tableColumn id="2" xr3:uid="{6ABB4EDF-0F58-40D7-979C-D37D8D91A6BC}" name="CHASSIS" dataDxfId="84"/>
    <tableColumn id="17" xr3:uid="{0BBF5E4D-B8B0-4055-8D5F-3A6BB4D4A4DA}" name="ENGINE NO." dataDxfId="83"/>
    <tableColumn id="3" xr3:uid="{285CC4F4-4CD1-4FFC-A101-ED051DA40438}" name="NAME" dataDxfId="82"/>
    <tableColumn id="4" xr3:uid="{28DC8B59-EFA0-4502-86B0-033B0B60D615}" name="MODEL" dataDxfId="81"/>
    <tableColumn id="14" xr3:uid="{B25F5A6A-3B72-4772-B75C-D86670F35131}" name="COLOR" dataDxfId="80"/>
    <tableColumn id="15" xr3:uid="{22F5E9AE-FC4E-4EBD-ADBF-5C93F85B331F}" name="RTO" dataDxfId="79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8"/>
    <tableColumn id="6" xr3:uid="{9942893D-0703-456F-8072-CD136C7B4052}" name="DATE OF REG" dataDxfId="77"/>
    <tableColumn id="12" xr3:uid="{CC83ADC7-1924-4CE0-83FB-B2DFBEF7A193}" name="CONTACT" dataDxfId="76"/>
    <tableColumn id="7" xr3:uid="{3AD2B0D9-D7A5-46E0-B596-F6B7F1CDDEA6}" name="DSE" dataDxfId="75"/>
    <tableColumn id="8" xr3:uid="{475221AE-3FDC-4CED-B76C-4DA1DD4F8AD9}" name="RC RECEIVED BY" dataDxfId="74"/>
    <tableColumn id="9" xr3:uid="{F594ED7D-6966-47AC-A5C3-25754B73A3CC}" name="DATE" dataDxfId="73"/>
    <tableColumn id="10" xr3:uid="{452E3ECD-E927-4EC7-A8A2-4A866233750E}" name="FASTTAG" dataDxfId="72"/>
    <tableColumn id="11" xr3:uid="{CFEE5573-D700-4B26-B382-BCA8210C54C2}" name="DATED" dataDxfId="71"/>
    <tableColumn id="16" xr3:uid="{07363D0C-2FBE-403B-A617-BDB5768FAC43}" name="FT STATUS" dataDxfId="70"/>
    <tableColumn id="19" xr3:uid="{9456CF5E-F4D1-41FB-BAEA-332735A8583D}" name="REMARKS" dataDxfId="6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8" dataDxfId="66" headerRowBorderDxfId="67" tableBorderDxfId="65">
  <autoFilter ref="A1:U1475" xr:uid="{D370B51C-D08F-47BE-AAB1-EC19B1CB5D0A}"/>
  <tableColumns count="21">
    <tableColumn id="1" xr3:uid="{F2AB5776-2910-4922-8F7A-A29B241AFBFB}" name="S.NO" dataDxfId="64"/>
    <tableColumn id="2" xr3:uid="{BD6FD91D-E737-4D6A-B00A-D80EC1A61CA8}" name="DATE" dataDxfId="63"/>
    <tableColumn id="3" xr3:uid="{523BFE7D-9361-4DD0-92B3-69A6F8F0C3E9}" name="CUSTOMER NAME" dataDxfId="62"/>
    <tableColumn id="4" xr3:uid="{D470DE80-5E84-419F-ABF9-6269311CD45E}" name="MARUTI" dataDxfId="61"/>
    <tableColumn id="5" xr3:uid="{89C10B6F-C9EE-4AD2-A610-262BFCF29B4E}" name="MODEL OR VARIANT" dataDxfId="60"/>
    <tableColumn id="6" xr3:uid="{9CB69D3E-706F-4EED-A315-D5399BE00D5C}" name="RTO" dataDxfId="59"/>
    <tableColumn id="7" xr3:uid="{2FB81954-C8D6-43B3-92E2-574B07BBFCCB}" name="VEHICLE CLASS" dataDxfId="58"/>
    <tableColumn id="8" xr3:uid="{1892A735-1187-4E6C-8786-9B173567AAD2}" name="REG. NO" dataDxfId="57"/>
    <tableColumn id="9" xr3:uid="{AFB37B1C-50E7-42BE-BC49-27B4D7E4E829}" name="VIN" dataDxfId="56"/>
    <tableColumn id="10" xr3:uid="{A3569458-1056-4E90-B079-94E3430A5743}" name="APPLICATION NO." dataDxfId="55"/>
    <tableColumn id="11" xr3:uid="{E25E7D92-4EC4-485D-93B8-A15B0538604A}" name="RTO AMMOUNT " dataDxfId="54"/>
    <tableColumn id="12" xr3:uid="{DB89535A-8F36-4EF8-B62C-86ABB378F51F}" name="HSRP" dataDxfId="53"/>
    <tableColumn id="13" xr3:uid="{6BD25826-954F-49C4-BE9E-24422B1B85BE}" name="ACCOUNT" dataDxfId="52"/>
    <tableColumn id="14" xr3:uid="{974951AE-D99C-487A-9DB5-065DA8DD25D4}" name="RM NAME" dataDxfId="51"/>
    <tableColumn id="15" xr3:uid="{FA4014CD-BE60-4554-9D6D-C0CC54B2CA05}" name="PAYMENT MODE" dataDxfId="50"/>
    <tableColumn id="16" xr3:uid="{84C48B22-72C9-4BD7-86AD-D8ECD87C3A64}" name="FILE PUNCHED BY" dataDxfId="49"/>
    <tableColumn id="17" xr3:uid="{87E46E14-6F6C-41D4-BBF8-CEAFAFE4CA8F}" name="PAYMENT ID" dataDxfId="48"/>
    <tableColumn id="18" xr3:uid="{0F2CD467-C868-4769-B436-AE2A25413B52}" name="RC STATUS" dataDxfId="47"/>
    <tableColumn id="19" xr3:uid="{0A9FDBF9-6418-4F2B-8B46-BE05C8150A04}" name="RC GIVEN DATE" dataDxfId="46"/>
    <tableColumn id="20" xr3:uid="{3A50F2B6-47D6-4A09-AA43-188FC568EA57}" name="FASTTAG ISSUE" dataDxfId="45"/>
    <tableColumn id="21" xr3:uid="{E4802D5D-D65F-42D3-B57E-E27729185964}" name="FASTTAG ISSUE DATE 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80" totalsRowShown="0" headerRowDxfId="43" dataDxfId="42">
  <autoFilter ref="A2:H180" xr:uid="{B21CDF53-EB04-406A-8D52-FCF5CCB609E9}"/>
  <sortState xmlns:xlrd2="http://schemas.microsoft.com/office/spreadsheetml/2017/richdata2" ref="A3:H180">
    <sortCondition ref="D2:D180"/>
  </sortState>
  <tableColumns count="8">
    <tableColumn id="1" xr3:uid="{E7104F17-DBE3-4DF1-9933-FFCDDC61A4A1}" name="S.No." dataDxfId="41"/>
    <tableColumn id="11" xr3:uid="{7AA66E15-5D81-45A6-A480-BC2F7EFDEB4C}" name="Name" dataDxfId="40"/>
    <tableColumn id="10" xr3:uid="{DA1D923C-25B3-4F76-823C-435E6464FF55}" name="Contact" dataDxfId="39"/>
    <tableColumn id="2" xr3:uid="{5FEBD558-5EB7-4421-BA25-DCAC1134B168}" name="Barcode No." dataDxfId="38"/>
    <tableColumn id="12" xr3:uid="{77758C8B-F2C8-47C0-B104-570729F9693B}" name="Reg Num" dataDxfId="37"/>
    <tableColumn id="5" xr3:uid="{9AC97A3F-3009-4A59-ACCF-A178780E6F61}" name="Date" dataDxfId="36"/>
    <tableColumn id="7" xr3:uid="{82C8F4C5-8489-4228-83CC-0B9666328CDD}" name="CHANNEL" dataDxfId="35"/>
    <tableColumn id="8" xr3:uid="{DDF1FC61-A0D6-46E9-9515-6DDC5AB1E932}" name="Status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3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2"/>
    <tableColumn id="2" xr3:uid="{1E57C5CE-907A-4DF0-BCA2-BBCD2651216C}" name="APPLICATION NO." dataDxfId="31"/>
    <tableColumn id="3" xr3:uid="{F626713A-3C61-423D-BD37-451203C3E29C}" name="CHASSIS" dataDxfId="30"/>
    <tableColumn id="4" xr3:uid="{32C5A048-ADD8-4648-8106-9F20D6757D66}" name="NAME" dataDxfId="29"/>
    <tableColumn id="5" xr3:uid="{BA1FDE8E-99ED-4918-A545-B2E041B306D6}" name="MODEL" dataDxfId="28"/>
    <tableColumn id="6" xr3:uid="{872ECA2D-515D-4EDE-B60A-82A8BDEFEDCC}" name="COLOR" dataDxfId="27"/>
    <tableColumn id="7" xr3:uid="{C729A2AA-8F61-4959-9BE7-9F1BD3A49990}" name="RTO" dataDxfId="26"/>
    <tableColumn id="8" xr3:uid="{49CDED17-8118-4E4F-BBF5-6407D0788647}" name="REG NUM" dataDxfId="25"/>
    <tableColumn id="9" xr3:uid="{6E044422-F791-464A-944A-0668F0C8112F}" name="DATE OF REG" dataDxfId="24"/>
    <tableColumn id="11" xr3:uid="{942D52E6-8B19-4B1A-ADDF-6D959D8E7BE1}" name="DSE" dataDxfId="23"/>
    <tableColumn id="12" xr3:uid="{04B58679-3282-4D6D-BF3E-2233E3C4DC81}" name="RC RECEIVED BY" dataDxfId="2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1" tableBorderDxfId="20" totalsRowBorderDxfId="19">
  <autoFilter ref="B27:E32" xr:uid="{859DCBAE-920B-4469-9E0B-BF5ADC0248E9}"/>
  <tableColumns count="4">
    <tableColumn id="1" xr3:uid="{898528DA-B3AC-435C-B00C-9234887E5F11}" name="REG NUM" dataDxfId="18"/>
    <tableColumn id="2" xr3:uid="{89440296-A536-440E-A74B-186B5A98AE6C}" name="DATE OF REG" dataDxfId="17"/>
    <tableColumn id="3" xr3:uid="{7A04E3EB-93DA-4428-AB0C-3D251E144655}" name="RC RECEIVED BY" dataDxfId="16"/>
    <tableColumn id="4" xr3:uid="{0D350352-EB5F-413B-8CE6-3B46D80C3172}" name="DATE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7"/>
  <sheetViews>
    <sheetView tabSelected="1" topLeftCell="A339" zoomScaleNormal="100" workbookViewId="0">
      <selection activeCell="I342" sqref="I34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95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5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ref="A96:A159" si="5">ROW()-1</f>
        <v>95</v>
      </c>
      <c r="B96" s="47" t="s">
        <v>7780</v>
      </c>
      <c r="C96" s="47" t="s">
        <v>7781</v>
      </c>
      <c r="D96" s="47" t="s">
        <v>7782</v>
      </c>
      <c r="E96" s="47" t="s">
        <v>7783</v>
      </c>
      <c r="F96" s="47" t="s">
        <v>119</v>
      </c>
      <c r="G96" s="47" t="s">
        <v>175</v>
      </c>
      <c r="H96" s="47" t="str">
        <f t="shared" ref="H96:H130" si="6">IF(LEFT(I96,4)="JK13","PULWAMA",IF(LEFT(I96,4)="JK01","SRINAGAR",IF(LEFT(I96,4)="JK04","BUDGAM",IF(LEFT(I96,4)="JK03","ANANTNAG",IF(LEFT(I96,4)="JK05","BARAMULLA",IF(LEFT(I96,4)="25BH","BHARAT",IF(LEFT(I96,4)="JK12","POONCH",IF(LEFT(I96,4)="JK18","KULGAM",IF(LEFT(I96,4)="JK22","SHOPIAN",IF(LEFT(I96,4)="T102","TEMP",IF(LEFT(I96,4)="JK09","KUPWARA",IF(LEFT(I96,4)="JK15","BANDIPORA",IF(LEFT(I96,4)="T112","KARGIL","NEW")))))))))))))</f>
        <v>BARAMULLA</v>
      </c>
      <c r="I96" s="47" t="s">
        <v>7784</v>
      </c>
      <c r="J96" s="48">
        <v>46021</v>
      </c>
      <c r="K96" s="47">
        <v>6006052436</v>
      </c>
      <c r="L96" s="47" t="s">
        <v>6521</v>
      </c>
      <c r="M96" s="49" t="s">
        <v>8219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7809</v>
      </c>
    </row>
    <row r="97" spans="1:23" x14ac:dyDescent="0.25">
      <c r="A97" s="47">
        <f t="shared" si="5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6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5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6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5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6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5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6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5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6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5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6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5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6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5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6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5"/>
        <v>104</v>
      </c>
      <c r="B105" s="47" t="s">
        <v>6927</v>
      </c>
      <c r="C105" s="47" t="s">
        <v>6925</v>
      </c>
      <c r="D105" s="47" t="s">
        <v>6926</v>
      </c>
      <c r="E105" s="47" t="s">
        <v>3420</v>
      </c>
      <c r="F105" s="47" t="s">
        <v>31</v>
      </c>
      <c r="G105" s="47" t="s">
        <v>174</v>
      </c>
      <c r="H105" s="47" t="str">
        <f t="shared" si="6"/>
        <v>PULWAMA</v>
      </c>
      <c r="I105" s="47" t="s">
        <v>6929</v>
      </c>
      <c r="J105" s="48">
        <v>46000</v>
      </c>
      <c r="K105" s="47">
        <v>9622432608</v>
      </c>
      <c r="L105" s="47" t="s">
        <v>6521</v>
      </c>
      <c r="M105" s="49" t="s">
        <v>7165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si="5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6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6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6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6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6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6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6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6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6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6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6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6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6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6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6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6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6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6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6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6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6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6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6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6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6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7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7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7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7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7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7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7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7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7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7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5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7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7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7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7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7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7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7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7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7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7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7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7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5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7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7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7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7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7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7160</v>
      </c>
      <c r="C159" s="47" t="s">
        <v>7157</v>
      </c>
      <c r="D159" s="47" t="s">
        <v>7158</v>
      </c>
      <c r="E159" s="47" t="s">
        <v>7159</v>
      </c>
      <c r="F159" s="47" t="s">
        <v>119</v>
      </c>
      <c r="G159" s="47" t="s">
        <v>175</v>
      </c>
      <c r="H159" s="47" t="str">
        <f t="shared" si="7"/>
        <v>PULWAMA</v>
      </c>
      <c r="I159" s="47" t="s">
        <v>7171</v>
      </c>
      <c r="J159" s="48">
        <v>46007</v>
      </c>
      <c r="K159" s="47">
        <v>7889354231</v>
      </c>
      <c r="L159" s="47" t="s">
        <v>6521</v>
      </c>
      <c r="M159" s="49" t="s">
        <v>7673</v>
      </c>
      <c r="N159" s="48">
        <v>46021</v>
      </c>
      <c r="O159" s="47"/>
      <c r="P159" s="50"/>
      <c r="Q159" s="47"/>
      <c r="R159" s="47" t="s">
        <v>7195</v>
      </c>
    </row>
    <row r="160" spans="1:18" x14ac:dyDescent="0.25">
      <c r="A160" s="47">
        <f t="shared" ref="A160:A223" si="8">ROW()-1</f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7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8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7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8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7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8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7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8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8"/>
        <v>164</v>
      </c>
      <c r="B165" s="47" t="s">
        <v>7283</v>
      </c>
      <c r="C165" s="47" t="s">
        <v>7284</v>
      </c>
      <c r="D165" s="47" t="s">
        <v>7285</v>
      </c>
      <c r="E165" s="47" t="s">
        <v>7286</v>
      </c>
      <c r="F165" s="47" t="s">
        <v>67</v>
      </c>
      <c r="G165" s="47" t="s">
        <v>174</v>
      </c>
      <c r="H165" s="47" t="str">
        <f t="shared" si="9"/>
        <v>PULWAMA</v>
      </c>
      <c r="I165" s="47" t="s">
        <v>7292</v>
      </c>
      <c r="J165" s="48">
        <v>46010</v>
      </c>
      <c r="K165" s="47">
        <v>9419032432</v>
      </c>
      <c r="L165" s="47" t="s">
        <v>6521</v>
      </c>
      <c r="M165" s="49" t="s">
        <v>7673</v>
      </c>
      <c r="N165" s="48">
        <v>46021</v>
      </c>
      <c r="O165" s="47"/>
      <c r="P165" s="50"/>
      <c r="Q165" s="47"/>
      <c r="R165" s="47" t="s">
        <v>7294</v>
      </c>
    </row>
    <row r="166" spans="1:18" x14ac:dyDescent="0.25">
      <c r="A166" s="47">
        <f t="shared" si="8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8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8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8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8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8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8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8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8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8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8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8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8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8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8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8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8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8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8"/>
        <v>183</v>
      </c>
      <c r="B184" s="47" t="s">
        <v>7588</v>
      </c>
      <c r="C184" s="47" t="s">
        <v>7588</v>
      </c>
      <c r="D184" s="47" t="s">
        <v>7589</v>
      </c>
      <c r="E184" s="47" t="s">
        <v>7590</v>
      </c>
      <c r="F184" s="47" t="s">
        <v>31</v>
      </c>
      <c r="G184" s="47" t="s">
        <v>200</v>
      </c>
      <c r="H184" s="47" t="str">
        <f t="shared" si="9"/>
        <v>PULWAMA</v>
      </c>
      <c r="I184" s="47" t="s">
        <v>7595</v>
      </c>
      <c r="J184" s="48">
        <v>46017</v>
      </c>
      <c r="K184" s="47">
        <v>8491093722</v>
      </c>
      <c r="L184" s="47" t="s">
        <v>6521</v>
      </c>
      <c r="M184" s="49" t="s">
        <v>7673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8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 t="shared" si="8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8"/>
        <v>186</v>
      </c>
      <c r="B187" s="47" t="s">
        <v>7277</v>
      </c>
      <c r="C187" s="47" t="s">
        <v>7274</v>
      </c>
      <c r="D187" s="47" t="s">
        <v>7275</v>
      </c>
      <c r="E187" s="47" t="s">
        <v>7276</v>
      </c>
      <c r="F187" s="47" t="s">
        <v>31</v>
      </c>
      <c r="G187" s="47" t="s">
        <v>200</v>
      </c>
      <c r="H187" s="47" t="str">
        <f t="shared" si="9"/>
        <v>SHOPIAN</v>
      </c>
      <c r="I187" s="47" t="s">
        <v>7278</v>
      </c>
      <c r="J187" s="48">
        <v>46009</v>
      </c>
      <c r="K187" s="47">
        <v>7006865316</v>
      </c>
      <c r="L187" s="47" t="s">
        <v>6521</v>
      </c>
      <c r="M187" s="49" t="s">
        <v>7673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8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8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8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8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8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8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8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8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8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8"/>
        <v>196</v>
      </c>
      <c r="B197" s="47" t="s">
        <v>6895</v>
      </c>
      <c r="C197" s="47" t="s">
        <v>6892</v>
      </c>
      <c r="D197" s="47" t="s">
        <v>6893</v>
      </c>
      <c r="E197" s="47" t="s">
        <v>6894</v>
      </c>
      <c r="F197" s="47" t="s">
        <v>31</v>
      </c>
      <c r="G197" s="47" t="s">
        <v>200</v>
      </c>
      <c r="H197" s="47" t="str">
        <f t="shared" si="10"/>
        <v>PULWAMA</v>
      </c>
      <c r="I197" s="47" t="s">
        <v>6906</v>
      </c>
      <c r="J197" s="48">
        <v>45999</v>
      </c>
      <c r="K197" s="47">
        <v>9797244437</v>
      </c>
      <c r="L197" s="47" t="s">
        <v>6521</v>
      </c>
      <c r="M197" s="49" t="s">
        <v>7673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8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8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8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8"/>
        <v>200</v>
      </c>
      <c r="B201" s="47" t="s">
        <v>7966</v>
      </c>
      <c r="C201" s="47" t="s">
        <v>7963</v>
      </c>
      <c r="D201" s="47" t="s">
        <v>7964</v>
      </c>
      <c r="E201" s="47" t="s">
        <v>7965</v>
      </c>
      <c r="F201" s="47" t="s">
        <v>119</v>
      </c>
      <c r="G201" s="47" t="s">
        <v>200</v>
      </c>
      <c r="H201" s="47" t="str">
        <f t="shared" si="10"/>
        <v>PULWAMA</v>
      </c>
      <c r="I201" s="47" t="s">
        <v>7967</v>
      </c>
      <c r="J201" s="48">
        <v>46025</v>
      </c>
      <c r="K201" s="47">
        <v>7006861153</v>
      </c>
      <c r="L201" s="47" t="s">
        <v>6521</v>
      </c>
      <c r="M201" s="49" t="s">
        <v>7673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8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8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8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8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8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8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8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8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8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8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8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8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8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8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7144</v>
      </c>
      <c r="C219" s="47" t="s">
        <v>7141</v>
      </c>
      <c r="D219" s="47" t="s">
        <v>7142</v>
      </c>
      <c r="E219" s="47" t="s">
        <v>7143</v>
      </c>
      <c r="F219" s="47" t="s">
        <v>119</v>
      </c>
      <c r="G219" s="47" t="s">
        <v>200</v>
      </c>
      <c r="H219" s="47" t="str">
        <f t="shared" si="10"/>
        <v>BUDGAM</v>
      </c>
      <c r="I219" s="47" t="s">
        <v>7174</v>
      </c>
      <c r="J219" s="48">
        <v>46007</v>
      </c>
      <c r="K219" s="47">
        <v>9622878211</v>
      </c>
      <c r="L219" s="47" t="s">
        <v>6521</v>
      </c>
      <c r="M219" s="49" t="s">
        <v>7777</v>
      </c>
      <c r="N219" s="48">
        <v>46021</v>
      </c>
      <c r="O219" s="47"/>
      <c r="P219" s="50"/>
      <c r="Q219" s="47"/>
      <c r="R219" s="47" t="s">
        <v>7195</v>
      </c>
    </row>
    <row r="220" spans="1:18" x14ac:dyDescent="0.25">
      <c r="A220" s="47">
        <f t="shared" si="8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7799</v>
      </c>
      <c r="C221" s="47" t="s">
        <v>7796</v>
      </c>
      <c r="D221" s="47" t="s">
        <v>7797</v>
      </c>
      <c r="E221" s="47" t="s">
        <v>7798</v>
      </c>
      <c r="F221" s="47" t="s">
        <v>67</v>
      </c>
      <c r="G221" s="47" t="s">
        <v>200</v>
      </c>
      <c r="H221" s="47" t="str">
        <f t="shared" si="10"/>
        <v>PULWAMA</v>
      </c>
      <c r="I221" s="47" t="s">
        <v>7810</v>
      </c>
      <c r="J221" s="48">
        <v>46022</v>
      </c>
      <c r="K221" s="47">
        <v>8899294356</v>
      </c>
      <c r="L221" s="47" t="s">
        <v>6521</v>
      </c>
      <c r="M221" s="49" t="s">
        <v>7716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8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8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ref="A224:A287" si="11">ROW()-1</f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 t="s">
        <v>8225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1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1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1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1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1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1"/>
        <v>262</v>
      </c>
      <c r="B263" s="47" t="s">
        <v>7049</v>
      </c>
      <c r="C263" s="47" t="s">
        <v>7050</v>
      </c>
      <c r="D263" s="47" t="s">
        <v>7051</v>
      </c>
      <c r="E263" s="47" t="s">
        <v>7052</v>
      </c>
      <c r="F263" s="47" t="s">
        <v>31</v>
      </c>
      <c r="G263" s="47" t="s">
        <v>221</v>
      </c>
      <c r="H263" s="47" t="str">
        <f t="shared" si="13"/>
        <v>SRINAGAR</v>
      </c>
      <c r="I263" s="47" t="s">
        <v>7062</v>
      </c>
      <c r="J263" s="48">
        <v>46003</v>
      </c>
      <c r="K263" s="47">
        <v>7006646319</v>
      </c>
      <c r="L263" s="47" t="s">
        <v>6521</v>
      </c>
      <c r="M263" s="49" t="s">
        <v>7263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11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1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1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1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1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1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1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1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 t="s">
        <v>7617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1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1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3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11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1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3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1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1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1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1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1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1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1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1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1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1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 t="s">
        <v>7776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11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1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ref="A288:A351" si="14">ROW()-1</f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8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 t="s">
        <v>7617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7066</v>
      </c>
      <c r="C296" s="47" t="s">
        <v>7067</v>
      </c>
      <c r="D296" s="47" t="s">
        <v>7068</v>
      </c>
      <c r="E296" s="47" t="s">
        <v>7069</v>
      </c>
      <c r="F296" s="47" t="s">
        <v>193</v>
      </c>
      <c r="G296" s="47" t="s">
        <v>200</v>
      </c>
      <c r="H296" s="47" t="str">
        <f t="shared" si="15"/>
        <v>PULWAMA</v>
      </c>
      <c r="I296" s="47" t="s">
        <v>7077</v>
      </c>
      <c r="J296" s="48">
        <v>46003</v>
      </c>
      <c r="K296" s="47">
        <v>9797499942</v>
      </c>
      <c r="L296" s="47" t="s">
        <v>7070</v>
      </c>
      <c r="M296" s="49"/>
      <c r="N296" s="48"/>
      <c r="O296" s="47"/>
      <c r="P296" s="50"/>
      <c r="Q296" s="47"/>
      <c r="R296" s="47"/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4"/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:H331" si="16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8168</v>
      </c>
      <c r="R300" s="47"/>
    </row>
    <row r="301" spans="1:18" x14ac:dyDescent="0.25">
      <c r="A301" s="47">
        <f t="shared" si="14"/>
        <v>300</v>
      </c>
      <c r="B301" s="47" t="s">
        <v>7512</v>
      </c>
      <c r="C301" s="47" t="s">
        <v>7513</v>
      </c>
      <c r="D301" s="47" t="s">
        <v>7514</v>
      </c>
      <c r="E301" s="47" t="s">
        <v>7515</v>
      </c>
      <c r="F301" s="47" t="s">
        <v>12</v>
      </c>
      <c r="G301" s="47" t="s">
        <v>181</v>
      </c>
      <c r="H301" s="47" t="str">
        <f t="shared" si="16"/>
        <v>PULWAMA</v>
      </c>
      <c r="I301" s="47" t="s">
        <v>7520</v>
      </c>
      <c r="J301" s="48">
        <v>46016</v>
      </c>
      <c r="K301" s="47">
        <v>8825024324</v>
      </c>
      <c r="L301" s="47" t="s">
        <v>6521</v>
      </c>
      <c r="M301" s="49" t="s">
        <v>8224</v>
      </c>
      <c r="N301" s="48"/>
      <c r="O301" s="47"/>
      <c r="P301" s="50"/>
      <c r="Q301" s="47"/>
      <c r="R301" s="47" t="s">
        <v>7522</v>
      </c>
    </row>
    <row r="302" spans="1:18" x14ac:dyDescent="0.25">
      <c r="A302" s="47">
        <f t="shared" si="14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6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4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6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4"/>
        <v>303</v>
      </c>
      <c r="B304" s="47" t="s">
        <v>7744</v>
      </c>
      <c r="C304" s="47" t="s">
        <v>7745</v>
      </c>
      <c r="D304" s="47" t="s">
        <v>7747</v>
      </c>
      <c r="E304" s="47" t="s">
        <v>7746</v>
      </c>
      <c r="F304" s="47" t="s">
        <v>67</v>
      </c>
      <c r="G304" s="47" t="s">
        <v>199</v>
      </c>
      <c r="H304" s="47" t="str">
        <f t="shared" si="16"/>
        <v>PULWAMA</v>
      </c>
      <c r="I304" s="47" t="s">
        <v>7752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7769</v>
      </c>
    </row>
    <row r="305" spans="1:18" x14ac:dyDescent="0.25">
      <c r="A305" s="47">
        <f t="shared" si="14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6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 t="s">
        <v>8231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4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6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4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6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4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6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4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6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4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6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4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6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4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si="16"/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4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6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4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6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 t="s">
        <v>7456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4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6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4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6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4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6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4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si="16"/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4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16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4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16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4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16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4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16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 t="s">
        <v>7717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4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16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 t="shared" si="14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16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4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16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4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si="16"/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4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16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4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16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4"/>
        <v>328</v>
      </c>
      <c r="B329" s="47" t="s">
        <v>8042</v>
      </c>
      <c r="C329" s="47" t="s">
        <v>8040</v>
      </c>
      <c r="D329" s="47" t="s">
        <v>8041</v>
      </c>
      <c r="E329" s="47" t="s">
        <v>556</v>
      </c>
      <c r="F329" s="47" t="s">
        <v>119</v>
      </c>
      <c r="G329" s="47" t="s">
        <v>200</v>
      </c>
      <c r="H329" s="47" t="str">
        <f t="shared" si="16"/>
        <v>PULWAMA</v>
      </c>
      <c r="I329" s="47" t="s">
        <v>8083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4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16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4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16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4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ref="H332:H357" si="17">IF(LEFT(I332,4)="JK13","PULWAMA",IF(LEFT(I332,4)="JK01","SRINAGAR",IF(LEFT(I332,4)="JK04","BUDGAM",IF(LEFT(I332,4)="JK03","ANANTNAG",IF(LEFT(I332,4)="JK05","BARAMULLA",IF(LEFT(I332,4)="25BH","BHARAT",IF(LEFT(I332,4)="JK12","POONCH",IF(LEFT(I332,4)="JK18","KULGAM",IF(LEFT(I332,4)="JK22","SHOPIAN",IF(LEFT(I332,4)="T102","TEMP",IF(LEFT(I332,4)="JK09","KUPWARA",IF(LEFT(I332,4)="JK15","BANDIPORA",IF(LEFT(I332,4)="T112","KARGIL","NEW")))))))))))))</f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4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17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4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17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4"/>
        <v>334</v>
      </c>
      <c r="B335" s="47" t="s">
        <v>8059</v>
      </c>
      <c r="C335" s="47" t="s">
        <v>8056</v>
      </c>
      <c r="D335" s="47" t="s">
        <v>8057</v>
      </c>
      <c r="E335" s="47" t="s">
        <v>8058</v>
      </c>
      <c r="F335" s="47" t="s">
        <v>12</v>
      </c>
      <c r="G335" s="47" t="s">
        <v>200</v>
      </c>
      <c r="H335" s="47" t="str">
        <f t="shared" si="17"/>
        <v>PULWAMA</v>
      </c>
      <c r="I335" s="47" t="s">
        <v>8084</v>
      </c>
      <c r="J335" s="48">
        <v>46027</v>
      </c>
      <c r="K335" s="47">
        <v>7298487838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4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17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4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17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4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17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4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17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4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17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4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17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4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17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 t="s">
        <v>7776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4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17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 t="s">
        <v>8229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4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17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4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17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4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17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4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17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4"/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 t="shared" si="17"/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4"/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 t="shared" si="17"/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4"/>
        <v>349</v>
      </c>
      <c r="B350" s="47" t="s">
        <v>8068</v>
      </c>
      <c r="C350" s="47" t="s">
        <v>8069</v>
      </c>
      <c r="D350" s="47" t="s">
        <v>8070</v>
      </c>
      <c r="E350" s="47" t="s">
        <v>8071</v>
      </c>
      <c r="F350" s="47" t="s">
        <v>5</v>
      </c>
      <c r="G350" s="47" t="s">
        <v>200</v>
      </c>
      <c r="H350" s="47" t="str">
        <f t="shared" si="17"/>
        <v>PULWAMA</v>
      </c>
      <c r="I350" s="47" t="s">
        <v>8085</v>
      </c>
      <c r="J350" s="48">
        <v>46027</v>
      </c>
      <c r="K350" s="47">
        <v>9419278824</v>
      </c>
      <c r="L350" s="47" t="s">
        <v>6521</v>
      </c>
      <c r="M350" s="49"/>
      <c r="N350" s="48"/>
      <c r="O350" s="47"/>
      <c r="P350" s="50"/>
      <c r="Q350" s="47"/>
      <c r="R350" s="47" t="s">
        <v>8093</v>
      </c>
    </row>
    <row r="351" spans="1:18" x14ac:dyDescent="0.25">
      <c r="A351" s="47">
        <f t="shared" si="14"/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 t="shared" si="17"/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ref="A352:A357" si="18">ROW()-1</f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 t="shared" si="17"/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8"/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 t="shared" si="17"/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8"/>
        <v>353</v>
      </c>
      <c r="B354" s="47" t="s">
        <v>7603</v>
      </c>
      <c r="C354" s="47" t="s">
        <v>7604</v>
      </c>
      <c r="D354" s="47" t="s">
        <v>7605</v>
      </c>
      <c r="E354" s="47" t="s">
        <v>7606</v>
      </c>
      <c r="F354" s="47" t="s">
        <v>31</v>
      </c>
      <c r="G354" s="47" t="s">
        <v>174</v>
      </c>
      <c r="H354" s="47" t="str">
        <f t="shared" si="17"/>
        <v>SHOPIAN</v>
      </c>
      <c r="I354" s="48" t="s">
        <v>7611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8"/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 t="shared" si="17"/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 t="s">
        <v>7673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8"/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 t="shared" si="17"/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/>
      <c r="N356" s="48"/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 t="shared" si="18"/>
        <v>356</v>
      </c>
      <c r="B357" s="47" t="s">
        <v>7936</v>
      </c>
      <c r="C357" s="47" t="s">
        <v>7928</v>
      </c>
      <c r="D357" s="47" t="s">
        <v>7929</v>
      </c>
      <c r="E357" s="47" t="s">
        <v>7930</v>
      </c>
      <c r="F357" s="47" t="s">
        <v>31</v>
      </c>
      <c r="G357" s="47" t="s">
        <v>199</v>
      </c>
      <c r="H357" s="47" t="str">
        <f t="shared" si="17"/>
        <v>SRINAGAR</v>
      </c>
      <c r="I357" s="47" t="s">
        <v>7937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ref="A358:A363" si="19">ROW()-1</f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 t="shared" ref="H358:H359" si="20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 t="s">
        <v>7596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9"/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 t="shared" si="20"/>
        <v>NEW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9"/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 t="shared" ref="H360:H374" si="21">IF(LEFT(I360,4)="JK13","PULWAMA",IF(LEFT(I360,4)="JK01","SRINAGAR",IF(LEFT(I360,4)="JK04","BUDGAM",IF(LEFT(I360,4)="JK03","ANANTNAG",IF(LEFT(I360,4)="JK05","BARAMULLA",IF(LEFT(I360,4)="25BH","BHARAT",IF(LEFT(I360,4)="JK12","POONCH",IF(LEFT(I360,4)="JK18","KULGAM",IF(LEFT(I360,4)="JK22","SHOPIAN",IF(LEFT(I360,4)="T102","TEMP",IF(LEFT(I360,4)="JK09","KUPWARA",IF(LEFT(I360,4)="JK15","BANDIPORA",IF(LEFT(I360,4)="T112","KARGIL","NEW")))))))))))))</f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 t="s">
        <v>7717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9"/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 t="shared" si="21"/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 t="s">
        <v>8230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si="19"/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 t="shared" si="21"/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 t="s">
        <v>7776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9"/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 t="shared" si="21"/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9" si="22">ROW()-1</f>
        <v>363</v>
      </c>
      <c r="B364" s="47" t="s">
        <v>8112</v>
      </c>
      <c r="C364" s="47" t="s">
        <v>8113</v>
      </c>
      <c r="D364" s="47" t="s">
        <v>8114</v>
      </c>
      <c r="E364" s="47" t="s">
        <v>8115</v>
      </c>
      <c r="F364" s="47" t="s">
        <v>102</v>
      </c>
      <c r="G364" s="47" t="s">
        <v>199</v>
      </c>
      <c r="H364" s="47" t="str">
        <f t="shared" si="21"/>
        <v>PULWAMA</v>
      </c>
      <c r="I364" s="47" t="s">
        <v>8116</v>
      </c>
      <c r="J364" s="48">
        <v>46028</v>
      </c>
      <c r="K364" s="47">
        <v>7889385453</v>
      </c>
      <c r="L364" s="47" t="s">
        <v>6451</v>
      </c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2"/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 t="shared" si="21"/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2"/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 t="shared" si="21"/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 t="s">
        <v>7776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22"/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 t="shared" si="21"/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/>
      <c r="N367" s="48"/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22"/>
        <v>367</v>
      </c>
      <c r="B368" s="47" t="s">
        <v>8183</v>
      </c>
      <c r="C368" s="47" t="s">
        <v>8179</v>
      </c>
      <c r="D368" s="47" t="s">
        <v>8180</v>
      </c>
      <c r="E368" s="47" t="s">
        <v>8182</v>
      </c>
      <c r="F368" s="47" t="s">
        <v>8181</v>
      </c>
      <c r="G368" s="47" t="s">
        <v>200</v>
      </c>
      <c r="H368" s="47" t="str">
        <f t="shared" si="21"/>
        <v>SRINAGAR</v>
      </c>
      <c r="I368" s="47" t="s">
        <v>8194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22"/>
        <v>368</v>
      </c>
      <c r="B369" s="47" t="s">
        <v>8184</v>
      </c>
      <c r="C369" s="47" t="s">
        <v>8186</v>
      </c>
      <c r="D369" s="47" t="s">
        <v>8193</v>
      </c>
      <c r="E369" s="47" t="s">
        <v>8185</v>
      </c>
      <c r="F369" s="47" t="s">
        <v>5</v>
      </c>
      <c r="G369" s="47" t="s">
        <v>200</v>
      </c>
      <c r="H369" s="47" t="str">
        <f t="shared" si="21"/>
        <v>SRINAGAR</v>
      </c>
      <c r="I369" s="47" t="s">
        <v>8187</v>
      </c>
      <c r="J369" s="48">
        <v>46030</v>
      </c>
      <c r="K369" s="47">
        <v>7889664350</v>
      </c>
      <c r="L369" s="47" t="s">
        <v>18</v>
      </c>
      <c r="M369" s="49"/>
      <c r="N369" s="48"/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22"/>
        <v>369</v>
      </c>
      <c r="B370" s="47" t="s">
        <v>8191</v>
      </c>
      <c r="C370" s="47" t="s">
        <v>8188</v>
      </c>
      <c r="D370" s="47" t="s">
        <v>8189</v>
      </c>
      <c r="E370" s="47" t="s">
        <v>8190</v>
      </c>
      <c r="F370" s="47" t="s">
        <v>6546</v>
      </c>
      <c r="G370" s="47" t="s">
        <v>200</v>
      </c>
      <c r="H370" s="47" t="str">
        <f t="shared" si="21"/>
        <v>KULGAM</v>
      </c>
      <c r="I370" s="47" t="s">
        <v>8198</v>
      </c>
      <c r="J370" s="48">
        <v>46030</v>
      </c>
      <c r="K370" s="47">
        <v>9541822070</v>
      </c>
      <c r="L370" s="47" t="s">
        <v>6570</v>
      </c>
      <c r="M370" s="49"/>
      <c r="N370" s="48"/>
      <c r="O370" s="47"/>
      <c r="P370" s="50"/>
      <c r="Q370" s="47"/>
      <c r="R370" s="47" t="s">
        <v>8212</v>
      </c>
    </row>
    <row r="371" spans="1:18" x14ac:dyDescent="0.25">
      <c r="A371" s="47">
        <f t="shared" si="22"/>
        <v>370</v>
      </c>
      <c r="B371" s="47" t="s">
        <v>8192</v>
      </c>
      <c r="C371" s="47" t="s">
        <v>8195</v>
      </c>
      <c r="D371" s="47" t="s">
        <v>8196</v>
      </c>
      <c r="E371" s="47" t="s">
        <v>8197</v>
      </c>
      <c r="F371" s="47" t="s">
        <v>5</v>
      </c>
      <c r="G371" s="47" t="s">
        <v>181</v>
      </c>
      <c r="H371" s="47" t="str">
        <f t="shared" si="21"/>
        <v>SHOPIAN</v>
      </c>
      <c r="I371" s="47" t="s">
        <v>8207</v>
      </c>
      <c r="J371" s="48">
        <v>46030</v>
      </c>
      <c r="K371" s="47">
        <v>9906656754</v>
      </c>
      <c r="L371" s="47" t="s">
        <v>6451</v>
      </c>
      <c r="M371" s="49"/>
      <c r="N371" s="48"/>
      <c r="O371" s="47"/>
      <c r="P371" s="50"/>
      <c r="Q371" s="47"/>
      <c r="R371" s="47" t="s">
        <v>7177</v>
      </c>
    </row>
    <row r="372" spans="1:18" x14ac:dyDescent="0.25">
      <c r="A372" s="47">
        <f t="shared" si="22"/>
        <v>371</v>
      </c>
      <c r="B372" s="47" t="s">
        <v>8199</v>
      </c>
      <c r="C372" s="47" t="s">
        <v>8200</v>
      </c>
      <c r="D372" s="47" t="s">
        <v>8201</v>
      </c>
      <c r="E372" s="47" t="s">
        <v>8202</v>
      </c>
      <c r="F372" s="47" t="s">
        <v>2701</v>
      </c>
      <c r="G372" s="47" t="s">
        <v>200</v>
      </c>
      <c r="H372" s="47" t="str">
        <f t="shared" si="21"/>
        <v>SRINAGAR</v>
      </c>
      <c r="I372" s="47" t="s">
        <v>8209</v>
      </c>
      <c r="J372" s="48">
        <v>46030</v>
      </c>
      <c r="K372" s="47">
        <v>8491882203</v>
      </c>
      <c r="L372" s="47" t="s">
        <v>2248</v>
      </c>
      <c r="M372" s="49" t="s">
        <v>8165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22"/>
        <v>372</v>
      </c>
      <c r="B373" s="47" t="s">
        <v>8206</v>
      </c>
      <c r="C373" s="47" t="s">
        <v>8203</v>
      </c>
      <c r="D373" s="47" t="s">
        <v>8204</v>
      </c>
      <c r="E373" s="47" t="s">
        <v>8205</v>
      </c>
      <c r="F373" s="47" t="s">
        <v>67</v>
      </c>
      <c r="G373" s="47" t="s">
        <v>181</v>
      </c>
      <c r="H373" s="47" t="str">
        <f t="shared" si="21"/>
        <v>SRINAGAR</v>
      </c>
      <c r="I373" s="47" t="s">
        <v>8208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22"/>
        <v>373</v>
      </c>
      <c r="B374" s="47" t="s">
        <v>8214</v>
      </c>
      <c r="C374" s="47" t="s">
        <v>8215</v>
      </c>
      <c r="D374" s="47" t="s">
        <v>8216</v>
      </c>
      <c r="E374" s="47" t="s">
        <v>8217</v>
      </c>
      <c r="F374" s="47" t="s">
        <v>67</v>
      </c>
      <c r="G374" s="47" t="s">
        <v>181</v>
      </c>
      <c r="H374" s="47" t="str">
        <f t="shared" si="21"/>
        <v>SRINAGAR</v>
      </c>
      <c r="I374" s="47" t="s">
        <v>8222</v>
      </c>
      <c r="J374" s="48">
        <v>46030</v>
      </c>
      <c r="K374" s="47">
        <v>6005379500</v>
      </c>
      <c r="L374" s="47" t="s">
        <v>8218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22"/>
        <v>374</v>
      </c>
      <c r="B375" s="47" t="s">
        <v>8236</v>
      </c>
      <c r="C375" s="47" t="s">
        <v>8234</v>
      </c>
      <c r="D375" s="47" t="s">
        <v>8235</v>
      </c>
      <c r="E375" s="47" t="s">
        <v>3775</v>
      </c>
      <c r="F375" s="47" t="s">
        <v>31</v>
      </c>
      <c r="G375" s="47" t="s">
        <v>200</v>
      </c>
      <c r="H375" s="47" t="str">
        <f t="shared" ref="H375:H379" si="23">IF(LEFT(I375,4)="JK13","PULWAMA",IF(LEFT(I375,4)="JK01","SRINAGAR",IF(LEFT(I375,4)="JK04","BUDGAM",IF(LEFT(I375,4)="JK03","ANANTNAG",IF(LEFT(I375,4)="JK05","BARAMULLA",IF(LEFT(I375,4)="25BH","BHARAT",IF(LEFT(I375,4)="JK12","POONCH",IF(LEFT(I375,4)="JK18","KULGAM",IF(LEFT(I375,4)="JK22","SHOPIAN",IF(LEFT(I375,4)="T102","TEMP",IF(LEFT(I375,4)="JK09","KUPWARA",IF(LEFT(I375,4)="JK15","BANDIPORA",IF(LEFT(I375,4)="T112","KARGIL","NEW")))))))))))))</f>
        <v>PULWAMA</v>
      </c>
      <c r="I375" s="47" t="s">
        <v>8237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/>
    </row>
    <row r="376" spans="1:18" x14ac:dyDescent="0.25">
      <c r="A376" s="47">
        <f t="shared" si="22"/>
        <v>375</v>
      </c>
      <c r="B376" s="47"/>
      <c r="C376" s="47"/>
      <c r="D376" s="47"/>
      <c r="E376" s="47"/>
      <c r="F376" s="47"/>
      <c r="G376" s="47"/>
      <c r="H376" s="47" t="str">
        <f t="shared" si="23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22"/>
        <v>376</v>
      </c>
      <c r="B377" s="47"/>
      <c r="C377" s="47"/>
      <c r="D377" s="47"/>
      <c r="E377" s="47"/>
      <c r="F377" s="47"/>
      <c r="G377" s="47"/>
      <c r="H377" s="47" t="str">
        <f t="shared" si="23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22"/>
        <v>377</v>
      </c>
      <c r="B378" s="47"/>
      <c r="C378" s="47"/>
      <c r="D378" s="47"/>
      <c r="E378" s="47"/>
      <c r="F378" s="47"/>
      <c r="G378" s="47"/>
      <c r="H378" s="47" t="str">
        <f t="shared" si="23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22"/>
        <v>378</v>
      </c>
      <c r="B379" s="47"/>
      <c r="C379" s="47"/>
      <c r="D379" s="47"/>
      <c r="E379" s="47"/>
      <c r="F379" s="47"/>
      <c r="G379" s="47"/>
      <c r="H379" s="47" t="str">
        <f t="shared" si="23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ht="15.75" x14ac:dyDescent="0.25">
      <c r="B380" s="47"/>
      <c r="C380" s="47"/>
      <c r="D380" s="47"/>
      <c r="E380" s="47"/>
      <c r="F380" s="47"/>
      <c r="G380" s="47"/>
      <c r="H380" s="1"/>
      <c r="I380" s="55"/>
      <c r="J380" s="19"/>
      <c r="K380" s="47"/>
      <c r="M380" t="s">
        <v>44</v>
      </c>
    </row>
    <row r="381" spans="1:18" ht="15.75" x14ac:dyDescent="0.25">
      <c r="F381" s="1"/>
      <c r="G381" s="1"/>
      <c r="H381" s="1"/>
      <c r="I381" s="20"/>
      <c r="K381" s="47"/>
    </row>
    <row r="382" spans="1:18" ht="15.75" x14ac:dyDescent="0.25">
      <c r="F382" s="1"/>
      <c r="G382" s="1"/>
      <c r="H382" s="1"/>
      <c r="I382" s="20"/>
      <c r="K382" s="47"/>
    </row>
    <row r="383" spans="1:18" ht="15.75" x14ac:dyDescent="0.25">
      <c r="F383" s="1"/>
      <c r="G383" s="1"/>
      <c r="H383" s="1"/>
      <c r="I383" s="20"/>
      <c r="K383" s="47"/>
    </row>
    <row r="384" spans="1:18" ht="15.75" x14ac:dyDescent="0.25">
      <c r="C384" s="1"/>
      <c r="D384" s="1"/>
      <c r="E384" s="1"/>
      <c r="F384" s="1"/>
      <c r="G384" s="1"/>
      <c r="H384" s="1"/>
      <c r="I384" s="20"/>
      <c r="K384" s="47"/>
    </row>
    <row r="385" spans="1:17" x14ac:dyDescent="0.25">
      <c r="A385" s="5"/>
      <c r="B385" s="6"/>
      <c r="C385" s="7"/>
      <c r="D385" s="7"/>
      <c r="E385" s="7"/>
      <c r="F385" s="7"/>
      <c r="G385" s="7"/>
      <c r="H385" s="7"/>
      <c r="I385" s="7"/>
      <c r="J385" s="7"/>
      <c r="K385" s="47"/>
      <c r="L385" s="7"/>
      <c r="M385" s="7"/>
      <c r="N385" s="7"/>
      <c r="O385" s="7"/>
      <c r="P385" s="7"/>
      <c r="Q385" s="7"/>
    </row>
    <row r="386" spans="1:17" x14ac:dyDescent="0.25">
      <c r="A386" s="5"/>
      <c r="B386" s="6"/>
      <c r="C386" s="7"/>
      <c r="D386" s="7"/>
      <c r="E386" s="7"/>
      <c r="F386" s="7"/>
      <c r="G386" s="7"/>
      <c r="H386" s="7"/>
      <c r="I386" s="7"/>
      <c r="J386" s="7"/>
      <c r="K386" s="47"/>
      <c r="L386" s="7"/>
      <c r="M386" s="7"/>
      <c r="N386" s="7"/>
      <c r="O386" s="7"/>
      <c r="P386" s="7"/>
      <c r="Q386" s="7"/>
    </row>
    <row r="387" spans="1:17" x14ac:dyDescent="0.25">
      <c r="K387" s="47"/>
    </row>
    <row r="388" spans="1:17" x14ac:dyDescent="0.25">
      <c r="K388" s="47"/>
    </row>
    <row r="389" spans="1:17" x14ac:dyDescent="0.25">
      <c r="K389" s="47"/>
    </row>
    <row r="390" spans="1:17" x14ac:dyDescent="0.25">
      <c r="K390" s="47"/>
    </row>
    <row r="391" spans="1:17" x14ac:dyDescent="0.25">
      <c r="K391" s="47"/>
    </row>
    <row r="392" spans="1:17" x14ac:dyDescent="0.25">
      <c r="K392" s="47"/>
    </row>
    <row r="393" spans="1:17" x14ac:dyDescent="0.25">
      <c r="K393" s="47"/>
    </row>
    <row r="394" spans="1:17" x14ac:dyDescent="0.25">
      <c r="K394" s="47"/>
    </row>
    <row r="395" spans="1:17" x14ac:dyDescent="0.25">
      <c r="K395" s="47"/>
    </row>
    <row r="396" spans="1:17" x14ac:dyDescent="0.25">
      <c r="K396" s="47"/>
    </row>
    <row r="397" spans="1:17" x14ac:dyDescent="0.25">
      <c r="K397" s="47"/>
    </row>
    <row r="398" spans="1:17" x14ac:dyDescent="0.25">
      <c r="K398" s="47"/>
    </row>
    <row r="399" spans="1:17" x14ac:dyDescent="0.25">
      <c r="K399" s="47"/>
    </row>
    <row r="400" spans="1:17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x14ac:dyDescent="0.25">
      <c r="K519" s="44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A298:A300 K298:R300 K299:K325 A301:B301 L301:R325 A302:A379 I308:I317 H313:H314 J313:J314 H315:J328 I325:I332 H329:H330 J329:J333 H331:J332 H333 H334:J360 I357:I368 H361:H368 J361:J368 H376:R379 I380 K380:K469 H369:J375 B297:G380 K326:R375">
    <cfRule type="expression" dxfId="14" priority="7">
      <formula>CELL("row")=ROW()</formula>
    </cfRule>
  </conditionalFormatting>
  <conditionalFormatting sqref="B257:G290 B291:B300 C291:G301">
    <cfRule type="expression" dxfId="13" priority="5">
      <formula>CELL("row")=ROW()</formula>
    </cfRule>
  </conditionalFormatting>
  <conditionalFormatting sqref="F326:G326">
    <cfRule type="expression" dxfId="12" priority="2">
      <formula>CELL("row")=ROW()</formula>
    </cfRule>
  </conditionalFormatting>
  <conditionalFormatting sqref="G266">
    <cfRule type="expression" dxfId="11" priority="4">
      <formula>CELL("row")=ROW()</formula>
    </cfRule>
  </conditionalFormatting>
  <conditionalFormatting sqref="K381:O391 L380:O380">
    <cfRule type="expression" dxfId="10" priority="16">
      <formula>ROW(M93)=HighlightRow</formula>
    </cfRule>
  </conditionalFormatting>
  <conditionalFormatting sqref="P380:Q391">
    <cfRule type="expression" dxfId="9" priority="20">
      <formula>ROW(S93)=HighlightRow</formula>
    </cfRule>
  </conditionalFormatting>
  <conditionalFormatting sqref="S105:XFD105">
    <cfRule type="expression" dxfId="8" priority="21">
      <formula>ROW(T94)=HighlightRow</formula>
    </cfRule>
  </conditionalFormatting>
  <conditionalFormatting sqref="S106:XFD114">
    <cfRule type="expression" dxfId="7" priority="18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738" zoomScaleNormal="100" workbookViewId="0">
      <selection activeCell="C751" sqref="C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81"/>
  <sheetViews>
    <sheetView topLeftCell="A133" zoomScale="85" zoomScaleNormal="85" workbookViewId="0">
      <selection activeCell="B170" sqref="B170:E18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7806</v>
      </c>
      <c r="C4" s="19">
        <v>7889324122</v>
      </c>
      <c r="D4" s="19" t="s">
        <v>7815</v>
      </c>
      <c r="E4" s="19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7820</v>
      </c>
      <c r="C5" s="19">
        <v>7006000499</v>
      </c>
      <c r="D5" s="19" t="s">
        <v>8153</v>
      </c>
      <c r="E5" s="19" t="s">
        <v>7847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8154</v>
      </c>
      <c r="C6" s="19">
        <v>7006582052</v>
      </c>
      <c r="D6" s="19" t="s">
        <v>8155</v>
      </c>
      <c r="E6" s="19" t="s">
        <v>7850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7886</v>
      </c>
      <c r="C7" s="19">
        <v>8082623899</v>
      </c>
      <c r="D7" s="19" t="s">
        <v>8156</v>
      </c>
      <c r="E7" s="19" t="s">
        <v>7879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7793</v>
      </c>
      <c r="C8" s="19">
        <v>7780996739</v>
      </c>
      <c r="D8" s="19" t="s">
        <v>8157</v>
      </c>
      <c r="E8" s="19" t="s">
        <v>7848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7878</v>
      </c>
      <c r="C9" s="19">
        <v>7889588496</v>
      </c>
      <c r="D9" s="19" t="s">
        <v>7938</v>
      </c>
      <c r="E9" s="19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7933</v>
      </c>
      <c r="C10" s="19">
        <v>7006197341</v>
      </c>
      <c r="D10" s="19" t="s">
        <v>8158</v>
      </c>
      <c r="E10" s="19" t="s">
        <v>7934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7907</v>
      </c>
      <c r="C12" s="19">
        <v>9906473272</v>
      </c>
      <c r="D12" s="19" t="s">
        <v>8150</v>
      </c>
      <c r="E12" s="19" t="s">
        <v>7926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8160</v>
      </c>
      <c r="C13" s="19">
        <v>9906786675</v>
      </c>
      <c r="D13" s="19" t="s">
        <v>8161</v>
      </c>
      <c r="E13" s="19" t="s">
        <v>7925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7855</v>
      </c>
      <c r="C14" s="19">
        <v>9622459354</v>
      </c>
      <c r="D14" s="19" t="s">
        <v>8162</v>
      </c>
      <c r="E14" s="19" t="s">
        <v>7861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7891</v>
      </c>
      <c r="C15" s="19">
        <v>7006616090</v>
      </c>
      <c r="D15" s="19" t="s">
        <v>8122</v>
      </c>
      <c r="E15" s="19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8151</v>
      </c>
      <c r="C16" s="19">
        <v>9906730950</v>
      </c>
      <c r="D16" s="19" t="s">
        <v>8152</v>
      </c>
      <c r="E16" s="19" t="s">
        <v>7999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8163</v>
      </c>
      <c r="C17" s="19">
        <v>7006441266</v>
      </c>
      <c r="D17" s="19" t="s">
        <v>8164</v>
      </c>
      <c r="E17" s="19" t="s">
        <v>8013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6665</v>
      </c>
    </row>
    <row r="46" spans="1:14" ht="15.75" x14ac:dyDescent="0.25">
      <c r="A46" s="19">
        <f t="shared" si="1"/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 t="shared" si="3"/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 t="shared" si="3"/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 t="shared" si="4"/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7772</v>
      </c>
      <c r="C144" s="43">
        <v>9596336858</v>
      </c>
      <c r="D144" s="43" t="s">
        <v>8176</v>
      </c>
      <c r="E144" s="43" t="s">
        <v>7775</v>
      </c>
      <c r="F144" s="21"/>
      <c r="G144" s="21"/>
      <c r="H144" s="19" t="s">
        <v>8168</v>
      </c>
    </row>
    <row r="145" spans="1:8" ht="15.75" x14ac:dyDescent="0.25">
      <c r="A145" s="19">
        <f t="shared" si="4"/>
        <v>143</v>
      </c>
      <c r="B145" s="43" t="s">
        <v>7743</v>
      </c>
      <c r="C145" s="43">
        <v>7006409005</v>
      </c>
      <c r="D145" s="43" t="s">
        <v>7785</v>
      </c>
      <c r="E145" s="43" t="s">
        <v>7751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7766</v>
      </c>
      <c r="C146" s="43">
        <v>9622775800</v>
      </c>
      <c r="D146" s="43" t="s">
        <v>7816</v>
      </c>
      <c r="E146" s="43" t="s">
        <v>7768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7817</v>
      </c>
      <c r="E147" s="43" t="s">
        <v>7749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7813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7790</v>
      </c>
      <c r="C149" s="43">
        <v>9419070393</v>
      </c>
      <c r="D149" s="43" t="s">
        <v>7814</v>
      </c>
      <c r="E149" s="43" t="s">
        <v>7795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8145</v>
      </c>
      <c r="E150" s="43" t="s">
        <v>7927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8144</v>
      </c>
      <c r="E151" s="43" t="s">
        <v>7750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8063</v>
      </c>
      <c r="C152" s="43">
        <v>9070599346</v>
      </c>
      <c r="D152" s="43" t="s">
        <v>8092</v>
      </c>
      <c r="E152" s="43" t="s">
        <v>8087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8050</v>
      </c>
      <c r="C153" s="43">
        <v>9070111588</v>
      </c>
      <c r="D153" s="43" t="s">
        <v>8148</v>
      </c>
      <c r="E153" s="43" t="s">
        <v>8091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8075</v>
      </c>
      <c r="C154" s="19">
        <v>6005254071</v>
      </c>
      <c r="D154" s="19" t="s">
        <v>8121</v>
      </c>
      <c r="E154" s="19" t="s">
        <v>8088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8067</v>
      </c>
      <c r="C155" s="19">
        <v>9797071432</v>
      </c>
      <c r="D155" s="19" t="s">
        <v>8123</v>
      </c>
      <c r="E155" s="19" t="s">
        <v>8089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8141</v>
      </c>
      <c r="C156" s="19">
        <v>7780804850</v>
      </c>
      <c r="D156" s="19" t="s">
        <v>8142</v>
      </c>
      <c r="E156" s="19" t="s">
        <v>8119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7711</v>
      </c>
      <c r="C157" s="19">
        <v>9622020576</v>
      </c>
      <c r="D157" s="19" t="s">
        <v>8147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8146</v>
      </c>
      <c r="E158" s="19" t="s">
        <v>7862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8133</v>
      </c>
      <c r="C159" s="19">
        <v>7889666298</v>
      </c>
      <c r="D159" s="19" t="s">
        <v>8134</v>
      </c>
      <c r="E159" s="19" t="s">
        <v>7457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8045</v>
      </c>
      <c r="C160" s="19">
        <v>9906284454</v>
      </c>
      <c r="D160" s="19" t="s">
        <v>8135</v>
      </c>
      <c r="E160" s="19" t="s">
        <v>8086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6773</v>
      </c>
      <c r="C161" s="19">
        <v>7006274587</v>
      </c>
      <c r="D161" s="19" t="s">
        <v>8175</v>
      </c>
      <c r="E161" s="19" t="s">
        <v>7730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8177</v>
      </c>
      <c r="C162" s="19">
        <v>9018734100</v>
      </c>
      <c r="D162" s="19" t="s">
        <v>8178</v>
      </c>
      <c r="E162" s="19" t="s">
        <v>8167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80" si="5">ROW()-2</f>
        <v>161</v>
      </c>
      <c r="B163" s="19" t="s">
        <v>2303</v>
      </c>
      <c r="C163" s="19">
        <v>9797443009</v>
      </c>
      <c r="D163" s="19" t="s">
        <v>8211</v>
      </c>
      <c r="E163" s="19" t="s">
        <v>8117</v>
      </c>
      <c r="F163" s="21">
        <v>46030</v>
      </c>
      <c r="G163" s="21" t="s">
        <v>341</v>
      </c>
      <c r="H163" s="19" t="s">
        <v>8168</v>
      </c>
    </row>
    <row r="164" spans="1:8" ht="15.75" x14ac:dyDescent="0.25">
      <c r="A164" s="19">
        <f t="shared" si="5"/>
        <v>162</v>
      </c>
      <c r="B164" s="19" t="s">
        <v>8171</v>
      </c>
      <c r="C164" s="19">
        <v>9596443329</v>
      </c>
      <c r="D164" s="19" t="s">
        <v>8210</v>
      </c>
      <c r="E164" s="19" t="s">
        <v>8173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8108</v>
      </c>
      <c r="C165" s="19">
        <v>8899110779</v>
      </c>
      <c r="D165" s="19" t="s">
        <v>8213</v>
      </c>
      <c r="E165" s="19" t="s">
        <v>8120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8185</v>
      </c>
      <c r="C166" s="19">
        <v>7889664350</v>
      </c>
      <c r="D166" s="19" t="s">
        <v>8223</v>
      </c>
      <c r="E166" s="19" t="s">
        <v>8187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8220</v>
      </c>
      <c r="C167" s="19">
        <v>6006052436</v>
      </c>
      <c r="D167" s="19" t="s">
        <v>8221</v>
      </c>
      <c r="E167" s="19" t="s">
        <v>7784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47" t="s">
        <v>8217</v>
      </c>
      <c r="C168" s="47">
        <v>6005379500</v>
      </c>
      <c r="D168" s="19" t="s">
        <v>8227</v>
      </c>
      <c r="E168" s="19"/>
      <c r="F168" s="21">
        <v>46030</v>
      </c>
      <c r="G168" s="21" t="s">
        <v>341</v>
      </c>
      <c r="H168" s="19" t="s">
        <v>8168</v>
      </c>
    </row>
    <row r="169" spans="1:8" ht="15.75" x14ac:dyDescent="0.25">
      <c r="A169" s="19">
        <f t="shared" si="5"/>
        <v>167</v>
      </c>
      <c r="B169" s="19" t="s">
        <v>8182</v>
      </c>
      <c r="C169" s="19">
        <v>9906409906</v>
      </c>
      <c r="D169" s="19" t="s">
        <v>8226</v>
      </c>
      <c r="E169" s="19" t="s">
        <v>8194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7950</v>
      </c>
      <c r="C170" s="19">
        <v>9419004025</v>
      </c>
      <c r="D170" s="19" t="s">
        <v>8149</v>
      </c>
      <c r="E170" s="19" t="s">
        <v>8016</v>
      </c>
      <c r="F170" s="21">
        <v>46026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8007</v>
      </c>
      <c r="C171" s="19">
        <v>7889441591</v>
      </c>
      <c r="D171" s="19" t="s">
        <v>8143</v>
      </c>
      <c r="E171" s="19" t="s">
        <v>8008</v>
      </c>
      <c r="F171" s="21">
        <v>46029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2841</v>
      </c>
      <c r="C172" s="19">
        <v>7006960324</v>
      </c>
      <c r="D172" s="19" t="s">
        <v>8140</v>
      </c>
      <c r="E172" s="19" t="s">
        <v>7867</v>
      </c>
      <c r="F172" s="21">
        <v>46029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7866</v>
      </c>
      <c r="C173" s="19">
        <v>9906759399</v>
      </c>
      <c r="D173" s="19" t="s">
        <v>8139</v>
      </c>
      <c r="E173" s="19" t="s">
        <v>7868</v>
      </c>
      <c r="F173" s="21">
        <v>46029</v>
      </c>
      <c r="G173" s="21" t="s">
        <v>341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7974</v>
      </c>
      <c r="C174" s="19">
        <v>9149592772</v>
      </c>
      <c r="D174" s="19" t="s">
        <v>8138</v>
      </c>
      <c r="E174" s="19" t="s">
        <v>7976</v>
      </c>
      <c r="F174" s="21">
        <v>46029</v>
      </c>
      <c r="G174" s="21" t="s">
        <v>341</v>
      </c>
      <c r="H174" s="19" t="s">
        <v>6665</v>
      </c>
    </row>
    <row r="175" spans="1:8" ht="15.75" x14ac:dyDescent="0.25">
      <c r="A175" s="19">
        <f t="shared" si="5"/>
        <v>173</v>
      </c>
      <c r="B175" s="19" t="s">
        <v>7990</v>
      </c>
      <c r="C175" s="19">
        <v>9596382727</v>
      </c>
      <c r="D175" s="19" t="s">
        <v>8137</v>
      </c>
      <c r="E175" s="19" t="s">
        <v>7992</v>
      </c>
      <c r="F175" s="21">
        <v>46029</v>
      </c>
      <c r="G175" s="21" t="s">
        <v>341</v>
      </c>
      <c r="H175" s="19" t="s">
        <v>6665</v>
      </c>
    </row>
    <row r="176" spans="1:8" ht="15.75" x14ac:dyDescent="0.25">
      <c r="A176" s="19">
        <f t="shared" si="5"/>
        <v>174</v>
      </c>
      <c r="B176" s="19" t="s">
        <v>4284</v>
      </c>
      <c r="C176" s="19">
        <v>8899926488</v>
      </c>
      <c r="D176" s="19" t="s">
        <v>8136</v>
      </c>
      <c r="E176" s="19" t="s">
        <v>7987</v>
      </c>
      <c r="F176" s="21">
        <v>46029</v>
      </c>
      <c r="G176" s="21" t="s">
        <v>341</v>
      </c>
      <c r="H176" s="19" t="s">
        <v>6665</v>
      </c>
    </row>
    <row r="177" spans="1:8" ht="15.75" x14ac:dyDescent="0.25">
      <c r="A177" s="19">
        <f t="shared" si="5"/>
        <v>175</v>
      </c>
      <c r="B177" s="19" t="s">
        <v>8202</v>
      </c>
      <c r="C177" s="19">
        <v>8491882203</v>
      </c>
      <c r="D177" s="19" t="s">
        <v>8228</v>
      </c>
      <c r="E177" s="19" t="s">
        <v>8209</v>
      </c>
      <c r="F177" s="21">
        <v>46031</v>
      </c>
      <c r="G177" s="21" t="s">
        <v>341</v>
      </c>
      <c r="H177" s="19" t="s">
        <v>6665</v>
      </c>
    </row>
    <row r="178" spans="1:8" ht="15.75" x14ac:dyDescent="0.25">
      <c r="A178" s="19">
        <f t="shared" si="5"/>
        <v>176</v>
      </c>
      <c r="B178" s="19" t="s">
        <v>8205</v>
      </c>
      <c r="C178" s="19">
        <v>7780867070</v>
      </c>
      <c r="D178" s="19" t="s">
        <v>8232</v>
      </c>
      <c r="E178" s="19" t="s">
        <v>8208</v>
      </c>
      <c r="F178" s="21">
        <v>46031</v>
      </c>
      <c r="G178" s="21" t="s">
        <v>341</v>
      </c>
      <c r="H178" s="19" t="s">
        <v>6665</v>
      </c>
    </row>
    <row r="179" spans="1:8" ht="15.75" x14ac:dyDescent="0.25">
      <c r="A179" s="19">
        <f t="shared" si="5"/>
        <v>177</v>
      </c>
      <c r="B179" s="19" t="s">
        <v>8103</v>
      </c>
      <c r="C179" s="19">
        <v>9622595048</v>
      </c>
      <c r="D179" s="19" t="s">
        <v>8233</v>
      </c>
      <c r="E179" s="19" t="s">
        <v>8118</v>
      </c>
      <c r="F179" s="21">
        <v>46031</v>
      </c>
      <c r="G179" s="21" t="s">
        <v>341</v>
      </c>
      <c r="H179" s="19" t="s">
        <v>6665</v>
      </c>
    </row>
    <row r="180" spans="1:8" ht="15.75" x14ac:dyDescent="0.25">
      <c r="A180" s="19">
        <f t="shared" si="5"/>
        <v>178</v>
      </c>
      <c r="B180" s="19"/>
      <c r="C180" s="19"/>
      <c r="D180" s="19"/>
      <c r="E180" s="19"/>
      <c r="F180" s="21"/>
      <c r="G180" s="21"/>
      <c r="H180" s="19"/>
    </row>
    <row r="181" spans="1:8" ht="15.75" x14ac:dyDescent="0.25">
      <c r="B181" s="19"/>
      <c r="C181" s="19"/>
      <c r="D181" s="19"/>
      <c r="E181" s="19"/>
    </row>
  </sheetData>
  <mergeCells count="1">
    <mergeCell ref="A1:H1"/>
  </mergeCells>
  <conditionalFormatting sqref="B103 E103 B121:E154">
    <cfRule type="expression" dxfId="6" priority="13">
      <formula>CELL("row")=ROW()</formula>
    </cfRule>
  </conditionalFormatting>
  <conditionalFormatting sqref="B169:E181">
    <cfRule type="expression" dxfId="5" priority="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6">
    <cfRule type="expression" dxfId="2" priority="2">
      <formula>CELL("row")=ROW()</formula>
    </cfRule>
  </conditionalFormatting>
  <conditionalFormatting sqref="C178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2026-01-10T06:54:21Z</dcterms:modified>
</cp:coreProperties>
</file>