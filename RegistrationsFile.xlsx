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C8FC7A5-2214-49D7-8E9E-CF96CFCA4AE4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89" i="4" l="1"/>
  <c r="H890" i="4"/>
  <c r="H891" i="4"/>
  <c r="H892" i="4"/>
  <c r="H893" i="4"/>
  <c r="A889" i="4"/>
  <c r="A890" i="4"/>
  <c r="A891" i="4"/>
  <c r="A892" i="4"/>
  <c r="A893" i="4"/>
  <c r="H884" i="4" l="1"/>
  <c r="H883" i="4" l="1"/>
  <c r="H885" i="4"/>
  <c r="H886" i="4"/>
  <c r="H888" i="4"/>
  <c r="A883" i="4"/>
  <c r="A884" i="4"/>
  <c r="A885" i="4"/>
  <c r="A886" i="4"/>
  <c r="A888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6" i="4" l="1"/>
  <c r="H878" i="4"/>
  <c r="H877" i="4"/>
  <c r="H879" i="4"/>
  <c r="H880" i="4"/>
  <c r="H881" i="4"/>
  <c r="H882" i="4"/>
  <c r="A876" i="4"/>
  <c r="A878" i="4"/>
  <c r="A877" i="4"/>
  <c r="A879" i="4"/>
  <c r="A880" i="4"/>
  <c r="A881" i="4"/>
  <c r="A882" i="4"/>
  <c r="H870" i="4" l="1"/>
  <c r="H871" i="4"/>
  <c r="H872" i="4"/>
  <c r="H873" i="4"/>
  <c r="H874" i="4"/>
  <c r="H875" i="4"/>
  <c r="H887" i="4"/>
  <c r="A870" i="4"/>
  <c r="A871" i="4"/>
  <c r="A872" i="4"/>
  <c r="A873" i="4"/>
  <c r="A874" i="4"/>
  <c r="A875" i="4"/>
  <c r="A887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<sst xmlns="http://schemas.openxmlformats.org/spreadsheetml/2006/main" count="28534" uniqueCount="11490">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</sst>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0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93" totalsRowShown="0" headerRowDxfId="86" dataDxfId="85">
  <autoFilter ref="A1:R893" xr:uid="{97E63F84-BDFB-4C38-B1FD-28318E0D1D3F}"/>
  <tableColumns count="18">
    <tableColumn id="1" xr3:uid="{DEBB3640-E433-4779-93BC-95B8FB492623}" name="S.NO" dataDxfId="84">
      <calculatedColumnFormula>ROW()-1</calculatedColumnFormula>
    </tableColumn>
    <tableColumn id="13" xr3:uid="{86C56767-9BFE-4154-9FC1-CEA7C183815E}" name="APPLICATION NO." dataDxfId="83"/>
    <tableColumn id="2" xr3:uid="{6ABB4EDF-0F58-40D7-979C-D37D8D91A6BC}" name="CHASSIS" dataDxfId="82"/>
    <tableColumn id="17" xr3:uid="{0BBF5E4D-B8B0-4055-8D5F-3A6BB4D4A4DA}" name="ENGINE NO." dataDxfId="81"/>
    <tableColumn id="3" xr3:uid="{285CC4F4-4CD1-4FFC-A101-ED051DA40438}" name="NAME" dataDxfId="80"/>
    <tableColumn id="4" xr3:uid="{28DC8B59-EFA0-4502-86B0-033B0B60D615}" name="MODEL" dataDxfId="79"/>
    <tableColumn id="14" xr3:uid="{B25F5A6A-3B72-4772-B75C-D86670F35131}" name="COLOR" dataDxfId="78"/>
    <tableColumn id="15" xr3:uid="{22F5E9AE-FC4E-4EBD-ADBF-5C93F85B331F}" name="RTO" dataDxfId="77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6"/>
    <tableColumn id="6" xr3:uid="{9942893D-0703-456F-8072-CD136C7B4052}" name="DATE OF REG" dataDxfId="75"/>
    <tableColumn id="12" xr3:uid="{CC83ADC7-1924-4CE0-83FB-B2DFBEF7A193}" name="CONTACT" dataDxfId="74"/>
    <tableColumn id="7" xr3:uid="{3AD2B0D9-D7A5-46E0-B596-F6B7F1CDDEA6}" name="DSE" dataDxfId="73"/>
    <tableColumn id="8" xr3:uid="{475221AE-3FDC-4CED-B76C-4DA1DD4F8AD9}" name="RC RECEIVED BY" dataDxfId="72"/>
    <tableColumn id="9" xr3:uid="{F594ED7D-6966-47AC-A5C3-25754B73A3CC}" name="DATE" dataDxfId="71"/>
    <tableColumn id="10" xr3:uid="{452E3ECD-E927-4EC7-A8A2-4A866233750E}" name="FASTTAG" dataDxfId="70"/>
    <tableColumn id="11" xr3:uid="{CFEE5573-D700-4B26-B382-BCA8210C54C2}" name="DATED" dataDxfId="69"/>
    <tableColumn id="16" xr3:uid="{07363D0C-2FBE-403B-A617-BDB5768FAC43}" name="FT STATUS" dataDxfId="68"/>
    <tableColumn id="19" xr3:uid="{9456CF5E-F4D1-41FB-BAEA-332735A8583D}" name="REMARKS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6" dataDxfId="64" headerRowBorderDxfId="65" tableBorderDxfId="63">
  <autoFilter ref="A1:U1475" xr:uid="{D370B51C-D08F-47BE-AAB1-EC19B1CB5D0A}"/>
  <tableColumns count="21">
    <tableColumn id="1" xr3:uid="{F2AB5776-2910-4922-8F7A-A29B241AFBFB}" name="S.NO" dataDxfId="62"/>
    <tableColumn id="2" xr3:uid="{BD6FD91D-E737-4D6A-B00A-D80EC1A61CA8}" name="DATE" dataDxfId="61"/>
    <tableColumn id="3" xr3:uid="{523BFE7D-9361-4DD0-92B3-69A6F8F0C3E9}" name="CUSTOMER NAME" dataDxfId="60"/>
    <tableColumn id="4" xr3:uid="{D470DE80-5E84-419F-ABF9-6269311CD45E}" name="MARUTI" dataDxfId="59"/>
    <tableColumn id="5" xr3:uid="{89C10B6F-C9EE-4AD2-A610-262BFCF29B4E}" name="MODEL OR VARIANT" dataDxfId="58"/>
    <tableColumn id="6" xr3:uid="{9CB69D3E-706F-4EED-A315-D5399BE00D5C}" name="RTO" dataDxfId="57"/>
    <tableColumn id="7" xr3:uid="{2FB81954-C8D6-43B3-92E2-574B07BBFCCB}" name="VEHICLE CLASS" dataDxfId="56"/>
    <tableColumn id="8" xr3:uid="{1892A735-1187-4E6C-8786-9B173567AAD2}" name="REG. NO" dataDxfId="55"/>
    <tableColumn id="9" xr3:uid="{AFB37B1C-50E7-42BE-BC49-27B4D7E4E829}" name="VIN" dataDxfId="54"/>
    <tableColumn id="10" xr3:uid="{A3569458-1056-4E90-B079-94E3430A5743}" name="APPLICATION NO." dataDxfId="53"/>
    <tableColumn id="11" xr3:uid="{E25E7D92-4EC4-485D-93B8-A15B0538604A}" name="RTO AMMOUNT " dataDxfId="52"/>
    <tableColumn id="12" xr3:uid="{DB89535A-8F36-4EF8-B62C-86ABB378F51F}" name="HSRP" dataDxfId="51"/>
    <tableColumn id="13" xr3:uid="{6BD25826-954F-49C4-BE9E-24422B1B85BE}" name="ACCOUNT" dataDxfId="50"/>
    <tableColumn id="14" xr3:uid="{974951AE-D99C-487A-9DB5-065DA8DD25D4}" name="RM NAME" dataDxfId="49"/>
    <tableColumn id="15" xr3:uid="{FA4014CD-BE60-4554-9D6D-C0CC54B2CA05}" name="PAYMENT MODE" dataDxfId="48"/>
    <tableColumn id="16" xr3:uid="{84C48B22-72C9-4BD7-86AD-D8ECD87C3A64}" name="FILE PUNCHED BY" dataDxfId="47"/>
    <tableColumn id="17" xr3:uid="{87E46E14-6F6C-41D4-BBF8-CEAFAFE4CA8F}" name="PAYMENT ID" dataDxfId="46"/>
    <tableColumn id="18" xr3:uid="{0F2CD467-C868-4769-B436-AE2A25413B52}" name="RC STATUS" dataDxfId="45"/>
    <tableColumn id="19" xr3:uid="{0A9FDBF9-6418-4F2B-8B46-BE05C8150A04}" name="RC GIVEN DATE" dataDxfId="44"/>
    <tableColumn id="20" xr3:uid="{3A50F2B6-47D6-4A09-AA43-188FC568EA57}" name="FASTTAG ISSUE" dataDxfId="43"/>
    <tableColumn id="21" xr3:uid="{E4802D5D-D65F-42D3-B57E-E27729185964}" name="FASTTAG ISSUE DATE 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1" dataDxfId="40">
  <autoFilter ref="A2:I15" xr:uid="{74ED0DA7-B29F-4043-B63E-2DC322D6021E}"/>
  <tableColumns count="9">
    <tableColumn id="1" xr3:uid="{245016D5-DEB3-4F3E-B449-3096C2EF947B}" name="S.No." dataDxfId="39">
      <calculatedColumnFormula>ROW()-2</calculatedColumnFormula>
    </tableColumn>
    <tableColumn id="2" xr3:uid="{77ED4F47-8FDC-4F18-AB35-3830D899313B}" name="Dated" dataDxfId="38"/>
    <tableColumn id="3" xr3:uid="{67393A8B-58A2-4A4E-AA68-362B9B4F4E28}" name="Vehicle Num." dataDxfId="37"/>
    <tableColumn id="4" xr3:uid="{2C031EFD-E44B-468B-BEF0-3C97412F5E2E}" name="Name" dataDxfId="36"/>
    <tableColumn id="5" xr3:uid="{73873638-799E-44F5-B857-93DAE5E0F2FF}" name="Payment Mode" dataDxfId="35"/>
    <tableColumn id="6" xr3:uid="{BFB6E8F7-43C7-4B39-8FF0-E41A5EA5B2D3}" name="Trans Id." dataDxfId="34"/>
    <tableColumn id="8" xr3:uid="{3B1BF0B9-13BC-4A4E-B215-A3056576D199}" name="Trans. Date" dataDxfId="33"/>
    <tableColumn id="9" xr3:uid="{F64CF3FC-8352-46AE-80D1-01DDCE0247AC}" name="Amount" dataDxfId="32"/>
    <tableColumn id="7" xr3:uid="{22AF1F96-D5EA-48BA-A958-A42C203B5287}" name="Remark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90" totalsRowShown="0" headerRowDxfId="30" dataDxfId="29">
  <autoFilter ref="A2:H59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28"/>
    <tableColumn id="11" xr3:uid="{7AA66E15-5D81-45A6-A480-BC2F7EFDEB4C}" name="Name" dataDxfId="27"/>
    <tableColumn id="10" xr3:uid="{DA1D923C-25B3-4F76-823C-435E6464FF55}" name="Contact" dataDxfId="26"/>
    <tableColumn id="2" xr3:uid="{5FEBD558-5EB7-4421-BA25-DCAC1134B168}" name="Barcode No." dataDxfId="25"/>
    <tableColumn id="12" xr3:uid="{77758C8B-F2C8-47C0-B104-570729F9693B}" name="Reg Num" dataDxfId="24"/>
    <tableColumn id="5" xr3:uid="{9AC97A3F-3009-4A59-ACCF-A178780E6F61}" name="Date" dataDxfId="23"/>
    <tableColumn id="7" xr3:uid="{82C8F4C5-8489-4228-83CC-0B9666328CDD}" name="CHANNEL" dataDxfId="22"/>
    <tableColumn id="8" xr3:uid="{DDF1FC61-A0D6-46E9-9515-6DDC5AB1E932}" name="Statu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61"/>
  <sheetViews>
    <sheetView tabSelected="1" topLeftCell="A880" zoomScale="96" zoomScaleNormal="96" workbookViewId="0">
      <selection activeCell="I889" sqref="I889:I89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11402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11403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11404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11401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11423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11329</v>
      </c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11427</v>
      </c>
    </row>
    <row r="834" spans="1:18" x14ac:dyDescent="0.25">
      <c r="A834" s="21">
        <f t="shared" ref="A834:A893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11470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11421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11331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11332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11329</v>
      </c>
      <c r="N865" s="22"/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11334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11335</v>
      </c>
      <c r="C868" s="21" t="s">
        <v>11336</v>
      </c>
      <c r="D868" s="21" t="s">
        <v>11337</v>
      </c>
      <c r="E868" s="21" t="s">
        <v>11338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11339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 t="s">
        <v>23</v>
      </c>
      <c r="P868" s="24">
        <v>46196</v>
      </c>
      <c r="Q868" s="21" t="s">
        <v>6454</v>
      </c>
      <c r="R868" s="21" t="s">
        <v>11455</v>
      </c>
    </row>
    <row r="869" spans="1:18" x14ac:dyDescent="0.25">
      <c r="A869" s="21">
        <f t="shared" si="26"/>
        <v>868</v>
      </c>
      <c r="B869" s="21" t="s">
        <v>11341</v>
      </c>
      <c r="C869" s="21" t="s">
        <v>11342</v>
      </c>
      <c r="D869" s="21" t="s">
        <v>11343</v>
      </c>
      <c r="E869" s="21" t="s">
        <v>11344</v>
      </c>
      <c r="F869" s="21" t="s">
        <v>11345</v>
      </c>
      <c r="G869" s="21" t="s">
        <v>197</v>
      </c>
      <c r="H869" s="21" t="str">
        <f t="shared" si="27"/>
        <v>SRINAGAR</v>
      </c>
      <c r="I869" s="21" t="s">
        <v>11346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11347</v>
      </c>
      <c r="D870" s="21" t="s">
        <v>11348</v>
      </c>
      <c r="E870" s="21" t="s">
        <v>11349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11371</v>
      </c>
      <c r="J870" s="22">
        <v>46191</v>
      </c>
      <c r="K870" s="21">
        <v>7889983332</v>
      </c>
      <c r="L870" s="21" t="s">
        <v>11192</v>
      </c>
      <c r="M870" s="23" t="s">
        <v>11405</v>
      </c>
      <c r="N870" s="22">
        <v>46193</v>
      </c>
      <c r="O870" s="21" t="s">
        <v>23</v>
      </c>
      <c r="P870" s="24">
        <v>46192</v>
      </c>
      <c r="Q870" s="21" t="s">
        <v>6454</v>
      </c>
      <c r="R870" s="21"/>
    </row>
    <row r="871" spans="1:18" x14ac:dyDescent="0.25">
      <c r="A871" s="21">
        <f t="shared" si="26"/>
        <v>870</v>
      </c>
      <c r="B871" s="21" t="s">
        <v>11351</v>
      </c>
      <c r="C871" s="21" t="s">
        <v>11352</v>
      </c>
      <c r="D871" s="21" t="s">
        <v>11353</v>
      </c>
      <c r="E871" s="21" t="s">
        <v>11354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11372</v>
      </c>
      <c r="J871" s="22">
        <v>46192</v>
      </c>
      <c r="K871" s="21">
        <v>7006689214</v>
      </c>
      <c r="L871" s="21" t="s">
        <v>11355</v>
      </c>
      <c r="M871" s="23"/>
      <c r="N871" s="22"/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11356</v>
      </c>
      <c r="C872" s="21" t="s">
        <v>11357</v>
      </c>
      <c r="D872" s="21" t="s">
        <v>11358</v>
      </c>
      <c r="E872" s="21" t="s">
        <v>11359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11370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11360</v>
      </c>
      <c r="D873" s="21" t="s">
        <v>11361</v>
      </c>
      <c r="E873" s="21" t="s">
        <v>11362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11368</v>
      </c>
      <c r="J873" s="22">
        <v>46192</v>
      </c>
      <c r="K873" s="21">
        <v>9149654809</v>
      </c>
      <c r="L873" s="21" t="s">
        <v>173</v>
      </c>
      <c r="M873" s="23" t="s">
        <v>7607</v>
      </c>
      <c r="N873" s="22">
        <v>46196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11364</v>
      </c>
      <c r="C874" s="21" t="s">
        <v>11365</v>
      </c>
      <c r="D874" s="21" t="s">
        <v>11366</v>
      </c>
      <c r="E874" s="21" t="s">
        <v>11367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11369</v>
      </c>
      <c r="J874" s="22">
        <v>46192</v>
      </c>
      <c r="K874" s="21">
        <v>9419040502</v>
      </c>
      <c r="L874" s="21" t="s">
        <v>10162</v>
      </c>
      <c r="M874" s="23" t="s">
        <v>11391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11376</v>
      </c>
      <c r="C875" s="21" t="s">
        <v>11373</v>
      </c>
      <c r="D875" s="21" t="s">
        <v>11374</v>
      </c>
      <c r="E875" s="21" t="s">
        <v>11375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11380</v>
      </c>
      <c r="J875" s="22">
        <v>46192</v>
      </c>
      <c r="K875" s="21">
        <v>7006079082</v>
      </c>
      <c r="L875" s="21" t="s">
        <v>68</v>
      </c>
      <c r="M875" s="23"/>
      <c r="N875" s="22"/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11385</v>
      </c>
      <c r="C876" s="21" t="s">
        <v>11382</v>
      </c>
      <c r="D876" s="21" t="s">
        <v>11383</v>
      </c>
      <c r="E876" s="21" t="s">
        <v>11384</v>
      </c>
      <c r="F876" s="21" t="s">
        <v>3126</v>
      </c>
      <c r="G876" s="21" t="s">
        <v>6469</v>
      </c>
      <c r="H876" s="21" t="str">
        <f t="shared" ref="H876:H882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11386</v>
      </c>
      <c r="J876" s="22">
        <v>46192</v>
      </c>
      <c r="K876" s="21">
        <v>9469765393</v>
      </c>
      <c r="L876" s="21" t="s">
        <v>18</v>
      </c>
      <c r="M876" s="23" t="s">
        <v>7604</v>
      </c>
      <c r="N876" s="22">
        <v>46195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11392</v>
      </c>
      <c r="C877" s="21" t="s">
        <v>11393</v>
      </c>
      <c r="D877" s="21" t="s">
        <v>11394</v>
      </c>
      <c r="E877" s="21" t="s">
        <v>11395</v>
      </c>
      <c r="F877" s="21" t="s">
        <v>98</v>
      </c>
      <c r="G877" s="21" t="s">
        <v>171</v>
      </c>
      <c r="H877" s="21" t="str">
        <f t="shared" si="29"/>
        <v>BARAMULLA</v>
      </c>
      <c r="I877" s="21" t="s">
        <v>11399</v>
      </c>
      <c r="J877" s="22">
        <v>46192</v>
      </c>
      <c r="K877" s="21">
        <v>9622847452</v>
      </c>
      <c r="L877" s="21" t="s">
        <v>7240</v>
      </c>
      <c r="M877" s="23"/>
      <c r="N877" s="22"/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11387</v>
      </c>
      <c r="C878" s="21" t="s">
        <v>11388</v>
      </c>
      <c r="D878" s="21" t="s">
        <v>11389</v>
      </c>
      <c r="E878" s="21" t="s">
        <v>11390</v>
      </c>
      <c r="F878" s="21" t="s">
        <v>98</v>
      </c>
      <c r="G878" s="21" t="s">
        <v>197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SRINAGAR</v>
      </c>
      <c r="I878" s="21" t="s">
        <v>11408</v>
      </c>
      <c r="J878" s="22">
        <v>46192</v>
      </c>
      <c r="K878" s="21">
        <v>9906594726</v>
      </c>
      <c r="L878" s="21" t="s">
        <v>68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11411</v>
      </c>
      <c r="C879" s="21" t="s">
        <v>11412</v>
      </c>
      <c r="D879" s="21" t="s">
        <v>11413</v>
      </c>
      <c r="E879" s="21" t="s">
        <v>11414</v>
      </c>
      <c r="F879" s="21" t="s">
        <v>12</v>
      </c>
      <c r="G879" s="21" t="s">
        <v>178</v>
      </c>
      <c r="H879" s="21" t="str">
        <f t="shared" si="29"/>
        <v>SRINAGAR</v>
      </c>
      <c r="I879" s="21" t="s">
        <v>11415</v>
      </c>
      <c r="J879" s="22">
        <v>46193</v>
      </c>
      <c r="K879" s="21">
        <v>8899566980</v>
      </c>
      <c r="L879" s="21" t="s">
        <v>2244</v>
      </c>
      <c r="M879" s="23"/>
      <c r="N879" s="22"/>
      <c r="O879" s="21" t="s">
        <v>23</v>
      </c>
      <c r="P879" s="24">
        <v>46193</v>
      </c>
      <c r="Q879" s="21" t="s">
        <v>6454</v>
      </c>
      <c r="R879" s="21"/>
    </row>
    <row r="880" spans="1:18" x14ac:dyDescent="0.25">
      <c r="A880" s="21">
        <f t="shared" si="26"/>
        <v>879</v>
      </c>
      <c r="B880" s="21" t="s">
        <v>11424</v>
      </c>
      <c r="C880" s="21" t="s">
        <v>11425</v>
      </c>
      <c r="D880" s="21" t="s">
        <v>11426</v>
      </c>
      <c r="E880" s="21" t="s">
        <v>1137</v>
      </c>
      <c r="F880" s="21" t="s">
        <v>36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9596384041</v>
      </c>
      <c r="L880" s="21" t="s">
        <v>8591</v>
      </c>
      <c r="M880" s="23"/>
      <c r="N880" s="22"/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11429</v>
      </c>
      <c r="C881" s="21" t="s">
        <v>11430</v>
      </c>
      <c r="D881" s="21" t="s">
        <v>11431</v>
      </c>
      <c r="E881" s="21" t="s">
        <v>11432</v>
      </c>
      <c r="F881" s="21" t="s">
        <v>5</v>
      </c>
      <c r="G881" s="21" t="s">
        <v>196</v>
      </c>
      <c r="H881" s="21" t="str">
        <f t="shared" si="29"/>
        <v>PULWAMA</v>
      </c>
      <c r="I881" s="21" t="s">
        <v>11434</v>
      </c>
      <c r="J881" s="22">
        <v>46195</v>
      </c>
      <c r="K881" s="21">
        <v>9622907844</v>
      </c>
      <c r="L881" s="21" t="s">
        <v>7228</v>
      </c>
      <c r="M881" s="23"/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11435</v>
      </c>
      <c r="C882" s="21" t="s">
        <v>11436</v>
      </c>
      <c r="D882" s="21" t="s">
        <v>11437</v>
      </c>
      <c r="E882" s="21" t="s">
        <v>11438</v>
      </c>
      <c r="F882" s="21" t="s">
        <v>12</v>
      </c>
      <c r="G882" s="21" t="s">
        <v>178</v>
      </c>
      <c r="H882" s="21" t="str">
        <f t="shared" si="29"/>
        <v>PULWAMA</v>
      </c>
      <c r="I882" s="21" t="s">
        <v>11439</v>
      </c>
      <c r="J882" s="22">
        <v>46195</v>
      </c>
      <c r="K882" s="21">
        <v>7006623287</v>
      </c>
      <c r="L882" s="21" t="s">
        <v>9902</v>
      </c>
      <c r="M882" s="23"/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 t="s">
        <v>11440</v>
      </c>
      <c r="C883" s="21" t="s">
        <v>11441</v>
      </c>
      <c r="D883" s="21" t="s">
        <v>11442</v>
      </c>
      <c r="E883" s="21" t="s">
        <v>11443</v>
      </c>
      <c r="F883" s="21" t="s">
        <v>36</v>
      </c>
      <c r="G883" s="21" t="s">
        <v>171</v>
      </c>
      <c r="H883" s="21" t="str">
        <f t="shared" ref="H883:H888" si="30">IF(LEFT(I883,4)="JK13","PULWAMA",IF(LEFT(I883,4)="JK01","SRINAGAR",IF(LEFT(I883,4)="JK04","BUDGAM",IF(LEFT(I883,4)="JK03","ANANTNAG",IF(LEFT(I883,4)="LA01","KARGIL",IF(LEFT(I883,4)="JK05","BARAMULLA",IF(LEFT(I883,4)="26BH","BHARAT",IF(LEFT(I883,4)="25BH","BHARAT",IF(LEFT(I883,4)="JK12","POONCH",IF(LEFT(I883,4)="JK16","GANDERBAL",IF(LEFT(I883,4)="JK18","KULGAM",IF(LEFT(I883,4)="JK22","SHOPIAN",IF(LEFT(I883,4)="JK02","JAMMU",IF(LEFT(I883,4)="JK09","KUPWARA",IF(LEFT(I883,4)="JK15","BANDIPORA",IF(LEFT(I883,4)="JK17","KISHTWAR",IF(LEFT(I883,4)="LA01","KARGIL",IF(LEFT(I883,1)="T","TEMP","NEW"))))))))))))))))))</f>
        <v>PULWAMA</v>
      </c>
      <c r="I883" s="21" t="s">
        <v>11454</v>
      </c>
      <c r="J883" s="22">
        <v>46196</v>
      </c>
      <c r="K883" s="21">
        <v>9149740071</v>
      </c>
      <c r="L883" s="21" t="s">
        <v>7689</v>
      </c>
      <c r="M883" s="23"/>
      <c r="N883" s="22"/>
      <c r="O883" s="21"/>
      <c r="P883" s="24"/>
      <c r="Q883" s="21"/>
      <c r="R883" s="21"/>
    </row>
    <row r="884" spans="1:18" x14ac:dyDescent="0.25">
      <c r="A884" s="21">
        <f t="shared" si="26"/>
        <v>883</v>
      </c>
      <c r="B884" s="21" t="s">
        <v>11447</v>
      </c>
      <c r="C884" s="21" t="s">
        <v>11444</v>
      </c>
      <c r="D884" s="21" t="s">
        <v>11445</v>
      </c>
      <c r="E884" s="21" t="s">
        <v>11446</v>
      </c>
      <c r="F884" s="21" t="s">
        <v>65</v>
      </c>
      <c r="G884" s="21" t="s">
        <v>197</v>
      </c>
      <c r="H884" s="21" t="str">
        <f t="shared" si="30"/>
        <v>KUPWARA</v>
      </c>
      <c r="I884" s="21" t="s">
        <v>11453</v>
      </c>
      <c r="J884" s="22">
        <v>46196</v>
      </c>
      <c r="K884" s="21">
        <v>9797226096</v>
      </c>
      <c r="L884" s="21" t="s">
        <v>26</v>
      </c>
      <c r="M884" s="23"/>
      <c r="N884" s="22"/>
      <c r="O884" s="21"/>
      <c r="P884" s="24"/>
      <c r="Q884" s="21"/>
      <c r="R884" s="21"/>
    </row>
    <row r="885" spans="1:18" x14ac:dyDescent="0.25">
      <c r="A885" s="21">
        <f t="shared" si="26"/>
        <v>884</v>
      </c>
      <c r="B885" s="21" t="s">
        <v>11451</v>
      </c>
      <c r="C885" s="21" t="s">
        <v>11448</v>
      </c>
      <c r="D885" s="21" t="s">
        <v>11449</v>
      </c>
      <c r="E885" s="21" t="s">
        <v>11450</v>
      </c>
      <c r="F885" s="21" t="s">
        <v>36</v>
      </c>
      <c r="G885" s="21" t="s">
        <v>196</v>
      </c>
      <c r="H885" s="21" t="str">
        <f t="shared" si="30"/>
        <v>ANANTNAG</v>
      </c>
      <c r="I885" s="21" t="s">
        <v>11452</v>
      </c>
      <c r="J885" s="22">
        <v>46196</v>
      </c>
      <c r="K885" s="21">
        <v>9797131308</v>
      </c>
      <c r="L885" s="21" t="s">
        <v>26</v>
      </c>
      <c r="M885" s="23"/>
      <c r="N885" s="22"/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11458</v>
      </c>
      <c r="C886" s="21" t="s">
        <v>11459</v>
      </c>
      <c r="D886" s="21" t="s">
        <v>11460</v>
      </c>
      <c r="E886" s="21" t="s">
        <v>11461</v>
      </c>
      <c r="F886" s="21" t="s">
        <v>7391</v>
      </c>
      <c r="G886" s="21" t="s">
        <v>178</v>
      </c>
      <c r="H886" s="21" t="str">
        <f t="shared" si="30"/>
        <v>SRINAGAR</v>
      </c>
      <c r="I886" s="21" t="s">
        <v>11462</v>
      </c>
      <c r="J886" s="22">
        <v>46196</v>
      </c>
      <c r="K886" s="21">
        <v>9906522960</v>
      </c>
      <c r="L886" s="21" t="s">
        <v>73</v>
      </c>
      <c r="M886" s="23"/>
      <c r="N886" s="22"/>
      <c r="O886" s="21" t="s">
        <v>23</v>
      </c>
      <c r="P886" s="24">
        <v>46196</v>
      </c>
      <c r="Q886" s="21" t="s">
        <v>6454</v>
      </c>
      <c r="R886" s="21"/>
    </row>
    <row r="887" spans="1:18" x14ac:dyDescent="0.25">
      <c r="A887" s="21">
        <f t="shared" si="26"/>
        <v>886</v>
      </c>
      <c r="B887" s="21" t="s">
        <v>11379</v>
      </c>
      <c r="C887" s="21" t="s">
        <v>11378</v>
      </c>
      <c r="D887" s="21" t="s">
        <v>11381</v>
      </c>
      <c r="E887" s="21" t="s">
        <v>11377</v>
      </c>
      <c r="F887" s="21" t="s">
        <v>98</v>
      </c>
      <c r="G887" s="21" t="s">
        <v>171</v>
      </c>
      <c r="H887" s="21" t="str">
        <f>IF(LEFT(I887,4)="JK13","PULWAMA",IF(LEFT(I887,4)="JK01","SRINAGAR",IF(LEFT(I887,4)="JK04","BUDGAM",IF(LEFT(I887,4)="JK03","ANANTNAG",IF(LEFT(I887,4)="LA01","KARGIL",IF(LEFT(I887,4)="JK05","BARAMULLA",IF(LEFT(I887,4)="26BH","BHARAT",IF(LEFT(I887,4)="25BH","BHARAT",IF(LEFT(I887,4)="JK12","POONCH",IF(LEFT(I887,4)="JK16","GANDERBAL",IF(LEFT(I887,4)="JK18","KULGAM",IF(LEFT(I887,4)="JK22","SHOPIAN",IF(LEFT(I887,4)="JK02","JAMMU",IF(LEFT(I887,4)="JK09","KUPWARA",IF(LEFT(I887,4)="JK15","BANDIPORA",IF(LEFT(I887,4)="JK17","KISHTWAR",IF(LEFT(I887,4)="LA01","KARGIL",IF(LEFT(I887,1)="T","TEMP","NEW"))))))))))))))))))</f>
        <v>BHARAT</v>
      </c>
      <c r="I887" s="21" t="s">
        <v>11463</v>
      </c>
      <c r="J887" s="22">
        <v>46192</v>
      </c>
      <c r="K887" s="21">
        <v>9978492818</v>
      </c>
      <c r="L887" s="21" t="s">
        <v>26</v>
      </c>
      <c r="M887" s="23"/>
      <c r="N887" s="22"/>
      <c r="O887" s="21"/>
      <c r="P887" s="24"/>
      <c r="Q887" s="21"/>
      <c r="R887" s="21"/>
    </row>
    <row r="888" spans="1:18" x14ac:dyDescent="0.25">
      <c r="A888" s="21">
        <f t="shared" si="26"/>
        <v>887</v>
      </c>
      <c r="B888" s="21" t="s">
        <v>11464</v>
      </c>
      <c r="C888" s="21" t="s">
        <v>11465</v>
      </c>
      <c r="D888" s="21" t="s">
        <v>11466</v>
      </c>
      <c r="E888" s="21" t="s">
        <v>11467</v>
      </c>
      <c r="F888" s="21" t="s">
        <v>98</v>
      </c>
      <c r="G888" s="21" t="s">
        <v>171</v>
      </c>
      <c r="H888" s="21" t="str">
        <f t="shared" si="30"/>
        <v>SHOPIAN</v>
      </c>
      <c r="I888" s="21" t="s">
        <v>11469</v>
      </c>
      <c r="J888" s="22">
        <v>46196</v>
      </c>
      <c r="K888" s="21">
        <v>7006467400</v>
      </c>
      <c r="L888" s="21" t="s">
        <v>11468</v>
      </c>
      <c r="M888" s="23"/>
      <c r="N888" s="22"/>
      <c r="O888" s="21" t="s">
        <v>23</v>
      </c>
      <c r="P888" s="24">
        <v>46196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11474</v>
      </c>
      <c r="C889" s="21" t="s">
        <v>11471</v>
      </c>
      <c r="D889" s="21" t="s">
        <v>11472</v>
      </c>
      <c r="E889" s="21" t="s">
        <v>11473</v>
      </c>
      <c r="F889" s="21" t="s">
        <v>12</v>
      </c>
      <c r="G889" s="21" t="s">
        <v>197</v>
      </c>
      <c r="H889" s="55" t="str">
        <f t="shared" ref="H889:H893" si="31">IF(LEFT(I889,4)="JK13","PULWAMA",IF(LEFT(I889,4)="JK01","SRINAGAR",IF(LEFT(I889,4)="JK04","BUDGAM",IF(LEFT(I889,4)="JK03","ANANTNAG",IF(LEFT(I889,4)="LA01","KARGIL",IF(LEFT(I889,4)="JK05","BARAMULLA",IF(LEFT(I889,4)="26BH","BHARAT",IF(LEFT(I889,4)="25BH","BHARAT",IF(LEFT(I889,4)="JK12","POONCH",IF(LEFT(I889,4)="JK16","GANDERBAL",IF(LEFT(I889,4)="JK18","KULGAM",IF(LEFT(I889,4)="JK22","SHOPIAN",IF(LEFT(I889,4)="JK02","JAMMU",IF(LEFT(I889,4)="JK09","KUPWARA",IF(LEFT(I889,4)="JK15","BANDIPORA",IF(LEFT(I889,4)="JK17","KISHTWAR",IF(LEFT(I889,4)="LA01","KARGIL",IF(LEFT(I889,1)="T","TEMP","NEW"))))))))))))))))))</f>
        <v>SRINAGAR</v>
      </c>
      <c r="I889" s="54" t="s">
        <v>11489</v>
      </c>
      <c r="J889" s="56">
        <v>46196</v>
      </c>
      <c r="K889" s="21">
        <v>9419944287</v>
      </c>
      <c r="L889" s="54" t="s">
        <v>10162</v>
      </c>
      <c r="M889" s="58"/>
      <c r="N889" s="56"/>
      <c r="O889" s="54"/>
      <c r="P889" s="59"/>
      <c r="Q889" s="54"/>
      <c r="R889" s="54"/>
    </row>
    <row r="890" spans="1:18" x14ac:dyDescent="0.25">
      <c r="A890" s="21">
        <f t="shared" si="26"/>
        <v>889</v>
      </c>
      <c r="B890" s="21" t="s">
        <v>11478</v>
      </c>
      <c r="C890" s="21" t="s">
        <v>11475</v>
      </c>
      <c r="D890" s="21" t="s">
        <v>11476</v>
      </c>
      <c r="E890" s="21" t="s">
        <v>11477</v>
      </c>
      <c r="F890" s="21" t="s">
        <v>12</v>
      </c>
      <c r="G890" s="21" t="s">
        <v>178</v>
      </c>
      <c r="H890" s="55" t="str">
        <f t="shared" si="31"/>
        <v>ANANTNAG</v>
      </c>
      <c r="I890" s="54" t="s">
        <v>11487</v>
      </c>
      <c r="J890" s="56">
        <v>46196</v>
      </c>
      <c r="K890" s="21">
        <v>9070193564</v>
      </c>
      <c r="L890" s="54" t="s">
        <v>26</v>
      </c>
      <c r="M890" s="58"/>
      <c r="N890" s="56"/>
      <c r="O890" s="54"/>
      <c r="P890" s="59"/>
      <c r="Q890" s="54"/>
      <c r="R890" s="54"/>
    </row>
    <row r="891" spans="1:18" x14ac:dyDescent="0.25">
      <c r="A891" s="21">
        <f t="shared" si="26"/>
        <v>890</v>
      </c>
      <c r="B891" s="21" t="s">
        <v>11482</v>
      </c>
      <c r="C891" s="21" t="s">
        <v>11479</v>
      </c>
      <c r="D891" s="21" t="s">
        <v>11480</v>
      </c>
      <c r="E891" s="21" t="s">
        <v>11481</v>
      </c>
      <c r="F891" s="21" t="s">
        <v>12</v>
      </c>
      <c r="G891" s="21" t="s">
        <v>171</v>
      </c>
      <c r="H891" s="55" t="str">
        <f t="shared" si="31"/>
        <v>SRINAGAR</v>
      </c>
      <c r="I891" s="54" t="s">
        <v>11488</v>
      </c>
      <c r="J891" s="56">
        <v>46196</v>
      </c>
      <c r="K891" s="21">
        <v>7006231817</v>
      </c>
      <c r="L891" s="54" t="s">
        <v>26</v>
      </c>
      <c r="M891" s="58"/>
      <c r="N891" s="56"/>
      <c r="O891" s="54"/>
      <c r="P891" s="59"/>
      <c r="Q891" s="54"/>
      <c r="R891" s="54"/>
    </row>
    <row r="892" spans="1:18" x14ac:dyDescent="0.25">
      <c r="A892" s="21">
        <f t="shared" si="26"/>
        <v>891</v>
      </c>
      <c r="B892" s="54"/>
      <c r="C892" s="54"/>
      <c r="D892" s="54"/>
      <c r="E892" s="54"/>
      <c r="F892" s="54"/>
      <c r="G892" s="54"/>
      <c r="H892" s="55" t="str">
        <f t="shared" si="31"/>
        <v>NEW</v>
      </c>
      <c r="I892" s="54"/>
      <c r="J892" s="56"/>
      <c r="K892" s="21"/>
      <c r="L892" s="54"/>
      <c r="M892" s="58"/>
      <c r="N892" s="56"/>
      <c r="O892" s="54"/>
      <c r="P892" s="59"/>
      <c r="Q892" s="54"/>
      <c r="R892" s="54"/>
    </row>
    <row r="893" spans="1:18" x14ac:dyDescent="0.25">
      <c r="A893" s="21">
        <f t="shared" si="26"/>
        <v>892</v>
      </c>
      <c r="B893" s="54"/>
      <c r="C893" s="54"/>
      <c r="D893" s="54"/>
      <c r="E893" s="54"/>
      <c r="F893" s="54"/>
      <c r="G893" s="54"/>
      <c r="H893" s="55" t="str">
        <f t="shared" si="31"/>
        <v>NEW</v>
      </c>
      <c r="I893" s="54"/>
      <c r="J893" s="56"/>
      <c r="K893" s="57"/>
      <c r="L893" s="54"/>
      <c r="M893" s="58"/>
      <c r="N893" s="56"/>
      <c r="O893" s="54"/>
      <c r="P893" s="59"/>
      <c r="Q893" s="54"/>
      <c r="R893" s="54"/>
    </row>
    <row r="894" spans="1:18" ht="15.75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12"/>
      <c r="K894" s="21"/>
      <c r="L894" s="21"/>
      <c r="M894" t="s">
        <v>43</v>
      </c>
    </row>
    <row r="895" spans="1:18" ht="15.75" x14ac:dyDescent="0.25">
      <c r="A895" s="21"/>
      <c r="B895" s="21"/>
      <c r="C895" s="21"/>
      <c r="D895" s="21"/>
      <c r="E895" s="21"/>
      <c r="F895" s="21"/>
      <c r="G895" s="21"/>
      <c r="H895" s="1"/>
      <c r="I895" s="13"/>
      <c r="K895" s="21"/>
      <c r="L895" s="21"/>
    </row>
    <row r="896" spans="1:18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x14ac:dyDescent="0.25">
      <c r="K1023" s="20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K852:K869 L853:R876 I858:I863 J859:J863 A864:J864 B865:J865 I866:J868 B866:H874 J869 I869:I874 J870:K874 B875:K876 L894:L895 J882:R882 B877:R881 J883:J886 J887:R887 J888 B882:I888 I894 A893:R893 A865:A891 G889:J891 B886:G891 A892:J892 K888:K892 L883:R892">
    <cfRule type="expression" dxfId="20" priority="24">
      <formula>CELL("row")=ROW()</formula>
    </cfRule>
  </conditionalFormatting>
  <conditionalFormatting sqref="B257:G290 B291:B300 C291:G301">
    <cfRule type="expression" dxfId="19" priority="22">
      <formula>CELL("row")=ROW()</formula>
    </cfRule>
  </conditionalFormatting>
  <conditionalFormatting sqref="B772:G772">
    <cfRule type="expression" dxfId="18" priority="5">
      <formula>CELL("row")=ROW()</formula>
    </cfRule>
  </conditionalFormatting>
  <conditionalFormatting sqref="F398">
    <cfRule type="expression" dxfId="17" priority="17">
      <formula>CELL("row")=ROW()</formula>
    </cfRule>
  </conditionalFormatting>
  <conditionalFormatting sqref="F420">
    <cfRule type="expression" dxfId="16" priority="16">
      <formula>CELL("row")=ROW()</formula>
    </cfRule>
  </conditionalFormatting>
  <conditionalFormatting sqref="F326:G326">
    <cfRule type="expression" dxfId="15" priority="19">
      <formula>CELL("row")=ROW()</formula>
    </cfRule>
  </conditionalFormatting>
  <conditionalFormatting sqref="G266">
    <cfRule type="expression" dxfId="14" priority="21">
      <formula>CELL("row")=ROW()</formula>
    </cfRule>
  </conditionalFormatting>
  <conditionalFormatting sqref="I558">
    <cfRule type="expression" dxfId="13" priority="12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894:H894 K894:K973 A895:G895">
    <cfRule type="expression" dxfId="12" priority="10">
      <formula>CELL("row")=ROW()</formula>
    </cfRule>
  </conditionalFormatting>
  <conditionalFormatting sqref="K672:K697 K698:L700 L701">
    <cfRule type="expression" dxfId="11" priority="9">
      <formula>CELL("row")=ROW()</formula>
    </cfRule>
  </conditionalFormatting>
  <conditionalFormatting sqref="L532:L535">
    <cfRule type="expression" dxfId="10" priority="14">
      <formula>CELL("row")=ROW()</formula>
    </cfRule>
  </conditionalFormatting>
  <conditionalFormatting sqref="M718 M730 M733 M738:M739">
    <cfRule type="expression" dxfId="9" priority="4">
      <formula>CELL("row")=ROW()</formula>
    </cfRule>
  </conditionalFormatting>
  <conditionalFormatting sqref="M763:M764 M774">
    <cfRule type="expression" dxfId="8" priority="3">
      <formula>CELL("row")=ROW()</formula>
    </cfRule>
  </conditionalFormatting>
  <conditionalFormatting sqref="M894:O895">
    <cfRule type="expression" dxfId="7" priority="33">
      <formula>ROW(O93)=HighlightRow</formula>
    </cfRule>
  </conditionalFormatting>
  <conditionalFormatting sqref="N698">
    <cfRule type="expression" dxfId="6" priority="7">
      <formula>CELL("row")=ROW()</formula>
    </cfRule>
  </conditionalFormatting>
  <conditionalFormatting sqref="P894:Q895">
    <cfRule type="expression" dxfId="5" priority="37">
      <formula>ROW(S93)=HighlightRow</formula>
    </cfRule>
  </conditionalFormatting>
  <conditionalFormatting sqref="S105:XFD105">
    <cfRule type="expression" dxfId="4" priority="38">
      <formula>ROW(T94)=HighlightRow</formula>
    </cfRule>
  </conditionalFormatting>
  <conditionalFormatting sqref="S106:XFD114">
    <cfRule type="expression" dxfId="3" priority="35">
      <formula>ROW(T96)=HighlightRow</formula>
    </cfRule>
  </conditionalFormatting>
  <conditionalFormatting sqref="K883:K892">
    <cfRule type="expression" dxfId="2" priority="1">
      <formula>CELL("row")=ROW()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22" zoomScaleNormal="100" workbookViewId="0">
      <selection activeCell="R33" sqref="R3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F20" sqref="F20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11417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11417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11417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11417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11417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11417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11417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11333</v>
      </c>
      <c r="D15" s="21" t="s">
        <v>337</v>
      </c>
      <c r="E15" s="21" t="s">
        <v>11417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91"/>
  <sheetViews>
    <sheetView topLeftCell="A579" zoomScaleNormal="100" workbookViewId="0">
      <selection activeCell="E588" sqref="E58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11340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11362</v>
      </c>
      <c r="C573" s="21">
        <v>9149654809</v>
      </c>
      <c r="D573" s="21" t="s">
        <v>11396</v>
      </c>
      <c r="E573" s="21" t="s">
        <v>11368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11367</v>
      </c>
      <c r="C574" s="21">
        <v>6006939791</v>
      </c>
      <c r="D574" s="21" t="s">
        <v>11397</v>
      </c>
      <c r="E574" s="21" t="s">
        <v>11369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11359</v>
      </c>
      <c r="C575" s="21">
        <v>9811039202</v>
      </c>
      <c r="D575" s="21" t="s">
        <v>11398</v>
      </c>
      <c r="E575" s="21" t="s">
        <v>11370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11344</v>
      </c>
      <c r="C576" s="21">
        <v>8082196159</v>
      </c>
      <c r="D576" s="21" t="s">
        <v>11400</v>
      </c>
      <c r="E576" s="21" t="s">
        <v>11346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11406</v>
      </c>
      <c r="C577" s="21">
        <v>6005461613</v>
      </c>
      <c r="D577" s="21" t="s">
        <v>11407</v>
      </c>
      <c r="E577" s="21" t="s">
        <v>11371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11409</v>
      </c>
      <c r="C578" s="21">
        <v>7006079082</v>
      </c>
      <c r="D578" s="21" t="s">
        <v>11410</v>
      </c>
      <c r="E578" s="21" t="s">
        <v>11380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11384</v>
      </c>
      <c r="C579" s="21">
        <v>9469765393</v>
      </c>
      <c r="D579" s="21" t="s">
        <v>11416</v>
      </c>
      <c r="E579" s="21" t="s">
        <v>11386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11414</v>
      </c>
      <c r="C580" s="21">
        <v>8899566980</v>
      </c>
      <c r="D580" s="21" t="s">
        <v>11418</v>
      </c>
      <c r="E580" s="21" t="s">
        <v>11415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11419</v>
      </c>
      <c r="C581" s="21">
        <v>7006789699</v>
      </c>
      <c r="D581" s="21" t="s">
        <v>11420</v>
      </c>
      <c r="E581" s="21" t="s">
        <v>11408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11395</v>
      </c>
      <c r="C582" s="21">
        <v>9622847452</v>
      </c>
      <c r="D582" s="21" t="s">
        <v>11422</v>
      </c>
      <c r="E582" s="21" t="s">
        <v>11399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11428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590" si="9">ROW()-2</f>
        <v>582</v>
      </c>
      <c r="B584" s="21" t="s">
        <v>11338</v>
      </c>
      <c r="C584" s="21">
        <v>9718916222</v>
      </c>
      <c r="D584" s="21" t="s">
        <v>11456</v>
      </c>
      <c r="E584" s="21" t="s">
        <v>11339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11457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11467</v>
      </c>
      <c r="C586" s="21">
        <v>7006467400</v>
      </c>
      <c r="D586" s="21" t="s">
        <v>11483</v>
      </c>
      <c r="E586" s="21" t="s">
        <v>11469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11450</v>
      </c>
      <c r="C587" s="21">
        <v>9797131308</v>
      </c>
      <c r="D587" s="21" t="s">
        <v>11484</v>
      </c>
      <c r="E587" s="21" t="s">
        <v>11452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11461</v>
      </c>
      <c r="C588" s="21"/>
      <c r="D588" s="21" t="s">
        <v>11485</v>
      </c>
      <c r="E588" s="21"/>
      <c r="F588" s="14"/>
      <c r="G588" s="14"/>
      <c r="H588" s="12"/>
    </row>
    <row r="589" spans="1:8" ht="15.75" x14ac:dyDescent="0.25">
      <c r="A589" s="12">
        <f t="shared" si="9"/>
        <v>587</v>
      </c>
      <c r="B589" s="21" t="s">
        <v>11446</v>
      </c>
      <c r="C589" s="21"/>
      <c r="D589" s="21" t="s">
        <v>11486</v>
      </c>
      <c r="E589" s="21" t="s">
        <v>11453</v>
      </c>
      <c r="F589" s="14"/>
      <c r="G589" s="14"/>
      <c r="H589" s="12"/>
    </row>
    <row r="590" spans="1:8" ht="15.75" x14ac:dyDescent="0.25">
      <c r="A590" s="12">
        <f t="shared" si="9"/>
        <v>588</v>
      </c>
      <c r="B590" s="21"/>
      <c r="C590" s="21"/>
      <c r="D590" s="21"/>
      <c r="E590" s="21"/>
      <c r="F590" s="14"/>
      <c r="G590" s="14"/>
      <c r="H590" s="12"/>
    </row>
    <row r="591" spans="1:8" x14ac:dyDescent="0.25">
      <c r="B591" s="21"/>
      <c r="C591" s="21"/>
      <c r="D591" s="21"/>
      <c r="E591" s="21"/>
    </row>
  </sheetData>
  <mergeCells count="1">
    <mergeCell ref="A1:H1"/>
  </mergeCells>
  <phoneticPr fontId="26" type="noConversion"/>
  <conditionalFormatting sqref="B568:E588 B590:E591 C589:E589">
    <cfRule type="expression" dxfId="1" priority="4">
      <formula>CELL("row")=ROW()</formula>
    </cfRule>
  </conditionalFormatting>
  <conditionalFormatting sqref="B589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2" t="s">
        <v>10712</v>
      </c>
      <c r="B1" s="52"/>
      <c r="C1" s="42"/>
      <c r="D1" s="36"/>
    </row>
    <row r="2" spans="1:6" ht="23.25" x14ac:dyDescent="0.35">
      <c r="A2" s="53" t="s">
        <v>10713</v>
      </c>
      <c r="B2" s="53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2026-06-23T12:55:48Z</dcterms:modified>
</cp:coreProperties>
</file>