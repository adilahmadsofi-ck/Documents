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431A19D-97D7-42BC-B9AE-3D018830C63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H446" i="4"/>
  <c r="H444" i="4"/>
  <c r="H443" i="4"/>
  <c r="H445" i="4"/>
  <c r="H447" i="4"/>
  <c r="H449" i="4"/>
  <c r="H348" i="4"/>
  <c r="H448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4" i="7"/>
  <c r="A206" i="7"/>
  <c r="A209" i="7"/>
  <c r="A208" i="7"/>
  <c r="A207" i="7"/>
  <c r="A210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0" i="7"/>
  <c r="A201" i="7"/>
  <c r="A202" i="7"/>
  <c r="A203" i="7"/>
  <c r="A205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6" i="7"/>
  <c r="A197" i="7"/>
  <c r="A198" i="7"/>
  <c r="A199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7" i="7"/>
  <c r="A178" i="7"/>
  <c r="A179" i="7"/>
  <c r="A180" i="7"/>
  <c r="A181" i="7"/>
  <c r="A183" i="7"/>
  <c r="A184" i="7"/>
  <c r="A379" i="4"/>
  <c r="A382" i="4"/>
  <c r="A381" i="4"/>
  <c r="A380" i="4"/>
  <c r="A385" i="4"/>
  <c r="A384" i="4"/>
  <c r="A386" i="4"/>
  <c r="A387" i="4"/>
  <c r="A391" i="4"/>
  <c r="A174" i="7"/>
  <c r="A182" i="7"/>
  <c r="A175" i="7"/>
  <c r="A176" i="7"/>
  <c r="A169" i="7"/>
  <c r="A168" i="7"/>
  <c r="A170" i="7"/>
  <c r="A171" i="7"/>
  <c r="A172" i="7"/>
  <c r="A173" i="7"/>
  <c r="A376" i="4"/>
  <c r="A390" i="4"/>
  <c r="A378" i="4"/>
  <c r="A377" i="4"/>
  <c r="A383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<sst xmlns="http://schemas.openxmlformats.org/spreadsheetml/2006/main" count="22329" uniqueCount="8773">
  <si>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</si>
  <si>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</si>
  <si>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</si>
  <si>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</si>
  <si>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</si>
  <si>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</si>
  <si>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</si>
  <si>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</si>
  <si>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</si>
  <si>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</si>
  <si>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</si>
  <si>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</si>
  <si>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</si>
  <si>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</si>
  <si>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</si>
  <si>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</si>
  <si>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</si>
  <si>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</si>
  <si>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</si>
  <si>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</si>
  <si>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</si>
  <si>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</si>
  <si>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</si>
  <si>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</si>
  <si>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</si>
  <si>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</si>
  <si>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</si>
  <si>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</si>
  <si>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</si>
  <si>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</si>
  <si>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</si>
  <si>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</si>
  <si>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</si>
  <si>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</si>
  <si>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</si>
  <si>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</si>
  <si>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</si>
  <si>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</si>
  <si>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</si>
  <si>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</si>
  <si>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</si>
  <si>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</si>
  <si>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</si>
  <si>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</si>
  <si>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</si>
  <si>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</si>
  <si>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</si>
  <si>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</si>
  <si>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</si>
  <si>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</si>
  <si>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</si>
  <si>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</si>
  <si>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</si>
  <si>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</si>
  <si>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</si>
  <si>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</si>
  <si>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</si>
  <si>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</si>
  <si>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</si>
  <si>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</si>
  <si>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</si>
  <si>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</si>
  <si>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</si>
  <si>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</si>
  <si>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</si>
  <si>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</si>
  <si>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</si>
  <si>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</si>
  <si>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</si>
  <si>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</si>
  <si>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</si>
  <si>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</si>
  <si>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</si>
  <si>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</si>
  <si>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</si>
  <si>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</si>
  <si>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</si>
  <si>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</si>
  <si>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</si>
  <si>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</si>
  <si>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</si>
  <si>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</si>
  <si>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</si>
  <si>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</si>
  <si>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</si>
  <si>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</si>
  <si>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</si>
  <si>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</si>
  <si>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</si>
  <si>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</si>
  <si>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</si>
  <si>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</si>
  <si>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</si>
  <si>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</si>
  <si>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</si>
  <si>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</si>
  <si>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</si>
  <si>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</si>
  <si>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</si>
  <si>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</si>
  <si>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</si>
  <si>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</si>
  <si>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</si>
  <si>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</si>
  <si>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</si>
  <si>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</si>
  <si>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</si>
  <si>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</si>
  <si>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</si>
  <si>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</si>
  <si>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</si>
  <si>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</si>
  <si>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</si>
  <si>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</si>
  <si>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</si>
  <si>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</si>
  <si>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</si>
  <si>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</si>
  <si>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</si>
  <si>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</si>
  <si>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</si>
  <si>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</si>
  <si>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</si>
  <si>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</si>
  <si>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</si>
  <si>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</si>
  <si>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</si>
  <si>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</si>
  <si>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</si>
  <si>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</si>
  <si>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</si>
  <si>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</si>
  <si>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</si>
  <si>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</si>
  <si>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</si>
  <si>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</si>
  <si>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</si>
  <si>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</si>
  <si>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</si>
  <si>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</si>
  <si>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</si>
  <si>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</si>
  <si>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</si>
  <si>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</si>
  <si>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</si>
  <si>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</si>
  <si>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</si>
  <si>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</si>
  <si>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</si>
  <si>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</si>
  <si>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</si>
  <si>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</si>
  <si>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</si>
  <si>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</si>
  <si>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</si>
  <si>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</si>
  <si>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</si>
  <si>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</si>
  <si>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</si>
  <si>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</si>
  <si>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</si>
  <si>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</si>
  <si>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</si>
  <si>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</si>
  <si>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</si>
  <si>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</si>
  <si>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</si>
  <si>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</si>
  <si>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</si>
  <si>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</si>
  <si>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</si>
  <si>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</si>
  <si>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</si>
  <si>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</si>
  <si>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</si>
  <si>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</si>
  <si>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</si>
  <si>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</si>
  <si>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</si>
  <si>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</si>
  <si>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</si>
  <si>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</si>
  <si>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</si>
  <si>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</si>
  <si>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</si>
  <si>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</si>
  <si>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</si>
  <si>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</si>
  <si>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</si>
  <si>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</si>
  <si>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</si>
  <si>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</si>
  <si>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</si>
  <si>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</si>
  <si>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</si>
  <si>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</si>
  <si>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</si>
  <si>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</si>
  <si>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</si>
  <si>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</si>
  <si>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</si>
  <si>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</si>
  <si>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</si>
  <si>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</si>
  <si>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</si>
  <si>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</si>
  <si>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</si>
  <si>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</si>
  <si>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</si>
  <si>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</si>
  <si>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</si>
  <si>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</si>
  <si>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</si>
  <si>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</si>
  <si>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</si>
  <si>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</si>
  <si>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</si>
  <si>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</si>
  <si>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</si>
  <si>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</si>
  <si>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</si>
  <si>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</si>
  <si>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</si>
  <si>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</si>
  <si>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</si>
  <si>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</si>
  <si>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</si>
  <si>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</si>
  <si>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</si>
  <si>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</si>
  <si>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</si>
  <si>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</si>
  <si>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</si>
  <si>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</si>
  <si>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</si>
  <si>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</si>
  <si>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</si>
  <si>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</si>
  <si>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</si>
  <si>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</si>
  <si>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</si>
  <si>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</si>
  <si>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</si>
  <si>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</si>
  <si>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</si>
  <si>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</si>
  <si>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</si>
  <si>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</si>
  <si>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</si>
  <si>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</si>
  <si>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</si>
  <si>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</si>
  <si>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</si>
  <si>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</si>
  <si>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</si>
  <si>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</si>
  <si>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</si>
  <si>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</si>
  <si>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</si>
  <si>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</si>
  <si>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</si>
  <si>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</si>
  <si>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</si>
  <si>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</si>
  <si>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</si>
  <si>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</si>
  <si>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</si>
  <si>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</si>
  <si>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</si>
  <si>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</si>
  <si>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</si>
  <si>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</si>
  <si>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</si>
  <si>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</si>
  <si>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</si>
  <si>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</si>
  <si>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</si>
  <si>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</si>
  <si>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</si>
  <si>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</si>
  <si>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</si>
  <si>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</si>
  <si>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</si>
  <si>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</si>
  <si>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</si>
  <si>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</si>
  <si>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</si>
  <si>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</si>
  <si>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</si>
  <si>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</si>
  <si>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</si>
  <si>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</si>
  <si>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</si>
  <si>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</si>
  <si>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</si>
  <si>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</si>
  <si>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</si>
  <si>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</si>
  <si>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</si>
  <si>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</si>
  <si>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</si>
  <si>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</si>
  <si>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</si>
  <si>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</si>
  <si>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</si>
  <si>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</si>
  <si>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</si>
  <si>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</si>
  <si>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</si>
  <si>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</si>
  <si>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</si>
  <si>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</si>
  <si>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</si>
  <si>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</si>
  <si>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</si>
  <si>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</si>
  <si>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</si>
  <si>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</si>
  <si>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</si>
  <si>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</si>
  <si>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</si>
  <si>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</si>
  <si>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</si>
  <si>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</si>
  <si>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</si>
  <si>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</si>
  <si>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</si>
  <si>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</si>
  <si>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</si>
  <si>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</si>
  <si>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</si>
  <si>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</si>
  <si>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</si>
  <si>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</si>
  <si>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</si>
  <si>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</si>
  <si>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</si>
  <si>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</si>
  <si>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</si>
  <si>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</si>
  <si>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</si>
  <si>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</si>
  <si>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</si>
  <si>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</si>
  <si>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</si>
  <si>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</si>
  <si>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</si>
  <si>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</si>
  <si>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</si>
  <si>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</si>
  <si>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</si>
  <si>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</si>
  <si>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</si>
  <si>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</si>
  <si>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</si>
  <si>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</si>
  <si>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</si>
  <si>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</si>
  <si>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</si>
  <si>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</si>
  <si>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</si>
  <si>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</si>
  <si>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</si>
  <si>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</si>
  <si>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</si>
  <si>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</si>
  <si>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</si>
  <si>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</si>
  <si>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</si>
  <si>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</si>
  <si>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</si>
  <si>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</si>
  <si>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</si>
  <si>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</si>
  <si>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</si>
  <si>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</si>
  <si>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</si>
  <si>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</si>
  <si>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</si>
  <si>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</si>
  <si>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</si>
  <si>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</si>
  <si>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</si>
  <si>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</si>
  <si>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</si>
  <si>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</si>
  <si>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</si>
  <si>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</si>
  <si>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</si>
  <si>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</si>
  <si>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</si>
  <si>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</si>
  <si>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</si>
  <si>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</si>
  <si>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</si>
  <si>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</si>
  <si>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</si>
  <si>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</si>
  <si>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</si>
  <si>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</si>
  <si>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</si>
  <si>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</si>
  <si>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</si>
  <si>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</si>
  <si>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</si>
  <si>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</si>
  <si>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</si>
  <si>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</si>
  <si>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</si>
  <si>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</si>
  <si>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</si>
  <si>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</si>
  <si>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</si>
  <si>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</si>
  <si>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</si>
  <si>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</si>
  <si>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</si>
  <si>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</si>
  <si>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</si>
  <si>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</si>
  <si>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</si>
  <si>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</si>
  <si>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</si>
  <si>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</si>
  <si>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</si>
  <si>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</si>
  <si>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</si>
  <si>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</si>
  <si>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</si>
  <si>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</si>
  <si>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</si>
  <si>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</si>
  <si>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</si>
  <si>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</si>
  <si>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</si>
  <si>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</si>
  <si>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</si>
  <si>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</si>
  <si>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</si>
  <si>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</si>
  <si>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</si>
  <si>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</si>
  <si>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</si>
  <si>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</si>
  <si>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</si>
  <si>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</si>
  <si>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</si>
  <si>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</si>
  <si>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</si>
  <si>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</si>
  <si>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</si>
  <si>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</si>
  <si>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</si>
  <si>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</si>
  <si>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</si>
  <si>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</si>
  <si>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</si>
  <si>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</si>
  <si>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</si>
  <si>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</si>
  <si>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</si>
  <si>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</si>
  <si>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</si>
  <si>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</si>
  <si>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</si>
  <si>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</si>
  <si>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</si>
  <si>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</si>
  <si>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</si>
  <si>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</si>
  <si>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</si>
  <si>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</si>
  <si>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</si>
  <si>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</si>
  <si>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</si>
  <si>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</si>
  <si>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</si>
  <si>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</si>
  <si>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</si>
  <si>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</si>
  <si>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</si>
  <si>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</si>
  <si>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</si>
  <si>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</si>
  <si>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</si>
  <si>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</si>
  <si>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</si>
  <si>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</si>
  <si>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</si>
  <si>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</si>
  <si>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</si>
  <si>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</si>
  <si>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</si>
  <si>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</si>
  <si>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</si>
  <si>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</si>
  <si>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</si>
  <si>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</si>
  <si>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</si>
  <si>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</si>
  <si>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</si>
  <si>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</si>
  <si>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</si>
  <si>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</si>
  <si>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</si>
  <si>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</si>
  <si>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</si>
  <si>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</si>
  <si>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</si>
  <si>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</si>
  <si>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</si>
  <si>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</si>
  <si>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</si>
  <si>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</si>
  <si>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</si>
  <si>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</si>
  <si>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</si>
  <si>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</si>
  <si>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</si>
  <si>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</si>
  <si>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</si>
  <si>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</si>
  <si>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</si>
  <si>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</si>
  <si>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</si>
  <si>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</si>
  <si>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</si>
  <si>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</si>
  <si>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</si>
  <si>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</si>
  <si>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</si>
  <si>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</si>
  <si>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</si>
  <si>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</si>
  <si>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</si>
  <si>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</si>
  <si>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</si>
  <si>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</si>
  <si>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</si>
  <si>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</si>
  <si>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</si>
  <si>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</si>
  <si>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</si>
  <si>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</si>
  <si>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</si>
  <si>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</si>
  <si>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</si>
  <si>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</si>
  <si>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</si>
  <si>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</si>
  <si>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</si>
  <si>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</si>
  <si>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</si>
  <si>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</si>
  <si>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</si>
  <si>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</si>
  <si>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</si>
  <si>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</si>
  <si>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</si>
  <si>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</si>
  <si>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</si>
  <si>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</si>
  <si>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</si>
  <si>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</si>
  <si>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</si>
  <si>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</si>
  <si>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</si>
  <si>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</si>
  <si>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</si>
  <si>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</si>
  <si>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</si>
  <si>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</si>
  <si>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</si>
  <si>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</si>
  <si>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</si>
  <si>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</si>
  <si>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</si>
  <si>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</si>
  <si>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</si>
  <si>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</si>
  <si>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</si>
  <si>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</si>
  <si>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</si>
  <si>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</si>
  <si>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</si>
  <si>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</si>
  <si>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</si>
  <si>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</si>
  <si>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</si>
  <si>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</si>
  <si>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</si>
  <si>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</si>
  <si>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</si>
  <si>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</si>
  <si>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</si>
  <si>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</si>
  <si>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</si>
  <si>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</si>
  <si>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</si>
  <si>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</si>
  <si>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</si>
  <si>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</si>
  <si>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</si>
  <si>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</si>
  <si>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</si>
  <si>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</si>
  <si>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</si>
  <si>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</si>
  <si>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</si>
  <si>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</si>
  <si>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</si>
  <si>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</si>
  <si>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</si>
  <si>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</si>
  <si>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</si>
  <si>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</si>
  <si>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</si>
  <si>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</si>
  <si>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</si>
  <si>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</si>
  <si>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</si>
  <si>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</si>
  <si>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</si>
  <si>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</si>
  <si>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</si>
  <si>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</si>
  <si>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</si>
  <si>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</si>
  <si>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</si>
  <si>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</si>
  <si>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</si>
  <si>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</si>
  <si>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</si>
  <si>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</si>
  <si>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</si>
  <si>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</si>
  <si>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</si>
  <si>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</si>
  <si>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</si>
  <si>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</si>
  <si>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</si>
  <si>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</si>
  <si>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</si>
  <si>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</si>
  <si>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</si>
  <si>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</si>
  <si>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</si>
  <si>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</si>
  <si>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</si>
  <si>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</si>
  <si>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</si>
  <si>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</si>
  <si>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</si>
  <si>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</si>
  <si>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</si>
  <si>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</si>
  <si>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</si>
  <si>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</si>
  <si>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</si>
  <si>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</si>
  <si>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</si>
  <si>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</si>
  <si>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</si>
  <si>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</si>
  <si>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</si>
  <si>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</si>
  <si>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</si>
  <si>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</si>
  <si>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</si>
  <si>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</si>
  <si>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</si>
  <si>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</si>
  <si>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</si>
  <si>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</si>
  <si>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</si>
  <si>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</si>
  <si>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</si>
  <si>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</si>
  <si>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</si>
  <si>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</si>
  <si>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</si>
  <si>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</si>
  <si>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</si>
  <si>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</si>
  <si>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</si>
  <si>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</si>
  <si>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</si>
  <si>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</si>
  <si>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</si>
  <si>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</si>
  <si>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</si>
  <si>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</si>
  <si>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</si>
  <si>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</si>
  <si>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</si>
  <si>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</si>
  <si>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</si>
  <si>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</si>
  <si>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</si>
  <si>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</si>
  <si>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</si>
  <si>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</si>
  <si>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</si>
  <si>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</si>
  <si>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</si>
  <si>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</si>
  <si>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</si>
  <si>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</si>
  <si>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</si>
  <si>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</si>
  <si>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</si>
  <si>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</si>
  <si>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</si>
  <si>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</si>
  <si>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</si>
  <si>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</si>
  <si>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</si>
  <si>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</si>
  <si>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</si>
  <si>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</si>
  <si>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</si>
  <si>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</si>
  <si>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</si>
  <si>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</si>
  <si>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</si>
  <si>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</si>
  <si>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</si>
  <si>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</si>
  <si>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</si>
  <si>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</si>
  <si>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</si>
  <si>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</si>
  <si>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</si>
  <si>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</si>
  <si>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</si>
  <si>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</si>
  <si>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</si>
  <si>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</si>
  <si>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</si>
  <si>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</si>
  <si>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</si>
  <si>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</si>
  <si>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</si>
  <si>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</si>
  <si>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</si>
  <si>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</si>
  <si>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</si>
  <si>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</si>
  <si>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</si>
  <si>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</si>
  <si>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</si>
  <si>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</si>
  <si>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</si>
  <si>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</si>
  <si>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</si>
  <si>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</si>
  <si>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</si>
  <si>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</si>
  <si>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</si>
  <si>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</si>
  <si>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</si>
  <si>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</si>
  <si>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</si>
  <si>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</si>
  <si>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</si>
  <si>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</si>
  <si>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</si>
  <si>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</si>
  <si>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</si>
  <si>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</si>
  <si>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</si>
  <si>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</si>
  <si>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</si>
  <si>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</si>
  <si>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</si>
  <si>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</si>
  <si>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</si>
  <si>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</si>
  <si>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</si>
  <si>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</si>
  <si>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</si>
  <si>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</si>
  <si>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</si>
  <si>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</si>
  <si>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</si>
  <si>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</si>
  <si>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</si>
  <si>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</si>
  <si>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</si>
  <si>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</si>
  <si>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</si>
  <si>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</si>
  <si>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</si>
  <si>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</si>
  <si>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</si>
  <si>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</si>
  <si>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</si>
  <si>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</si>
  <si>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</si>
  <si>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</si>
  <si>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</si>
  <si>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</si>
  <si>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</si>
  <si>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</si>
  <si>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</si>
  <si>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</si>
  <si>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</si>
  <si>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</si>
  <si>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</si>
  <si>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</si>
  <si>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</si>
  <si>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</si>
  <si>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</si>
  <si>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</si>
  <si>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</si>
  <si>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</si>
  <si>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</si>
  <si>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</si>
  <si>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</si>
  <si>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</si>
  <si>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</si>
  <si>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</si>
  <si>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</si>
  <si>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</si>
  <si>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</si>
  <si>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</si>
  <si>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</si>
  <si>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</si>
  <si>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</si>
  <si>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</si>
  <si>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</si>
  <si>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</si>
  <si>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</si>
  <si>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</si>
  <si>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</si>
  <si>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</si>
  <si>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</si>
  <si>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</si>
  <si>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</si>
  <si>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</si>
  <si>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</si>
  <si>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</si>
  <si>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</si>
  <si>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</si>
  <si>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</si>
  <si>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</si>
  <si>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</si>
  <si>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</si>
  <si>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</si>
  <si>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</si>
  <si>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</si>
  <si>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</si>
  <si>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</si>
  <si>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</si>
  <si>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</si>
  <si>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</si>
  <si>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</si>
  <si>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</si>
  <si>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</si>
  <si>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</si>
  <si>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</si>
  <si>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</si>
  <si>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</si>
  <si>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</si>
  <si>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</si>
  <si>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</si>
  <si>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</si>
  <si>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</si>
  <si>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</si>
  <si>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</si>
  <si>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</si>
  <si>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</si>
  <si>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</si>
  <si>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</si>
  <si>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</si>
  <si>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</si>
  <si>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</si>
  <si>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</si>
  <si>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</si>
  <si>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</si>
  <si>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</si>
  <si>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</si>
  <si>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</si>
  <si>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</si>
  <si>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</si>
  <si>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</si>
  <si>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</si>
  <si>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</si>
  <si>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</si>
  <si>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</si>
  <si>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</si>
  <si>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</si>
  <si>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</si>
  <si>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</si>
  <si>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</si>
  <si>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</si>
  <si>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</si>
  <si>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</si>
  <si>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</si>
  <si>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</si>
  <si>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</si>
  <si>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</si>
  <si>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</si>
  <si>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</si>
  <si>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</si>
  <si>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</si>
  <si>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</si>
  <si>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</si>
  <si>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</si>
  <si>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</si>
  <si>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</si>
  <si>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</si>
  <si>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</si>
  <si>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</si>
  <si>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</si>
  <si>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</si>
  <si>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</si>
  <si>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</si>
  <si>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</si>
  <si>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</si>
  <si>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</si>
  <si>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</si>
  <si>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</si>
  <si>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</si>
  <si>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</si>
  <si>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</si>
  <si>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</si>
  <si>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</si>
  <si>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</si>
  <si>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</si>
  <si>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</si>
  <si>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</si>
  <si>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</si>
  <si>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</si>
  <si>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</si>
  <si>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</si>
  <si>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</si>
  <si>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</si>
  <si>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</si>
  <si>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</si>
  <si>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</si>
  <si>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</si>
  <si>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</si>
  <si>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</si>
  <si>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</si>
  <si>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</si>
  <si>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</si>
  <si>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</si>
  <si>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</si>
  <si>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</si>
  <si>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</si>
  <si>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</si>
  <si>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</si>
  <si>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</si>
  <si>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</si>
  <si>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</si>
  <si>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</si>
  <si>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</si>
  <si>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</si>
  <si>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</si>
  <si>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</si>
  <si>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</si>
  <si>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</si>
  <si>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</si>
  <si>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</si>
  <si>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</si>
  <si>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</si>
  <si>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</si>
  <si>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</si>
  <si>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</si>
  <si>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</si>
  <si>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</si>
  <si>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</si>
  <si>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</si>
  <si>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</si>
  <si>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</si>
  <si>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</si>
  <si>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</si>
  <si>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</si>
  <si>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</si>
  <si>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</si>
  <si>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</si>
  <si>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</si>
  <si>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</si>
  <si>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</si>
  <si>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</si>
  <si>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</si>
  <si>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</si>
  <si>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</si>
  <si>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</si>
  <si>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</si>
  <si>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</si>
  <si>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</si>
  <si>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</si>
  <si>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</si>
  <si>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</si>
  <si>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</si>
  <si>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</si>
  <si>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</si>
  <si>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</si>
  <si>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</si>
  <si>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</si>
  <si>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</si>
  <si>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</si>
  <si>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</si>
  <si>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</si>
  <si>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</si>
  <si>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</si>
  <si>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</si>
  <si>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</si>
  <si>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</si>
  <si>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</si>
  <si>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</si>
  <si>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</si>
  <si>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</si>
  <si>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</si>
  <si>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</si>
  <si>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</si>
  <si>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</si>
  <si>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</si>
  <si>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</si>
  <si>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</si>
  <si>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</si>
  <si>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</si>
  <si>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</si>
  <si>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</si>
  <si>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</si>
  <si>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</si>
  <si>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</si>
  <si>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</si>
  <si>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</si>
  <si>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</si>
  <si>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</si>
  <si>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</si>
  <si>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</si>
  <si>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</si>
  <si>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</si>
  <si>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</si>
  <si>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</si>
  <si>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</si>
  <si>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</si>
  <si>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</si>
  <si>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</si>
  <si>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</si>
  <si>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</si>
  <si>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</si>
  <si>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</si>
  <si>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</si>
  <si>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</si>
  <si>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</si>
  <si>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</si>
  <si>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</si>
  <si>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</si>
  <si>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</si>
  <si>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</si>
  <si>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</si>
  <si>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</si>
  <si>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</si>
  <si>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</si>
  <si>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</si>
  <si>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</si>
  <si>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</si>
  <si>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</si>
  <si>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</si>
  <si>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</si>
  <si>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</si>
  <si>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</si>
  <si>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</si>
  <si>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</si>
  <si>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</si>
  <si>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</si>
  <si>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</si>
  <si>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</si>
  <si>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</si>
  <si>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</si>
  <si>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</si>
  <si>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</si>
  <si>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</si>
  <si>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</si>
  <si>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</si>
  <si>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</si>
  <si>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</si>
  <si>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</si>
  <si>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</si>
  <si>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</si>
  <si>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</si>
  <si>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</si>
  <si>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</si>
  <si>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</si>
  <si>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</si>
  <si>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</si>
  <si>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</si>
  <si>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</si>
  <si>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</si>
  <si>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</si>
  <si>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</si>
  <si>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</si>
  <si>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</si>
  <si>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</si>
  <si>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</si>
  <si>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</si>
  <si>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</si>
  <si>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</si>
  <si>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</si>
  <si>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</si>
  <si>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</si>
  <si>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</si>
  <si>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</si>
  <si>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</si>
  <si>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</si>
  <si>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</si>
  <si>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</si>
  <si>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</si>
  <si>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</si>
  <si>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</si>
  <si>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</si>
  <si>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</si>
  <si>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</si>
  <si>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</si>
  <si>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</si>
  <si>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</si>
  <si>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</si>
  <si>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</si>
  <si>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</si>
  <si>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</si>
  <si>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</si>
  <si>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</si>
  <si>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</si>
  <si>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</si>
  <si>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</si>
  <si>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</si>
  <si>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</si>
  <si>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</si>
  <si>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</si>
  <si>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</si>
  <si>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</si>
  <si>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</si>
  <si>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</si>
  <si>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</si>
  <si>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</si>
  <si>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</si>
  <si>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</si>
  <si>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</si>
  <si>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</si>
  <si>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</si>
  <si>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</si>
  <si>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</si>
  <si>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</si>
  <si>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</si>
  <si>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</si>
  <si>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</si>
  <si>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</si>
  <si>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</si>
  <si>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</si>
  <si>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</si>
  <si>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</si>
  <si>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</si>
  <si>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</si>
  <si>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</si>
  <si>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</si>
  <si>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</si>
  <si>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</si>
  <si>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</si>
  <si>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</si>
  <si>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</si>
  <si>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</si>
  <si>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</si>
  <si>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</si>
  <si>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</si>
  <si>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</si>
  <si>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</si>
  <si>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</si>
  <si>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</si>
  <si>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</si>
  <si>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</si>
  <si>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</si>
  <si>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</si>
  <si>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</si>
  <si>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</si>
  <si>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</si>
  <si>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</si>
  <si>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</si>
  <si>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</si>
  <si>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</si>
  <si>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</si>
  <si>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</si>
  <si>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</si>
  <si>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</si>
  <si>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</si>
  <si>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</si>
  <si>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</si>
  <si>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</si>
  <si>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</si>
  <si>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</si>
  <si>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</si>
  <si>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</si>
  <si>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</si>
  <si>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</si>
  <si>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</si>
  <si>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</si>
  <si>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</si>
  <si>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</si>
  <si>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</si>
  <si>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</si>
  <si>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</si>
  <si>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</si>
  <si>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</si>
  <si>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</si>
  <si>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</si>
  <si>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</si>
  <si>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</si>
  <si>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</si>
  <si>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</si>
  <si>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</si>
  <si>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</si>
  <si>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</si>
  <si>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</si>
  <si>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</si>
  <si>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</si>
  <si>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</si>
  <si>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</si>
  <si>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</si>
  <si>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</si>
  <si>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</si>
  <si>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</si>
  <si>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</si>
  <si>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</si>
  <si>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</si>
  <si>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</si>
  <si>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</si>
  <si>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</si>
  <si>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</si>
  <si>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</si>
  <si>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</si>
  <si>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</si>
  <si>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</si>
  <si>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</si>
  <si>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</si>
  <si>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</si>
  <si>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</si>
  <si>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</si>
  <si>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</si>
  <si>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</si>
  <si>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</si>
  <si>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</si>
  <si>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</si>
  <si>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</si>
  <si>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</si>
  <si>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</si>
  <si>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</si>
  <si>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</si>
  <si>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</si>
  <si>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</si>
  <si>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</si>
  <si>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</si>
  <si>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</si>
  <si>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</si>
  <si>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</si>
  <si>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</si>
  <si>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</si>
  <si>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</si>
  <si>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</si>
  <si>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</si>
  <si>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</si>
  <si>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</si>
  <si>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</si>
  <si>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</si>
  <si>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</si>
  <si>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</si>
  <si>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</si>
  <si>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</si>
  <si>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</si>
  <si>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</si>
  <si>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</si>
  <si>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</si>
  <si>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</si>
  <si>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</si>
  <si>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</si>
  <si>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</si>
  <si>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</si>
  <si>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</si>
  <si>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</si>
  <si>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</si>
  <si>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</si>
  <si>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</si>
  <si>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</si>
  <si>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</si>
  <si>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</si>
  <si>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</si>
  <si>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</si>
  <si>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</si>
  <si>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</si>
  <si>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</si>
  <si>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</si>
  <si>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</si>
  <si>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</si>
  <si>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</si>
  <si>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</si>
  <si>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</si>
  <si>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</si>
  <si>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</si>
  <si>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</si>
  <si>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</si>
  <si>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</si>
  <si>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</si>
  <si>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</si>
  <si>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</si>
  <si>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</si>
  <si>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</si>
  <si>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</si>
  <si>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</si>
  <si>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</si>
  <si>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</si>
  <si>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</si>
  <si>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</si>
  <si>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</si>
  <si>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</si>
  <si>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</si>
  <si>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</si>
  <si>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</si>
  <si>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</si>
  <si>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</si>
  <si>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</si>
  <si>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</si>
  <si>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</si>
  <si>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</si>
  <si>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</si>
  <si>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</si>
  <si>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</si>
  <si>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</si>
  <si>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</si>
  <si>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</si>
  <si>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</si>
  <si>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</si>
  <si>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</si>
  <si>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</si>
  <si>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</si>
  <si>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</si>
  <si>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</si>
  <si>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</si>
  <si>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</si>
  <si>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</si>
  <si>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</si>
  <si>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</si>
  <si>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</si>
  <si>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</si>
  <si>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</si>
  <si>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</si>
  <si>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</si>
  <si>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</si>
  <si>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</si>
  <si>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</si>
  <si>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</si>
  <si>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</si>
  <si>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</si>
  <si>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</si>
  <si>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</si>
  <si>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</si>
  <si>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</si>
  <si>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</si>
  <si>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</si>
  <si>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</si>
  <si>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</si>
  <si>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</si>
  <si>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</si>
  <si>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</si>
  <si>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</si>
  <si>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</si>
  <si>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</si>
  <si>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</si>
  <si>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</si>
  <si>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</si>
  <si>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</si>
  <si>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</si>
  <si>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</si>
  <si>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</si>
  <si>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</si>
  <si>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</si>
  <si>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</si>
  <si>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</si>
  <si>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</si>
  <si>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</si>
  <si>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</si>
  <si>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</si>
  <si>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</si>
  <si>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</si>
  <si>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</si>
  <si>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</si>
  <si>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</si>
  <si>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</si>
  <si>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</si>
  <si>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</si>
  <si>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</si>
  <si>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</si>
  <si>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</si>
  <si>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</si>
  <si>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</si>
  <si>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</si>
  <si>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</si>
  <si>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</si>
  <si>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</si>
  <si>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</si>
  <si>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</si>
  <si>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</si>
  <si>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</si>
  <si>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</si>
  <si>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</si>
  <si>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</si>
  <si>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</si>
  <si>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</si>
  <si>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</si>
  <si>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</si>
  <si>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</si>
  <si>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</si>
  <si>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</si>
  <si>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</si>
  <si>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</si>
  <si>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</si>
  <si>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</si>
  <si>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</si>
  <si>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</si>
  <si>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</si>
  <si>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</si>
  <si>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</si>
  <si>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</si>
  <si>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</si>
  <si>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</si>
  <si>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</si>
  <si>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</si>
  <si>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</si>
  <si>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</si>
  <si>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</si>
  <si>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</si>
  <si>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</si>
  <si>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</si>
  <si>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</si>
  <si>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</si>
  <si>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</si>
  <si>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</si>
  <si>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</si>
  <si>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</si>
  <si>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</si>
  <si>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</si>
  <si>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</si>
  <si>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</si>
  <si>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</si>
  <si>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</si>
  <si>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</si>
  <si>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</si>
  <si>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</si>
  <si>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</si>
  <si>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</si>
  <si>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</si>
  <si>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</si>
  <si>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</si>
  <si>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</si>
  <si>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</si>
  <si>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</si>
  <si>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</si>
  <si>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</si>
  <si>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</si>
  <si>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</si>
  <si>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</si>
  <si>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</si>
  <si>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</si>
  <si>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</si>
  <si>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</si>
  <si>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</si>
  <si>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</si>
  <si>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</si>
  <si>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</si>
  <si>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</si>
  <si>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</si>
  <si>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</si>
  <si>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</si>
  <si>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</si>
  <si>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</si>
  <si>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</si>
  <si>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</si>
  <si>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</si>
  <si>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</si>
  <si>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</si>
  <si>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</si>
  <si>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</si>
  <si>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</si>
  <si>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</si>
  <si>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</si>
  <si>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</si>
  <si>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</si>
  <si>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</si>
  <si>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</si>
  <si>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</si>
  <si>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</si>
  <si>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</si>
  <si>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</si>
  <si>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</si>
  <si>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</si>
  <si>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</si>
  <si>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</si>
  <si>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</si>
  <si>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</si>
  <si>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</si>
  <si>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</si>
  <si>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</si>
  <si>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</si>
  <si>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</si>
  <si>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</si>
  <si>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</si>
  <si>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</si>
  <si>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</si>
  <si>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</si>
  <si>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</si>
  <si>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</si>
  <si>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</si>
  <si>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</si>
  <si>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</si>
  <si>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</si>
  <si>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</si>
  <si>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</si>
  <si>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</si>
  <si>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</si>
  <si>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</si>
  <si>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</si>
  <si>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</si>
  <si>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</si>
  <si>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</si>
  <si>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</si>
  <si>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</si>
  <si>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</si>
  <si>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</si>
  <si>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</si>
  <si>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</si>
  <si>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</si>
  <si>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</si>
  <si>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</si>
  <si>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</si>
  <si>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</si>
  <si>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</si>
  <si>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</si>
  <si>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</si>
  <si>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</si>
  <si>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</si>
  <si>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</si>
  <si>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</si>
  <si>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</si>
  <si>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</si>
  <si>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</si>
  <si>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</si>
  <si>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</si>
  <si>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</si>
  <si>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</si>
  <si>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</si>
  <si>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</si>
  <si>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</si>
  <si>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</si>
  <si>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</si>
  <si>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</si>
  <si>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</si>
  <si>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</si>
  <si>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</si>
  <si>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</si>
  <si>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</si>
  <si>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</si>
  <si>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</si>
  <si>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</si>
  <si>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</si>
  <si>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</si>
  <si>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</si>
  <si>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</si>
  <si>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</si>
  <si>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</si>
  <si>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</si>
  <si>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</si>
  <si>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</si>
  <si>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</si>
  <si>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</si>
  <si>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</si>
  <si>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</si>
  <si>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</si>
  <si>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</si>
  <si>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</si>
  <si>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</si>
  <si>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</si>
  <si>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</si>
  <si>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</si>
  <si>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</si>
  <si>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</si>
  <si>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</si>
  <si>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</si>
  <si>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</si>
  <si>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</si>
  <si>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</si>
  <si>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</si>
  <si>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</si>
  <si>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</si>
  <si>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</si>
  <si>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</si>
  <si>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</si>
  <si>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</si>
  <si>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</si>
  <si>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</si>
  <si>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</si>
  <si>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</si>
  <si>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</si>
  <si>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</si>
  <si>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</si>
  <si>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</si>
  <si>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</si>
  <si>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</si>
  <si>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</si>
  <si>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</si>
  <si>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</si>
  <si>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</si>
  <si>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</si>
  <si>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</si>
  <si>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</si>
  <si>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</si>
  <si>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</si>
  <si>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</si>
  <si>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</si>
  <si>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</si>
  <si>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</si>
  <si>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</si>
  <si>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</si>
  <si>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</si>
  <si>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</si>
  <si>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</si>
  <si>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</si>
  <si>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</si>
  <si>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</si>
  <si>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</si>
  <si>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</si>
  <si>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</si>
  <si>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</si>
  <si>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</si>
  <si>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</si>
  <si>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</si>
  <si>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</si>
  <si>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</si>
  <si>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</si>
  <si>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</si>
  <si>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</si>
  <si>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</si>
  <si>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</si>
  <si>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</si>
  <si>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</si>
  <si>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</si>
  <si>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</si>
  <si>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</si>
  <si>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</si>
  <si>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</si>
  <si>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</si>
  <si>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</si>
  <si>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</si>
  <si>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</si>
  <si>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</si>
  <si>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</si>
  <si>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</si>
  <si>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</si>
  <si>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</si>
  <si>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</si>
  <si>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</si>
  <si>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</si>
  <si>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</si>
  <si>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</si>
  <si>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</si>
  <si>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</si>
  <si>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</si>
  <si>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</si>
  <si>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</si>
  <si>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</si>
  <si>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</si>
  <si>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</si>
  <si>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</si>
  <si>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</si>
  <si>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</si>
  <si>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</si>
  <si>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</si>
  <si>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</si>
  <si>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</si>
  <si>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</si>
  <si>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</si>
  <si>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</si>
  <si>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</si>
  <si>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</si>
  <si>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</si>
  <si>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</si>
  <si>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</si>
  <si>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</si>
  <si>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</si>
  <si>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</si>
  <si>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</si>
  <si>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</si>
  <si>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</si>
  <si>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</si>
  <si>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</si>
  <si>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</si>
  <si>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</si>
  <si>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</si>
  <si>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</si>
  <si>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</si>
  <si>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</si>
  <si>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</si>
  <si>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</si>
  <si>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</si>
  <si>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</si>
  <si>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</si>
  <si>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</si>
  <si>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</si>
  <si>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</si>
  <si>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</si>
  <si>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</si>
  <si>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</si>
  <si>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</si>
  <si>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</si>
  <si>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</si>
  <si>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</si>
  <si>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</si>
  <si>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</si>
  <si>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</si>
  <si>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</si>
  <si>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</si>
  <si>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</si>
  <si>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</si>
  <si>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</si>
  <si>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</si>
  <si>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</si>
  <si>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</si>
  <si>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</si>
  <si>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</si>
  <si>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</si>
  <si>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</si>
  <si>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</si>
  <si>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</si>
  <si>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</si>
  <si>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</si>
  <si>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</si>
  <si>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</si>
  <si>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</si>
  <si>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</si>
  <si>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</si>
  <si>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</si>
  <si>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</si>
  <si>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</si>
  <si>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</si>
  <si>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</si>
  <si>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</si>
  <si>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</si>
  <si>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</si>
  <si>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</si>
  <si>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</si>
  <si>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</si>
  <si>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</si>
  <si>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</si>
  <si>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</si>
  <si>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</si>
  <si>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</si>
  <si>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</si>
  <si>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</si>
  <si>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</si>
  <si>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</si>
  <si>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</si>
  <si>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</si>
  <si>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</si>
  <si>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</si>
  <si>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</si>
  <si>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</si>
  <si>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</si>
  <si>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</si>
  <si>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</si>
  <si>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</si>
  <si>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</si>
  <si>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</si>
  <si>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</si>
  <si>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</si>
  <si>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</si>
  <si>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</si>
  <si>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</si>
  <si>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</si>
  <si>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</si>
  <si>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</si>
  <si>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</si>
  <si>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</si>
  <si>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</si>
  <si>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</si>
  <si>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</si>
  <si>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</si>
  <si>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</si>
  <si>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</si>
  <si>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</si>
  <si>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</si>
  <si>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</si>
  <si>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</si>
  <si>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</si>
  <si>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</si>
  <si>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</si>
  <si>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</si>
  <si>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</si>
  <si>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</si>
  <si>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</si>
  <si>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</si>
  <si>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</si>
  <si>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</si>
  <si>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</si>
  <si>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</si>
  <si>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</si>
  <si>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</si>
  <si>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</si>
  <si>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</si>
  <si>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</si>
  <si>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</si>
  <si>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</si>
  <si>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</si>
  <si>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</si>
  <si>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</si>
  <si>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</si>
  <si>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</si>
  <si>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</si>
  <si>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</si>
  <si>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</si>
  <si>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</si>
  <si>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</si>
  <si>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</si>
  <si>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</si>
  <si>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</si>
  <si>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</si>
  <si>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</si>
  <si>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</si>
  <si>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</si>
  <si>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</si>
  <si>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</si>
  <si>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</si>
  <si>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</si>
  <si>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</si>
  <si>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</si>
  <si>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</si>
  <si>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</si>
  <si>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</si>
  <si>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</si>
  <si>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</si>
  <si>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</si>
  <si>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</si>
  <si>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</si>
  <si>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</si>
  <si>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</si>
  <si>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</si>
  <si>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</si>
  <si>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</si>
  <si>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</si>
  <si>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</si>
  <si>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</si>
  <si>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</si>
  <si>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</si>
  <si>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</si>
  <si>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</si>
  <si>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</si>
  <si>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</si>
  <si>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</si>
  <si>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</si>
  <si>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</si>
  <si>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</si>
  <si>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</si>
  <si>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</si>
  <si>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</si>
  <si>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</si>
  <si>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</si>
  <si>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</si>
  <si>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</si>
  <si>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</si>
  <si>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</si>
  <si>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</si>
  <si>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</si>
  <si>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</si>
  <si>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</si>
  <si>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</si>
  <si>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</si>
  <si>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</si>
  <si>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</si>
  <si>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</si>
  <si>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</si>
  <si>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</si>
  <si>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</si>
  <si>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</si>
  <si>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</si>
  <si>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</si>
  <si>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</si>
  <si>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</si>
  <si>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</si>
  <si>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</si>
  <si>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</si>
  <si>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</si>
  <si>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</si>
  <si>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</si>
  <si>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</si>
  <si>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</si>
  <si>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</si>
  <si>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</si>
  <si>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</si>
  <si>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</si>
  <si>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</si>
  <si>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</si>
  <si>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</si>
  <si>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</si>
  <si>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</si>
  <si>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</si>
  <si>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</si>
  <si>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</si>
  <si>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</si>
  <si>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</si>
  <si>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</si>
  <si>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</si>
  <si>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</si>
  <si>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</si>
  <si>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</si>
  <si>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</si>
  <si>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</si>
  <si>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</si>
  <si>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</si>
  <si>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</si>
  <si>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</si>
  <si>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</si>
  <si>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</si>
  <si>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</si>
  <si>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</si>
  <si>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</si>
  <si>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</si>
  <si>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</si>
  <si>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</si>
  <si>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</si>
  <si>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</si>
  <si>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</si>
  <si>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</si>
  <si>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</si>
  <si>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</si>
  <si>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</si>
  <si>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</si>
  <si>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</si>
  <si>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</si>
  <si>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</si>
  <si>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</si>
  <si>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</si>
  <si>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</si>
  <si>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</si>
  <si>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</si>
  <si>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</si>
  <si>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</si>
  <si>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</si>
  <si>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</si>
  <si>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</si>
  <si>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</si>
  <si>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</si>
  <si>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</si>
  <si>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</si>
  <si>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</si>
  <si>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</si>
  <si>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</si>
  <si>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</si>
  <si>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</si>
  <si>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</si>
  <si>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</si>
  <si>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</si>
  <si>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</si>
  <si>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</si>
  <si>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</si>
  <si>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</si>
  <si>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</si>
  <si>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</si>
  <si>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</si>
  <si>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</si>
  <si>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</si>
  <si>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</si>
  <si>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</si>
  <si>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</si>
  <si>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</si>
  <si>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</si>
  <si>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</si>
  <si>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</si>
  <si>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</si>
  <si>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</si>
  <si>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</si>
  <si>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</si>
  <si>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</si>
  <si>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</si>
  <si>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</si>
  <si>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</si>
  <si>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</si>
  <si>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</si>
  <si>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</si>
  <si>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</si>
  <si>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</si>
  <si>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</si>
  <si>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</si>
  <si>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</si>
  <si>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</si>
  <si>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</si>
  <si>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</si>
  <si>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</si>
  <si>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</si>
  <si>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</si>
  <si>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</si>
  <si>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</si>
  <si>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</si>
  <si>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</si>
  <si>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</si>
  <si>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</si>
  <si>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</si>
  <si>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</si>
  <si>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</si>
  <si>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</si>
  <si>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</si>
  <si>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</si>
  <si>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</si>
  <si>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</si>
  <si>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</si>
  <si>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</si>
  <si>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</si>
  <si>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</si>
  <si>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</si>
  <si>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</si>
  <si>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</si>
  <si>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</si>
  <si>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</si>
  <si>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</si>
  <si>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</si>
  <si>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</si>
  <si>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</si>
  <si>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</si>
  <si>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</si>
  <si>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</si>
  <si>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</si>
  <si>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</si>
  <si>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</si>
  <si>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</si>
  <si>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</si>
  <si>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</si>
  <si>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</si>
  <si>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</si>
  <si>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</si>
  <si>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</si>
  <si>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</si>
  <si>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</si>
  <si>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</si>
  <si>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</si>
  <si>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</si>
  <si>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</si>
  <si>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</si>
  <si>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</si>
  <si>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</si>
  <si>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</si>
  <si>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</si>
  <si>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</si>
  <si>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</si>
  <si>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</si>
  <si>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</si>
  <si>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</si>
  <si>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</si>
  <si>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</si>
  <si>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</si>
  <si>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</si>
  <si>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</si>
  <si>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</si>
  <si>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</si>
  <si>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</si>
  <si>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</si>
  <si>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</si>
  <si>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</si>
  <si>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</si>
  <si>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</si>
  <si>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</si>
  <si>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</si>
  <si>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</si>
  <si>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</si>
  <si>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</si>
  <si>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</si>
  <si>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</si>
  <si>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</si>
  <si>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</si>
  <si>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</si>
  <si>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</si>
  <si>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</si>
  <si>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</si>
  <si>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</si>
  <si>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</si>
  <si>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</si>
  <si>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</si>
  <si>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</si>
  <si>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</si>
  <si>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</si>
  <si>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</si>
  <si>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</si>
  <si>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</si>
  <si>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</si>
  <si>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</si>
  <si>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</si>
  <si>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</si>
  <si>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</si>
  <si>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</si>
  <si>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</si>
  <si>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</si>
  <si>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</si>
  <si>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</si>
  <si>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</si>
  <si>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</si>
  <si>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</si>
  <si>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</si>
  <si>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</si>
  <si>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</si>
  <si>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</si>
  <si>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</si>
  <si>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</si>
  <si>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</si>
  <si>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</si>
  <si>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</si>
  <si>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</si>
  <si>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</si>
  <si>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</si>
  <si>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</si>
  <si>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</si>
  <si>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</si>
  <si>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</si>
  <si>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</si>
  <si>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</si>
  <si>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</si>
  <si>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</si>
  <si>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</si>
  <si>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</si>
  <si>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</si>
  <si>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</si>
  <si>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</si>
  <si>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</si>
  <si>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</si>
  <si>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</si>
  <si>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</si>
  <si>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</si>
  <si>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</si>
  <si>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</si>
  <si>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</si>
  <si>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</si>
  <si>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</si>
  <si>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</si>
  <si>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</si>
  <si>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</si>
  <si>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</si>
  <si>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</si>
  <si>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</si>
  <si>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</si>
  <si>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</si>
  <si>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</si>
  <si>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</si>
  <si>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</si>
  <si>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</si>
  <si>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</si>
  <si>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</si>
  <si>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</si>
  <si>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</si>
  <si>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</si>
  <si>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</si>
  <si>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</si>
  <si>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</si>
  <si>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</si>
  <si>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</si>
  <si>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</si>
  <si>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</si>
  <si>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</si>
  <si>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</si>
  <si>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</si>
  <si>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</si>
  <si>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</si>
  <si>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</si>
  <si>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</si>
  <si>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</si>
  <si>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</si>
  <si>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</si>
  <si>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</si>
  <si>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</si>
  <si>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</si>
  <si>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</si>
  <si>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</si>
  <si>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</si>
  <si>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</si>
  <si>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</si>
  <si>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</si>
  <si>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</si>
  <si>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</si>
  <si>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</si>
  <si>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</si>
  <si>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</si>
  <si>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</si>
  <si>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</si>
  <si>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</si>
  <si>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</si>
  <si>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</si>
  <si>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</si>
  <si>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</si>
  <si>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</si>
  <si>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</si>
  <si>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</si>
  <si>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</si>
  <si>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</si>
  <si>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</si>
  <si>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</si>
  <si>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</si>
  <si>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</si>
  <si>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</si>
  <si>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</si>
  <si>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</si>
  <si>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</si>
  <si>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</si>
  <si>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</si>
  <si>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</si>
  <si>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</si>
  <si>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</si>
  <si>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</si>
  <si>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</si>
  <si>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</si>
  <si>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</si>
  <si>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</si>
  <si>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</si>
  <si>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</si>
  <si>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</si>
  <si>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</si>
  <si>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</si>
  <si>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</si>
  <si>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</si>
  <si>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</si>
  <si>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</si>
  <si>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</si>
  <si>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</si>
  <si>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</si>
  <si>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</si>
  <si>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</si>
  <si>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</si>
  <si>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</si>
  <si>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</si>
  <si>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</si>
  <si>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</si>
  <si>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</si>
  <si>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</si>
  <si>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</si>
  <si>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</si>
  <si>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</si>
  <si>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</si>
  <si>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</si>
  <si>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</si>
  <si>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</si>
  <si>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</si>
  <si>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</si>
  <si>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</si>
  <si>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</si>
  <si>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</si>
  <si>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</si>
  <si>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</si>
  <si>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</si>
  <si>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</si>
  <si>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</si>
  <si>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</si>
  <si>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</si>
  <si>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</si>
  <si>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</si>
  <si>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</si>
  <si>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</si>
  <si>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</si>
  <si>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</si>
  <si>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</si>
  <si>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</si>
  <si>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</si>
  <si>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</si>
  <si>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</si>
  <si>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</si>
  <si>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</si>
  <si>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</si>
  <si>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</si>
  <si>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</si>
  <si>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</si>
  <si>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</si>
  <si>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</si>
  <si>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</si>
  <si>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</si>
  <si>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</si>
  <si>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</si>
  <si>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</si>
  <si>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</si>
  <si>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</si>
  <si>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</si>
  <si>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</si>
  <si>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</si>
  <si>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</si>
  <si>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</si>
  <si>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</si>
  <si>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</si>
  <si>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</si>
  <si>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</si>
  <si>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</si>
  <si>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</si>
  <si>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</si>
  <si>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</si>
  <si>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</si>
  <si>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</si>
  <si>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</si>
  <si>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</si>
  <si>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</si>
  <si>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</si>
  <si>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</si>
  <si>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</si>
  <si>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</si>
  <si>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</si>
  <si>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</si>
  <si>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</si>
  <si>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</si>
  <si>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</si>
  <si>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</si>
  <si>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</si>
  <si>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</si>
  <si>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</si>
  <si>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</si>
  <si>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</si>
  <si>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</si>
  <si>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</si>
  <si>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</si>
  <si>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</si>
  <si>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</si>
  <si>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</si>
  <si>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</si>
  <si>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</si>
  <si>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</si>
  <si>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</si>
  <si>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</si>
  <si>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</si>
  <si>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</si>
  <si>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</si>
  <si>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</si>
  <si>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</si>
  <si>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</si>
  <si>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</si>
  <si>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</si>
  <si>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</si>
  <si>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</si>
  <si>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</si>
  <si>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</si>
  <si>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</si>
  <si>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</si>
  <si>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</si>
  <si>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</si>
  <si>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</si>
  <si>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</si>
  <si>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</si>
  <si>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</si>
  <si>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</si>
  <si>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</si>
  <si>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</si>
  <si>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</si>
  <si>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</si>
  <si>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</si>
  <si>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</si>
  <si>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</si>
  <si>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</si>
  <si>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</si>
  <si>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</si>
  <si>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</si>
  <si>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</si>
  <si>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</si>
  <si>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</si>
  <si>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</si>
  <si>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</si>
  <si>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</si>
  <si>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</si>
  <si>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</si>
  <si>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</si>
  <si>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</si>
  <si>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</si>
  <si>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</si>
  <si>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</si>
  <si>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</si>
  <si>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</si>
  <si>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</si>
  <si>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</si>
  <si>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</si>
  <si>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</si>
  <si>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</si>
  <si>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</si>
  <si>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</si>
  <si>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</si>
  <si>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</si>
  <si>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</si>
  <si>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</si>
  <si>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</si>
  <si>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</si>
  <si>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</si>
  <si>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</si>
  <si>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</si>
  <si>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</si>
  <si>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</si>
  <si>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</si>
  <si>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</si>
  <si>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</si>
  <si>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</si>
  <si>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</si>
  <si>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</si>
  <si>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</si>
  <si>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</si>
  <si>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</si>
  <si>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</si>
  <si>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</si>
  <si>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</si>
  <si>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</si>
  <si>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</si>
  <si>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</si>
  <si>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</si>
  <si>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</si>
  <si>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</si>
  <si>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</si>
  <si>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</si>
  <si>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</si>
  <si>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</si>
  <si>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</si>
  <si>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</si>
  <si>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</si>
  <si>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</si>
  <si>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</si>
  <si>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</si>
  <si>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</si>
  <si>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</si>
  <si>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</si>
  <si>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</si>
  <si>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</si>
  <si>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</si>
  <si>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</si>
  <si>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</si>
  <si>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</si>
  <si>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</si>
  <si>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</si>
  <si>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</si>
  <si>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</si>
  <si>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</si>
  <si>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</si>
  <si>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</si>
  <si>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</si>
  <si>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</si>
  <si>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</si>
  <si>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</si>
  <si>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</si>
  <si>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</si>
  <si>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</si>
  <si>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</si>
  <si>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</si>
  <si>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</si>
  <si>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</si>
  <si>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</si>
  <si>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</si>
  <si>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</si>
  <si>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</si>
  <si>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</si>
  <si>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</si>
  <si>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</si>
  <si>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</si>
  <si>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</si>
  <si>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</si>
  <si>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</si>
  <si>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</si>
  <si>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</si>
  <si>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</si>
  <si>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</si>
  <si>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</si>
  <si>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</si>
  <si>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</si>
  <si>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</si>
  <si>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</si>
  <si>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</si>
  <si>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</si>
  <si>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</si>
  <si>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</si>
  <si>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</si>
  <si>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</si>
  <si>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</si>
  <si>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</si>
  <si>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</si>
  <si>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</si>
  <si>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</si>
  <si>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</si>
  <si>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</si>
  <si>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</si>
  <si>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</si>
  <si>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</si>
  <si>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</si>
  <si>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</si>
  <si>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</si>
  <si>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</si>
  <si>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</si>
  <si>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</si>
  <si>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</si>
  <si>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</si>
  <si>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</si>
  <si>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</si>
  <si>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</si>
  <si>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</si>
  <si>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</si>
  <si>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</si>
  <si>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</si>
  <si>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</si>
  <si>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</si>
  <si>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</si>
  <si>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</si>
  <si>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</si>
  <si>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</si>
  <si>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</si>
  <si>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</si>
  <si>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</si>
  <si>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</si>
  <si>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</si>
  <si>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</si>
  <si>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</si>
  <si>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</si>
  <si>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</si>
  <si>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</si>
  <si>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</si>
  <si>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</si>
  <si>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</si>
  <si>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</si>
  <si>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</si>
  <si>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</si>
  <si>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</si>
  <si>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</si>
  <si>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</si>
  <si>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</si>
  <si>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</si>
  <si>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</si>
  <si>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</si>
  <si>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</si>
  <si>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</si>
  <si>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</si>
  <si>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</si>
  <si>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</si>
  <si>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</si>
  <si>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</si>
  <si>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</si>
  <si>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</si>
  <si>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</si>
  <si>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</si>
  <si>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</si>
  <si>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</si>
  <si>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</si>
  <si>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</si>
  <si>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</si>
  <si>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</si>
  <si>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</si>
  <si>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</si>
  <si>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</si>
  <si>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</si>
  <si>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</si>
  <si>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</si>
  <si>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</si>
  <si>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</si>
  <si>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</si>
  <si>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</si>
  <si>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</si>
  <si>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</si>
  <si>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</si>
  <si>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</si>
  <si>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</si>
  <si>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</si>
  <si>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</si>
  <si>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</si>
  <si>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</si>
  <si>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</si>
  <si>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</si>
  <si>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</si>
  <si>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</si>
  <si>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</si>
  <si>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</si>
  <si>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</si>
  <si>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</si>
  <si>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</si>
  <si>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</si>
  <si>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</si>
  <si>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</si>
  <si>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</si>
  <si>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</si>
  <si>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</si>
  <si>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</si>
  <si>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</si>
  <si>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</si>
  <si>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</si>
  <si>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</si>
  <si>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</si>
  <si>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</si>
  <si>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</si>
  <si>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</si>
  <si>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</si>
  <si>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</si>
  <si>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</si>
  <si>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</si>
  <si>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</si>
  <si>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</si>
  <si>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</si>
  <si>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</si>
  <si>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</si>
  <si>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</si>
  <si>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</si>
  <si>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</si>
  <si>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</si>
  <si>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</si>
  <si>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</si>
  <si>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</si>
  <si>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</si>
  <si>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</si>
  <si>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</si>
  <si>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</si>
  <si>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</si>
  <si>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</si>
  <si>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</si>
  <si>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</si>
  <si>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</si>
  <si>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</si>
  <si>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</si>
  <si>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</si>
  <si>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</si>
  <si>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</si>
  <si>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</si>
  <si>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</si>
  <si>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</si>
  <si>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</si>
  <si>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</si>
  <si>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</si>
  <si>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</si>
  <si>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</si>
  <si>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</si>
  <si>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</si>
  <si>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</si>
  <si>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</si>
  <si>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</si>
  <si>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</si>
  <si>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</si>
  <si>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</si>
  <si>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</si>
  <si>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</si>
  <si>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</si>
  <si>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</si>
  <si>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</si>
  <si>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</si>
  <si>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</si>
  <si>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</si>
  <si>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</si>
  <si>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</si>
  <si>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</si>
  <si>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</si>
  <si>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</si>
  <si>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</si>
  <si>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</si>
  <si>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</si>
  <si>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</si>
  <si>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</si>
  <si>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</si>
  <si>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</si>
  <si>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</si>
  <si>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</si>
  <si>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</si>
  <si>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</si>
  <si>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</si>
  <si>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</si>
  <si>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</si>
  <si>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</si>
  <si>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</si>
  <si>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</si>
  <si>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</si>
  <si>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</si>
  <si>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</si>
  <si>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</si>
  <si>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</si>
  <si>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</si>
  <si>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</si>
  <si>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</si>
  <si>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</si>
  <si>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</si>
  <si>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</si>
  <si>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</si>
  <si>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</si>
  <si>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</si>
  <si>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</si>
  <si>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</si>
  <si>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</si>
  <si>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</si>
  <si>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</si>
  <si>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</si>
  <si>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</si>
  <si>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</si>
  <si>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</si>
  <si>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</si>
  <si>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</si>
  <si>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</si>
  <si>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</si>
  <si>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</si>
  <si>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</si>
  <si>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</si>
  <si>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</si>
  <si>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</si>
  <si>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</si>
  <si>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</si>
  <si>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</si>
  <si>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</si>
  <si>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</si>
  <si>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</si>
  <si>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</si>
  <si>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</si>
  <si>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</si>
  <si>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</si>
  <si>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</si>
  <si>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</si>
  <si>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</si>
  <si>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</si>
  <si>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</si>
  <si>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</si>
  <si>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</si>
  <si>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</si>
  <si>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</si>
  <si>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</si>
  <si>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</si>
  <si>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</si>
  <si>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</si>
  <si>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</si>
  <si>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</si>
  <si>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</si>
  <si>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</si>
  <si>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</si>
  <si>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</si>
  <si>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</si>
  <si>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</si>
  <si>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</si>
  <si>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</si>
  <si>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</si>
  <si>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</si>
  <si>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</si>
  <si>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</si>
  <si>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</si>
  <si>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</si>
  <si>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</si>
  <si>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</si>
  <si>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</si>
  <si>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</si>
  <si>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</si>
  <si>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</si>
  <si>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</si>
  <si>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</si>
  <si>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</si>
  <si>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</si>
  <si>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</si>
  <si>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</si>
  <si>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</si>
  <si>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</si>
  <si>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</si>
  <si>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</si>
  <si>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</si>
  <si>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</si>
  <si>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</si>
  <si>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</si>
  <si>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</si>
  <si>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</si>
  <si>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</si>
  <si>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</si>
  <si>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</si>
  <si>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</si>
  <si>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</si>
  <si>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</si>
  <si>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</si>
  <si>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</si>
  <si>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</si>
  <si>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</si>
  <si>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</si>
  <si>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</si>
  <si>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</si>
  <si>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</si>
  <si>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</si>
  <si>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</si>
  <si>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</si>
  <si>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</si>
  <si>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</si>
  <si>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</si>
  <si>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</si>
  <si>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</si>
  <si>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</si>
  <si>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</si>
  <si>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</si>
  <si>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</si>
  <si>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</si>
  <si>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</si>
  <si>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</si>
  <si>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</si>
  <si>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</si>
  <si>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</si>
  <si>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</si>
  <si>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</si>
  <si>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</si>
  <si>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</si>
  <si>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</si>
  <si>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</si>
  <si>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</si>
  <si>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</si>
  <si>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</si>
  <si>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</si>
  <si>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</si>
  <si>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</si>
  <si>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</si>
  <si>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</si>
  <si>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</si>
  <si>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</si>
  <si>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</si>
  <si>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</si>
  <si>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</si>
  <si>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</si>
  <si>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</si>
  <si>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</si>
  <si>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</si>
  <si>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</si>
  <si>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</si>
  <si>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</si>
  <si>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</si>
  <si>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</si>
  <si>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</si>
  <si>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</si>
  <si>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</si>
  <si>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</si>
  <si>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</si>
  <si>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</si>
  <si>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</si>
  <si>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</si>
  <si>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</si>
  <si>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</si>
  <si>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</si>
  <si>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</si>
  <si>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</si>
  <si>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</si>
  <si>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</si>
  <si>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</si>
  <si>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</si>
  <si>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</si>
  <si>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</si>
  <si>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</si>
  <si>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</si>
  <si>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</si>
  <si>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</si>
  <si>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</si>
  <si>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</si>
  <si>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</si>
  <si>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</si>
  <si>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</si>
  <si>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</si>
  <si>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</si>
  <si>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</si>
  <si>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</si>
  <si>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</si>
  <si>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</si>
  <si>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</si>
  <si>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</si>
  <si>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</si>
  <si>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</si>
  <si>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</si>
  <si>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</si>
  <si>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</si>
  <si>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</si>
  <si>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</si>
  <si>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</si>
  <si>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</si>
  <si>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</si>
  <si>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</si>
  <si>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</si>
  <si>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</si>
  <si>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</si>
  <si>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</si>
  <si>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</si>
  <si>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</si>
  <si>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</si>
  <si>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</si>
  <si>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</si>
  <si>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</si>
  <si>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</si>
  <si>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</si>
  <si>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</si>
  <si>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</si>
  <si>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</si>
  <si>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</si>
  <si>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</si>
  <si>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</si>
  <si>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</si>
  <si>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</si>
  <si>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</si>
  <si>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</si>
  <si>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</si>
  <si>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</si>
  <si>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</si>
  <si>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</si>
  <si>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</si>
  <si>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</si>
  <si>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</si>
  <si>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</si>
  <si>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</si>
  <si>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</si>
  <si>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</si>
  <si>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</si>
  <si>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</si>
  <si>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</si>
  <si>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</si>
  <si>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</si>
  <si>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</si>
  <si>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</si>
  <si>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</si>
  <si>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</si>
  <si>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</si>
  <si>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</si>
  <si>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</si>
  <si>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</si>
  <si>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</si>
  <si>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</si>
  <si>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</si>
  <si>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</si>
  <si>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</si>
  <si>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</si>
  <si>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</si>
  <si>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</si>
  <si>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</si>
  <si>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</si>
  <si>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</si>
  <si>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</si>
  <si>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</si>
  <si>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</si>
  <si>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</si>
  <si>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</si>
  <si>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</si>
  <si>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</si>
  <si>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</si>
  <si>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</si>
  <si>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</si>
  <si>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</si>
  <si>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</si>
  <si>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</si>
  <si>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</si>
  <si>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</si>
  <si>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</si>
  <si>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</si>
  <si>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</si>
  <si>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</si>
  <si>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</si>
  <si>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</si>
  <si>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</si>
  <si>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</si>
  <si>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</si>
  <si>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</si>
  <si>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</si>
  <si>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</si>
  <si>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</si>
  <si>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</si>
  <si>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</si>
  <si>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</si>
  <si>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</si>
  <si>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</si>
  <si>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</si>
  <si>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</si>
  <si>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</si>
  <si>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</si>
  <si>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</si>
  <si>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</si>
  <si>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</si>
  <si>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</si>
  <si>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</si>
  <si>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</si>
  <si>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</si>
  <si>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</si>
  <si>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</si>
  <si>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</si>
  <si>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</si>
  <si>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</si>
  <si>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</si>
  <si>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</si>
  <si>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</si>
  <si>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</si>
  <si>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</si>
  <si>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</si>
  <si>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</si>
  <si>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</si>
  <si>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</si>
  <si>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</si>
  <si>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</si>
  <si>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</si>
  <si>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</si>
  <si>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</si>
  <si>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</si>
  <si>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</si>
  <si>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</si>
  <si>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</si>
  <si>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</si>
  <si>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</si>
  <si>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</si>
  <si>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</si>
  <si>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</si>
  <si>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</si>
  <si>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</si>
  <si>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</si>
  <si>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</si>
  <si>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</si>
  <si>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</si>
  <si>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</si>
  <si>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</si>
  <si>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</si>
  <si>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</si>
  <si>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</si>
  <si>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</si>
  <si>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</si>
  <si>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</si>
  <si>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</si>
  <si>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</si>
  <si>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</si>
  <si>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</si>
  <si>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</si>
  <si>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</si>
  <si>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</si>
  <si>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</si>
  <si>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</si>
  <si>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</si>
  <si>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</si>
  <si>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</si>
  <si>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</si>
  <si>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</si>
  <si>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</si>
  <si>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</si>
  <si>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</si>
  <si>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</si>
  <si>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</si>
  <si>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</si>
  <si>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</si>
  <si>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</si>
  <si>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</si>
  <si>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</si>
  <si>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</si>
  <si>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</si>
  <si>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</si>
  <si>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</si>
  <si>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</si>
  <si>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</si>
  <si>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</si>
  <si>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</si>
  <si>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</si>
  <si>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</si>
  <si>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</si>
  <si>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</si>
  <si>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</si>
  <si>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</si>
  <si>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</si>
  <si>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</si>
  <si>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</si>
  <si>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</si>
  <si>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</si>
  <si>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</si>
  <si>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</si>
  <si>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</si>
  <si>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</si>
  <si>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</si>
  <si>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</si>
  <si>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</si>
  <si>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</si>
  <si>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</si>
  <si>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</si>
  <si>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</si>
  <si>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</si>
  <si>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</si>
  <si>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</si>
  <si>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</si>
  <si>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</si>
  <si>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</si>
  <si>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</si>
  <si>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</si>
  <si>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</si>
  <si>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</si>
  <si>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</si>
  <si>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</si>
  <si>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</si>
  <si>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</si>
  <si>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</si>
  <si>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</si>
  <si>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</si>
  <si>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</si>
  <si>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</si>
  <si>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</si>
  <si>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</si>
  <si>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</si>
  <si>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</si>
  <si>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</si>
  <si>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</si>
  <si>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</si>
  <si>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</si>
  <si>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</si>
  <si>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</si>
  <si>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</si>
  <si>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</si>
  <si>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</si>
  <si>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</si>
  <si>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</si>
  <si>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</si>
  <si>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</si>
  <si>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</si>
  <si>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</si>
  <si>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</si>
  <si>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</si>
  <si>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</si>
  <si>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</si>
  <si>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</si>
  <si>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</si>
  <si>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</si>
  <si>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</si>
  <si>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</si>
  <si>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</si>
  <si>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</si>
  <si>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</si>
  <si>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</si>
  <si>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</si>
  <si>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</si>
  <si>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</si>
  <si>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</si>
  <si>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</si>
  <si>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</si>
  <si>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</si>
  <si>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</si>
  <si>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</si>
  <si>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</si>
  <si>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</si>
  <si>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</si>
  <si>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</si>
  <si>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</si>
  <si>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</si>
  <si>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</si>
  <si>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</si>
  <si>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</si>
  <si>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</si>
  <si>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</si>
  <si>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</si>
  <si>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</si>
  <si>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</si>
  <si>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</si>
  <si>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</si>
  <si>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</si>
  <si>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</si>
  <si>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</si>
  <si>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</si>
  <si>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</si>
  <si>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</si>
  <si>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</si>
  <si>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</si>
  <si>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</si>
  <si>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</si>
  <si>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</si>
  <si>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</si>
  <si>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</si>
  <si>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</si>
  <si>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</si>
  <si>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</si>
  <si>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</si>
  <si>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</si>
  <si>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</si>
  <si>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</si>
  <si>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</si>
  <si>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</si>
  <si>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</si>
  <si>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</si>
  <si>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</si>
  <si>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</si>
  <si>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</si>
  <si>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</si>
  <si>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</si>
  <si>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</si>
  <si>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</si>
  <si>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</si>
  <si>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</si>
  <si>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</si>
  <si>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</si>
  <si>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</si>
  <si>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</si>
  <si>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</si>
  <si>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</si>
  <si>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</si>
  <si>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</si>
  <si>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</si>
  <si>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</si>
  <si>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</si>
  <si>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</si>
  <si>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</si>
  <si>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</si>
  <si>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</si>
  <si>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</si>
  <si>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</si>
  <si>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</si>
  <si>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</si>
  <si>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</si>
  <si>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</si>
  <si>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</si>
  <si>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</si>
  <si>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</si>
  <si>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</si>
  <si>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</si>
  <si>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</si>
  <si>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</si>
  <si>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</si>
  <si>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</si>
  <si>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</si>
  <si>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</si>
  <si>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</si>
  <si>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</si>
  <si>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</si>
  <si>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</si>
  <si>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</si>
  <si>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</si>
  <si>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</si>
  <si>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</si>
  <si>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</si>
  <si>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</si>
  <si>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</si>
  <si>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</si>
  <si>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</si>
  <si>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</si>
  <si>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</si>
  <si>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</si>
  <si>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</si>
  <si>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</si>
  <si>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</si>
  <si>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</si>
  <si>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</si>
  <si>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</si>
  <si>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</si>
  <si>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</si>
  <si>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</si>
  <si>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</si>
  <si>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</si>
  <si>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</si>
  <si>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</si>
  <si>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</si>
  <si>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</si>
  <si>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</si>
  <si>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</si>
  <si>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</si>
  <si>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</si>
  <si>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</si>
  <si>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</si>
  <si>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</si>
  <si>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</si>
  <si>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</si>
  <si>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</si>
  <si>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</si>
  <si>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</si>
  <si>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</si>
  <si>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</si>
  <si>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</si>
  <si>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</si>
  <si>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</si>
  <si>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</si>
  <si>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</si>
  <si>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</si>
  <si>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</si>
  <si>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</si>
  <si>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</si>
  <si>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</si>
  <si>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</si>
  <si>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</si>
  <si>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</si>
  <si>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</si>
  <si>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</si>
  <si>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</si>
  <si>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</si>
  <si>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</si>
  <si>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</si>
  <si>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</si>
  <si>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</si>
  <si>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</si>
  <si>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</si>
  <si>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</si>
  <si>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</si>
  <si>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</si>
  <si>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</si>
  <si>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</si>
  <si>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</si>
  <si>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</si>
  <si>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</si>
  <si>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</si>
  <si>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</si>
  <si>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</si>
  <si>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</si>
  <si>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</si>
  <si>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</si>
  <si>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</si>
  <si>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</si>
  <si>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</si>
  <si>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</si>
  <si>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</si>
  <si>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</si>
  <si>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</si>
  <si>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</si>
  <si>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</si>
  <si>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</si>
  <si>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</si>
  <si>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</si>
  <si>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</si>
  <si>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</si>
  <si>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</si>
  <si>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</si>
  <si>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</si>
  <si>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</si>
  <si>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</si>
  <si>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</si>
  <si>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</si>
  <si>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</si>
  <si>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</si>
  <si>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</si>
  <si>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</si>
  <si>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</si>
  <si>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</si>
  <si>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</si>
  <si>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</si>
  <si>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</si>
  <si>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</si>
  <si>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</si>
  <si>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</si>
  <si>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</si>
  <si>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</si>
  <si>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</si>
  <si>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</si>
  <si>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</si>
  <si>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</si>
  <si>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</si>
  <si>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</si>
  <si>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</si>
  <si>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</si>
  <si>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</si>
  <si>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</si>
  <si>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</si>
  <si>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</si>
  <si>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</si>
  <si>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</si>
  <si>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</si>
  <si>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</si>
  <si>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</si>
  <si>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</si>
  <si>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</si>
  <si>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</si>
  <si>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</si>
  <si>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</si>
  <si>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</si>
  <si>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</si>
  <si>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</si>
  <si>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</si>
  <si>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</si>
  <si>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</si>
  <si>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</si>
  <si>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</si>
  <si>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</si>
  <si>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</si>
  <si>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</si>
  <si>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</si>
  <si>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</si>
  <si>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</si>
  <si>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</si>
  <si>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</si>
  <si>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</si>
  <si>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</si>
  <si>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</si>
  <si>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</si>
  <si>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</si>
  <si>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</si>
  <si>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</si>
  <si>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</si>
  <si>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</si>
  <si>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</si>
  <si>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</si>
  <si>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</si>
  <si>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</si>
  <si>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</si>
  <si>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</si>
  <si>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</si>
  <si>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</si>
  <si>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</si>
  <si>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</si>
  <si>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</si>
  <si>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</si>
  <si>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</si>
  <si>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</si>
  <si>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</si>
  <si>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</si>
  <si>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</si>
  <si>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</si>
  <si>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</si>
  <si>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</si>
  <si>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</si>
  <si>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</si>
  <si>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</si>
  <si>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</si>
  <si>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</si>
  <si>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</si>
  <si>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</si>
  <si>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</si>
  <si>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</si>
  <si>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</si>
  <si>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</si>
  <si>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</si>
  <si>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</si>
  <si>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</si>
  <si>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</si>
  <si>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</si>
  <si>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</si>
  <si>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</si>
  <si>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</si>
  <si>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</si>
  <si>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</si>
  <si>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</si>
  <si>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</si>
  <si>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</si>
  <si>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</si>
  <si>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</si>
  <si>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</si>
  <si>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</si>
  <si>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</si>
  <si>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</si>
  <si>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</si>
  <si>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</si>
  <si>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</si>
  <si>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</si>
  <si>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</si>
  <si>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</si>
  <si>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</si>
  <si>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</si>
  <si>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</si>
  <si>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</si>
  <si>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</si>
  <si>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</si>
  <si>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</si>
  <si>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</si>
  <si>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</si>
  <si>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</si>
  <si>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</si>
  <si>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</si>
  <si>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</si>
  <si>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</si>
  <si>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</si>
  <si>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</si>
  <si>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</si>
  <si>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</si>
  <si>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</si>
  <si>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</si>
  <si>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</si>
  <si>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</si>
  <si>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</si>
  <si>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</si>
  <si>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</si>
  <si>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</si>
  <si>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</si>
  <si>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</si>
  <si>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</si>
  <si>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</si>
  <si>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</si>
  <si>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</si>
  <si>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</si>
  <si>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</si>
  <si>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</si>
  <si>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</si>
  <si>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</si>
  <si>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</si>
  <si>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</si>
  <si>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</si>
  <si>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</si>
  <si>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</si>
  <si>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</si>
  <si>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</si>
  <si>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</si>
  <si>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</si>
  <si>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</si>
  <si>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</si>
  <si>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</si>
  <si>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</si>
  <si>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</si>
  <si>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</si>
  <si>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</si>
  <si>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</si>
  <si>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</si>
  <si>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</si>
  <si>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</si>
  <si>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</si>
  <si>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</si>
  <si>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</si>
  <si>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</si>
  <si>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</si>
  <si>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</si>
  <si>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</si>
  <si>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</si>
  <si>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</si>
  <si>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</si>
  <si>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</si>
  <si>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</si>
  <si>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</si>
  <si>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</si>
  <si>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</si>
  <si>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</si>
  <si>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</si>
  <si>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</si>
  <si>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</si>
  <si>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</si>
  <si>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</si>
  <si>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</si>
  <si>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</si>
  <si>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</si>
  <si>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</si>
  <si>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</si>
  <si>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</si>
  <si>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</si>
  <si>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</si>
  <si>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</si>
  <si>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</si>
  <si>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</si>
  <si>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</si>
  <si>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</si>
  <si>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</si>
  <si>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</si>
  <si>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</si>
  <si>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</si>
  <si>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</si>
  <si>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</si>
  <si>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</si>
  <si>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</si>
  <si>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</si>
  <si>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</si>
  <si>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</si>
  <si>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</si>
  <si>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</si>
  <si>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</si>
  <si>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</si>
  <si>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</si>
  <si>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</si>
  <si>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</si>
  <si>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</si>
  <si>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</si>
  <si>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</si>
  <si>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</si>
  <si>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</si>
  <si>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</si>
  <si>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</si>
  <si>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</si>
  <si>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</si>
  <si>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</si>
  <si>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</si>
  <si>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</si>
  <si>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</si>
  <si>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</si>
  <si>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</si>
  <si>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</si>
  <si>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</si>
  <si>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</si>
  <si>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</si>
  <si>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</si>
  <si>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</si>
  <si>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</si>
  <si>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</si>
  <si>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</si>
  <si>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</si>
  <si>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</si>
  <si>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</si>
  <si>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</si>
  <si>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</si>
  <si>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</si>
  <si>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</si>
  <si>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</si>
  <si>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</si>
  <si>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</si>
  <si>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</si>
  <si>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</si>
  <si>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</si>
  <si>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</si>
  <si>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</si>
  <si>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</si>
  <si>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</si>
  <si>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</si>
  <si>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</si>
  <si>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</si>
  <si>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</si>
  <si>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</si>
  <si>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</si>
  <si>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</si>
  <si>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</si>
  <si>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</si>
  <si>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</si>
  <si>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</si>
  <si>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</si>
  <si>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</si>
  <si>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</si>
  <si>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</si>
  <si>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</si>
  <si>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</si>
  <si>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</si>
  <si>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</si>
  <si>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</si>
  <si>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</si>
  <si>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</si>
  <si>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</si>
  <si>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</si>
  <si>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</si>
  <si>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</si>
  <si>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</si>
  <si>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</si>
  <si>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</si>
  <si>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</si>
  <si>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</si>
  <si>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</si>
  <si>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</si>
  <si>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</si>
  <si>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</si>
  <si>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</si>
  <si>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</si>
  <si>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</si>
  <si>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</si>
  <si>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</si>
  <si>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</si>
  <si>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</si>
  <si>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</si>
  <si>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</si>
  <si>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</si>
  <si>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</si>
  <si>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</si>
  <si>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</si>
  <si>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</si>
  <si>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</si>
  <si>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</si>
  <si>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</si>
  <si>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</si>
  <si>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</si>
  <si>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</si>
  <si>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</si>
  <si>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</si>
  <si>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</si>
  <si>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</si>
  <si>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</si>
  <si>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</si>
  <si>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</si>
  <si>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</si>
  <si>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</si>
  <si>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</si>
  <si>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</si>
  <si>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</si>
  <si>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</si>
  <si>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</si>
  <si>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</si>
  <si>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</si>
  <si>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</si>
  <si>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</si>
  <si>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</si>
  <si>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</si>
  <si>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</si>
  <si>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</si>
  <si>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</si>
  <si>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</si>
  <si>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</si>
  <si>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</si>
  <si>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</si>
  <si>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</si>
  <si>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</si>
  <si>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</si>
  <si>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</si>
  <si>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</si>
  <si>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</si>
  <si>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</si>
  <si>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</si>
  <si>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</si>
  <si>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</si>
  <si>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</si>
  <si>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</si>
  <si>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</si>
  <si>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</si>
  <si>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</si>
  <si>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</si>
  <si>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</si>
  <si>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</si>
  <si>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</si>
  <si>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</si>
  <si>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</si>
  <si>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</si>
  <si>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</si>
  <si>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</si>
  <si>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</si>
  <si>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</si>
  <si>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</si>
  <si>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</si>
  <si>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</si>
  <si>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</si>
  <si>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</si>
  <si>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</si>
  <si>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</si>
  <si>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</si>
  <si>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</si>
  <si>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</si>
  <si>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</si>
  <si>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</si>
  <si>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</si>
  <si>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</si>
  <si>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</si>
  <si>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</si>
  <si>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</si>
  <si>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</si>
  <si>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</si>
  <si>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</si>
  <si>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</si>
  <si>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</si>
  <si>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</si>
  <si>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</si>
  <si>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</si>
  <si>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</si>
  <si>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</si>
  <si>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</si>
  <si>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</si>
  <si>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</si>
  <si>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</si>
  <si>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</si>
  <si>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</si>
  <si>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</si>
  <si>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</si>
  <si>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</si>
  <si>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</si>
  <si>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</si>
  <si>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</si>
  <si>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</si>
  <si>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</si>
  <si>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</si>
  <si>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</si>
  <si>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</si>
  <si>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</si>
  <si>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</si>
  <si>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</si>
  <si>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</si>
  <si>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</si>
  <si>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</si>
  <si>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</si>
  <si>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</si>
  <si>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</si>
  <si>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</si>
  <si>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</si>
  <si>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</si>
  <si>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</si>
  <si>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</si>
  <si>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</si>
  <si>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</si>
  <si>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</si>
  <si>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</si>
  <si>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</si>
  <si>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</si>
  <si>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</si>
  <si>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</si>
  <si>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</si>
  <si>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</si>
  <si>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</si>
  <si>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</si>
  <si>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</si>
  <si>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</si>
  <si>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</si>
  <si>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</si>
  <si>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</si>
  <si>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</si>
  <si>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</si>
  <si>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</si>
  <si>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</si>
  <si>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</si>
  <si>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</si>
  <si>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</si>
  <si>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</si>
  <si>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</si>
  <si>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</si>
  <si>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</si>
  <si>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</si>
  <si>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</si>
  <si>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</si>
  <si>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</si>
  <si>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</si>
  <si>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</si>
  <si>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</si>
  <si>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</si>
  <si>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</si>
  <si>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</si>
  <si>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</si>
  <si>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</si>
  <si>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</si>
  <si>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</si>
  <si>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</si>
  <si>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</si>
  <si>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</si>
  <si>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</si>
  <si>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</si>
  <si>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</si>
  <si>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</si>
  <si>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</si>
  <si>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</si>
  <si>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</si>
  <si>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</si>
  <si>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</si>
  <si>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</si>
  <si>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</si>
  <si>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</si>
  <si>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</si>
  <si>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</si>
  <si>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</si>
  <si>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</si>
  <si>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</si>
  <si>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</si>
  <si>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</si>
  <si>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</si>
  <si>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</si>
  <si>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</si>
  <si>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</si>
  <si>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</si>
  <si>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</si>
  <si>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</si>
  <si>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</si>
  <si>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</si>
  <si>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</si>
  <si>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</si>
  <si>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</si>
  <si>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</si>
  <si>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</si>
  <si>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</si>
  <si>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</si>
  <si>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</si>
  <si>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</si>
  <si>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</si>
  <si>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</si>
  <si>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</si>
  <si>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</si>
  <si>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</si>
  <si>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</si>
  <si>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</si>
  <si>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</si>
  <si>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</si>
  <si>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</si>
  <si>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</si>
  <si>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</si>
  <si>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</si>
  <si>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</si>
  <si>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</si>
  <si>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</si>
  <si>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</si>
  <si>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</si>
  <si>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</si>
  <si>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</si>
  <si>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</si>
  <si>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</si>
  <si>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</si>
  <si>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</si>
  <si>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</si>
  <si>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</si>
  <si>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</si>
  <si>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</si>
  <si>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</si>
  <si>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</si>
  <si>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</si>
  <si>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</si>
  <si>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</si>
  <si>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</si>
  <si>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</si>
  <si>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</si>
  <si>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</si>
  <si>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</si>
  <si>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</si>
  <si>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</si>
  <si>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</si>
  <si>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</si>
  <si>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</si>
  <si>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</si>
  <si>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</si>
  <si>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</si>
  <si>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</si>
  <si>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</si>
  <si>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</si>
  <si>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</si>
  <si>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</si>
  <si>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</si>
  <si>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</si>
  <si>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</si>
  <si>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</si>
  <si>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</si>
  <si>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</si>
  <si>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</si>
  <si>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</si>
  <si>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</si>
  <si>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</si>
  <si>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</si>
  <si>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</si>
  <si>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</si>
  <si>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</si>
  <si>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</si>
  <si>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</si>
  <si>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</si>
  <si>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</si>
  <si>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</si>
  <si>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</si>
  <si>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</si>
  <si>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</si>
  <si>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</si>
  <si>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</si>
  <si>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</si>
  <si>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</si>
  <si>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</si>
  <si>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</si>
  <si>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</si>
  <si>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</si>
  <si>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</si>
  <si>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</si>
  <si>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</si>
  <si>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</si>
  <si>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</si>
  <si>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</si>
  <si>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</si>
  <si>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</si>
  <si>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</si>
  <si>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</si>
  <si>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</si>
  <si>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</si>
  <si>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</si>
  <si>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</si>
  <si>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</si>
  <si>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</si>
  <si>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</si>
  <si>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</si>
  <si>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</si>
  <si>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</si>
  <si>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</si>
  <si>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</si>
  <si>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</si>
  <si>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</si>
  <si>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</si>
  <si>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</si>
  <si>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</si>
  <si>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</si>
  <si>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</si>
  <si>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</si>
  <si>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</si>
  <si>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</si>
  <si>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</si>
  <si>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</si>
  <si>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</si>
  <si>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</si>
  <si>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</si>
  <si>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</si>
  <si>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</si>
  <si>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</si>
  <si>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</si>
  <si>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</si>
  <si>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</si>
  <si>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</si>
  <si>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</si>
  <si>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</si>
  <si>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</si>
  <si>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</si>
  <si>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</si>
  <si>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</si>
  <si>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</si>
  <si>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</si>
  <si>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</si>
  <si>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</si>
  <si>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</si>
  <si>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</si>
  <si>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</si>
  <si>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</si>
  <si>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</si>
  <si>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</si>
  <si>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</si>
  <si>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</si>
  <si>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</si>
  <si>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</si>
  <si>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</si>
  <si>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</si>
  <si>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</si>
  <si>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</si>
  <si>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</si>
  <si>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</si>
  <si>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</si>
  <si>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</si>
  <si>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</si>
  <si>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</si>
  <si>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</si>
  <si>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</si>
  <si>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</si>
  <si>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</si>
  <si>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</si>
  <si>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</si>
  <si>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</si>
  <si>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</si>
  <si>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</si>
  <si>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</si>
  <si>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</si>
  <si>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</si>
  <si>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</si>
  <si>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</si>
  <si>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</si>
  <si>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</si>
  <si>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</si>
  <si>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</si>
  <si>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</si>
  <si>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</si>
  <si>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</si>
  <si>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</si>
  <si>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</si>
  <si>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</si>
  <si>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</si>
  <si>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</si>
  <si>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</si>
  <si>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</si>
  <si>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</si>
  <si>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</si>
  <si>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</si>
  <si>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</si>
  <si>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</si>
  <si>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</si>
  <si>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</si>
  <si>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</si>
  <si>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</si>
  <si>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</si>
  <si>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</si>
  <si>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</si>
  <si>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</si>
  <si>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</si>
  <si>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</si>
  <si>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</si>
  <si>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</si>
  <si>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</si>
  <si>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</si>
  <si>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</si>
  <si>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</si>
  <si>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</si>
  <si>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</si>
  <si>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</si>
  <si>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</si>
  <si>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</si>
  <si>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</si>
  <si>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</si>
  <si>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</si>
  <si>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</si>
  <si>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</si>
  <si>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</si>
  <si>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</si>
  <si>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</si>
  <si>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</si>
  <si>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</si>
  <si>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</si>
  <si>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</si>
  <si>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</si>
  <si>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</si>
  <si>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</si>
  <si>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</si>
  <si>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</si>
  <si>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</si>
  <si>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</si>
  <si>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</si>
  <si>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</si>
  <si>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</si>
  <si>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</si>
  <si>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</si>
  <si>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</si>
  <si>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</si>
  <si>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</si>
  <si>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</si>
  <si>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</si>
  <si>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</si>
  <si>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</si>
  <si>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</si>
  <si>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</si>
  <si>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</si>
  <si>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</si>
  <si>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</si>
  <si>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</si>
  <si>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</si>
  <si>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</si>
  <si>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</si>
  <si>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</si>
  <si>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</si>
  <si>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</si>
  <si>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</si>
  <si>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</si>
  <si>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</si>
  <si>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</si>
  <si>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</si>
  <si>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</si>
  <si>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</si>
  <si>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</si>
  <si>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</si>
  <si>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</si>
  <si>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</si>
  <si>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</si>
  <si>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</si>
  <si>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</si>
  <si>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</si>
  <si>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</si>
  <si>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</si>
  <si>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</si>
  <si>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</si>
  <si>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</si>
  <si>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</si>
  <si>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</si>
  <si>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</si>
  <si>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</si>
  <si>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</si>
  <si>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</si>
  <si>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</si>
  <si>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</si>
  <si>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</si>
  <si>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</si>
  <si>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</si>
  <si>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</si>
  <si>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</si>
  <si>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</si>
  <si>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</si>
  <si>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</si>
  <si>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</si>
  <si>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</si>
  <si>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</si>
  <si>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</si>
  <si>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</si>
  <si>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</si>
  <si>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</si>
  <si>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</si>
  <si>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</si>
  <si>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</si>
  <si>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</si>
  <si>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</si>
  <si>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</si>
  <si>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</si>
  <si>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</si>
  <si>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</si>
  <si>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</si>
  <si>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</si>
  <si>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</si>
  <si>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</si>
  <si>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</si>
  <si>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</si>
  <si>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</si>
  <si>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</si>
  <si>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</si>
  <si>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</si>
  <si>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</si>
  <si>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</si>
  <si>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</si>
  <si>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</si>
  <si>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</si>
  <si>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</si>
  <si>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</si>
  <si>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</si>
  <si>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</si>
  <si>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</si>
  <si>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</si>
  <si>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</si>
  <si>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</si>
  <si>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</si>
  <si>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</si>
  <si>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</si>
  <si>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</si>
  <si>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</si>
  <si>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</si>
  <si>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</si>
  <si>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</si>
  <si>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</si>
  <si>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</si>
  <si>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</si>
  <si>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</si>
  <si>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</si>
  <si>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</si>
  <si>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</si>
  <si>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</si>
  <si>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</si>
  <si>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</si>
  <si>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</si>
  <si>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</si>
  <si>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</si>
  <si>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</si>
  <si>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</si>
  <si>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</si>
  <si>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</si>
  <si>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</si>
  <si>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</si>
  <si>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</si>
  <si>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</si>
  <si>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</si>
  <si>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</si>
  <si>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</si>
  <si>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</si>
  <si>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</si>
  <si>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</si>
  <si>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</si>
  <si>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</si>
  <si>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</si>
  <si>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</si>
  <si>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</si>
  <si>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</si>
  <si>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</si>
  <si>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</si>
  <si>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</si>
  <si>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</si>
  <si>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</si>
  <si>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</si>
  <si>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</si>
  <si>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</si>
  <si>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</si>
  <si>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</si>
  <si>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</si>
  <si>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</si>
  <si>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</si>
  <si>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</si>
  <si>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</si>
  <si>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</si>
  <si>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</si>
  <si>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</si>
  <si>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</si>
  <si>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</si>
  <si>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</si>
  <si>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</si>
  <si>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</si>
  <si>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</si>
  <si>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</si>
  <si>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</si>
  <si>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</si>
  <si>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</si>
  <si>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</si>
  <si>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</si>
  <si>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</si>
  <si>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</si>
  <si>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</si>
  <si>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</si>
  <si>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</si>
  <si>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</si>
  <si>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</si>
  <si>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</si>
  <si>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</si>
  <si>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</si>
  <si>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</si>
  <si>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</si>
  <si>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</si>
  <si>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</si>
  <si>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</si>
  <si>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</si>
  <si>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</si>
  <si>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</si>
  <si>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</si>
  <si>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</si>
  <si>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</si>
  <si>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</si>
  <si>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</si>
  <si>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</si>
  <si>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</si>
  <si>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</si>
  <si>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</si>
  <si>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</si>
  <si>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</si>
  <si>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</si>
  <si>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</si>
  <si>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</si>
  <si>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</si>
  <si>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</si>
  <si>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</si>
  <si>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</si>
  <si>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</si>
  <si>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</si>
  <si>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</si>
  <si>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</si>
  <si>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</si>
  <si>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</si>
  <si>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</si>
  <si>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</si>
  <si>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</si>
  <si>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</si>
  <si>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</si>
  <si>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</si>
  <si>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</si>
  <si>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</si>
  <si>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</si>
  <si>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</si>
  <si>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</si>
  <si>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</si>
  <si>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</si>
  <si>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</si>
  <si>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</si>
  <si>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</si>
  <si>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</si>
  <si>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</si>
  <si>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</si>
  <si>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</si>
  <si>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</si>
  <si>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</si>
  <si>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</si>
  <si>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</si>
  <si>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</si>
  <si>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</si>
  <si>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</si>
  <si>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</si>
  <si>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</si>
  <si>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</si>
  <si>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</si>
  <si>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</si>
  <si>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</si>
  <si>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</si>
  <si>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</si>
  <si>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</si>
  <si>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</si>
  <si>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</si>
  <si>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</si>
  <si>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</si>
  <si>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</si>
  <si>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</si>
  <si>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</si>
  <si>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</si>
  <si>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</si>
  <si>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</si>
  <si>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</si>
  <si>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</si>
  <si>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</si>
  <si>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</si>
  <si>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</si>
  <si>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</si>
  <si>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</si>
  <si>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</si>
  <si>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</si>
  <si>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</si>
  <si>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</si>
  <si>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</si>
  <si>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</si>
  <si>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</si>
  <si>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</si>
  <si>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</si>
  <si>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</si>
  <si>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</si>
  <si>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</si>
  <si>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</si>
  <si>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</si>
  <si>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</si>
  <si>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</si>
  <si>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</si>
  <si>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</si>
  <si>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</si>
  <si>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</si>
  <si>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</si>
  <si>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</si>
  <si>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</si>
  <si>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</si>
  <si>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</si>
  <si>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</si>
  <si>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</si>
  <si>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</si>
  <si>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</si>
  <si>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</si>
  <si>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</si>
  <si>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</si>
  <si>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</si>
  <si>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</si>
  <si>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</si>
  <si>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</si>
  <si>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</si>
  <si>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</si>
  <si>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</si>
  <si>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</si>
  <si>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</si>
  <si>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</si>
  <si>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</si>
  <si>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</si>
  <si>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</si>
  <si>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</si>
  <si>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</si>
  <si>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</si>
  <si>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</si>
  <si>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</si>
  <si>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</si>
  <si>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</si>
  <si>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</si>
  <si>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</si>
  <si>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</si>
  <si>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</si>
  <si>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</si>
  <si>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</si>
  <si>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</si>
  <si>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</si>
  <si>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</si>
  <si>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</si>
  <si>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</si>
  <si>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</si>
  <si>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</si>
  <si>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</si>
  <si>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</si>
  <si>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</si>
  <si>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</si>
  <si>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</si>
  <si>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</si>
  <si>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</si>
  <si>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</si>
  <si>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</si>
  <si>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</si>
  <si>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</si>
  <si>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</si>
  <si>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</si>
  <si>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</si>
  <si>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</si>
  <si>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</si>
  <si>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</si>
  <si>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</si>
  <si>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</si>
  <si>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</si>
  <si>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</si>
  <si>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</si>
  <si>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</si>
  <si>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</si>
  <si>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</si>
  <si>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</si>
  <si>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</si>
  <si>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</si>
  <si>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</si>
  <si>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</si>
  <si>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</si>
  <si>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</si>
  <si>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</si>
  <si>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</si>
  <si>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</si>
  <si>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</si>
  <si>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</si>
  <si>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</si>
  <si>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</si>
  <si>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</si>
  <si>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</si>
  <si>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</si>
  <si>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</si>
  <si>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</si>
  <si>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</si>
  <si>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</si>
  <si>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</si>
  <si>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</si>
  <si>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</si>
  <si>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</si>
  <si>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</si>
  <si>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</si>
  <si>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</si>
  <si>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</si>
  <si>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</si>
  <si>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</si>
  <si>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</si>
  <si>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</si>
  <si>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</si>
  <si>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</si>
  <si>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</si>
  <si>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</si>
  <si>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</si>
  <si>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</si>
  <si>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</si>
  <si>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</si>
  <si>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</si>
  <si>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</si>
  <si>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</si>
  <si>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</si>
  <si>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</si>
  <si>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</si>
  <si>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</si>
  <si>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</si>
  <si>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</si>
  <si>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</si>
  <si>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</si>
  <si>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</si>
  <si>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</si>
  <si>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</si>
  <si>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</si>
  <si>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</si>
  <si>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</si>
  <si>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</si>
  <si>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</si>
  <si>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</si>
  <si>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</si>
  <si>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</si>
  <si>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</si>
  <si>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</si>
  <si>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</si>
  <si>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</si>
  <si>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</si>
  <si>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</si>
  <si>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</si>
  <si>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</si>
  <si>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</si>
  <si>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</si>
  <si>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</si>
  <si>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</si>
  <si>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</si>
  <si>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</si>
  <si>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</si>
  <si>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</si>
  <si>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</si>
  <si>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</si>
  <si>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</si>
  <si>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</si>
  <si>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</si>
  <si>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</si>
  <si>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</si>
  <si>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</si>
  <si>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</si>
  <si>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</si>
  <si>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</si>
  <si>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</si>
  <si>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</si>
  <si>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</si>
  <si>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</si>
  <si>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</si>
  <si>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</si>
  <si>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</si>
  <si>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</si>
  <si>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</si>
  <si>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</si>
  <si>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</si>
  <si>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</si>
  <si>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</si>
  <si>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</si>
  <si>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</si>
  <si>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</si>
  <si>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</si>
  <si>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</si>
  <si>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</si>
  <si>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</si>
  <si>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</si>
  <si>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</si>
  <si>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</si>
  <si>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</si>
  <si>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</si>
  <si>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</si>
  <si>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</si>
  <si>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</si>
  <si>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</si>
  <si>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</si>
  <si>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</si>
  <si>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</si>
  <si>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</si>
  <si>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</si>
  <si>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</si>
  <si>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</si>
  <si>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</si>
  <si>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</si>
  <si>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</si>
  <si>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</si>
  <si>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</si>
  <si>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</si>
  <si>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</si>
  <si>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</si>
  <si>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</si>
  <si>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</si>
  <si>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</si>
  <si>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</si>
  <si>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</si>
  <si>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</si>
  <si>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</si>
  <si>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</si>
  <si>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</si>
  <si>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</si>
  <si>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</si>
  <si>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</si>
  <si>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</si>
  <si>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</si>
  <si>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</si>
  <si>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</si>
  <si>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</si>
  <si>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</si>
  <si>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</si>
  <si>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</si>
  <si>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</si>
  <si>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</si>
  <si>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</si>
  <si>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</si>
  <si>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</si>
  <si>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</si>
  <si>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</si>
  <si>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</si>
  <si>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</si>
  <si>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</si>
  <si>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</si>
  <si>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</si>
  <si>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</si>
  <si>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</si>
  <si>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</si>
  <si>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</si>
  <si>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</si>
  <si>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</si>
  <si>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</si>
  <si>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</si>
  <si>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</si>
  <si>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</si>
  <si>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</si>
  <si>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</si>
  <si>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</si>
  <si>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</si>
  <si>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</si>
  <si>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</si>
  <si>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</si>
  <si>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</si>
  <si>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</si>
  <si>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</si>
  <si>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</si>
  <si>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</si>
  <si>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</si>
  <si>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</si>
  <si>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</si>
  <si>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</si>
  <si>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</si>
  <si>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</si>
  <si>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</si>
  <si>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</si>
  <si>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</si>
  <si>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</si>
  <si>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</si>
  <si>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</si>
  <si>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</si>
  <si>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</si>
  <si>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</si>
  <si>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</si>
  <si>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</si>
  <si>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</si>
  <si>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</si>
  <si>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</si>
  <si>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</si>
  <si>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</si>
  <si>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</si>
  <si>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</si>
  <si>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</si>
  <si>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</si>
  <si>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</si>
  <si>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</si>
  <si>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</si>
  <si>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</si>
  <si>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</si>
  <si>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</si>
  <si>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</si>
  <si>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</si>
  <si>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</si>
  <si>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</si>
  <si>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</si>
  <si>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</si>
  <si>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</si>
  <si>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</si>
  <si>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</si>
  <si>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</si>
  <si>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</si>
  <si>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</si>
  <si>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</si>
  <si>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</si>
  <si>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</si>
  <si>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</si>
  <si>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</si>
  <si>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</si>
  <si>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</si>
  <si>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</si>
  <si>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</si>
  <si>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</si>
  <si>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</si>
  <si>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</si>
  <si>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</si>
  <si>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</si>
  <si>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</si>
  <si>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</si>
  <si>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</si>
  <si>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</si>
  <si>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</si>
  <si>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</si>
  <si>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</si>
  <si>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</si>
  <si>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</si>
  <si>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</si>
  <si>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</si>
  <si>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</si>
  <si>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</si>
  <si>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</si>
  <si>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</si>
  <si>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</si>
  <si>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</si>
  <si>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</si>
  <si>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</si>
  <si>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</si>
  <si>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</si>
  <si>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</si>
  <si>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</si>
  <si>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</si>
  <si>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</si>
  <si>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</si>
  <si>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</si>
  <si>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</si>
  <si>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</si>
  <si>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</si>
  <si>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</si>
  <si>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</si>
  <si>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</si>
  <si>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</si>
  <si>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</si>
  <si>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</si>
  <si>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</si>
  <si>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</si>
  <si>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</si>
  <si>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</si>
  <si>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</si>
  <si>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</si>
  <si>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</si>
  <si>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</si>
  <si>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</si>
  <si>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</si>
  <si>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</si>
  <si>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</si>
  <si>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</si>
  <si>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</si>
  <si>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</si>
  <si>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</si>
  <si>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</si>
  <si>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</si>
  <si>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</si>
  <si>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</si>
  <si>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</si>
  <si>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</si>
  <si>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</si>
  <si>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</si>
  <si>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</si>
  <si>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</si>
  <si>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</si>
  <si>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</si>
  <si>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</si>
  <si>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</si>
  <si>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</si>
  <si>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</si>
  <si>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</si>
  <si>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</si>
  <si>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</si>
  <si>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</si>
  <si>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</si>
  <si>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</si>
  <si>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</si>
  <si>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</si>
  <si>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</si>
  <si>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</si>
  <si>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</si>
  <si>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</si>
  <si>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</si>
  <si>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</si>
  <si>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</si>
  <si>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</si>
  <si>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</si>
  <si>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</si>
  <si>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</si>
  <si>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</si>
  <si>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</si>
  <si>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</si>
  <si>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</si>
  <si>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</si>
  <si>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</si>
  <si>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</si>
  <si>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</si>
  <si>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</si>
  <si>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</si>
  <si>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</si>
  <si>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</si>
  <si>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</si>
  <si>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</si>
  <si>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</si>
  <si>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</si>
  <si>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</si>
  <si>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</si>
  <si>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</si>
  <si>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</si>
  <si>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</si>
  <si>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</si>
  <si>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</si>
  <si>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</si>
  <si>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</si>
  <si>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</si>
  <si>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</si>
  <si>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</si>
  <si>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</si>
  <si>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</si>
  <si>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</si>
  <si>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</si>
  <si>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</si>
  <si>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</si>
  <si>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</si>
  <si>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</si>
  <si>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</si>
  <si>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</si>
  <si>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</si>
  <si>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</si>
  <si>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</si>
  <si>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</si>
  <si>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</si>
  <si>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</si>
  <si>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</si>
  <si>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</si>
  <si>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</si>
  <si>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</si>
  <si>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</si>
  <si>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</si>
  <si>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</si>
  <si>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</si>
  <si>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</si>
  <si>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</si>
  <si>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</si>
  <si>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</si>
  <si>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</si>
  <si>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</si>
  <si>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</si>
  <si>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</si>
  <si>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</si>
  <si>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</si>
  <si>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</si>
  <si>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</si>
  <si>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</si>
  <si>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</si>
  <si>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</si>
  <si>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</si>
  <si>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</si>
  <si>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</si>
  <si>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</si>
  <si>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</si>
  <si>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</si>
  <si>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</si>
  <si>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</si>
  <si>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</si>
  <si>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</si>
  <si>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</si>
  <si>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</si>
  <si>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</si>
  <si>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</si>
  <si>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</si>
  <si>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</si>
  <si>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</si>
  <si>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</si>
  <si>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</si>
  <si>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</si>
  <si>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</si>
  <si>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</si>
  <si>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</si>
  <si>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</si>
  <si>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</si>
  <si>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</si>
  <si>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</si>
  <si>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</si>
  <si>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</si>
  <si>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</si>
  <si>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</si>
  <si>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</si>
  <si>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</si>
  <si>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</si>
  <si>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</si>
  <si>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</si>
  <si>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</si>
  <si>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</si>
  <si>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</si>
  <si>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</si>
  <si>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</si>
  <si>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</si>
  <si>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</si>
  <si>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</si>
  <si>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</si>
  <si>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</si>
  <si>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</si>
  <si>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</si>
  <si>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</si>
  <si>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</si>
  <si>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</si>
  <si>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</si>
  <si>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</si>
  <si>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</si>
  <si>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</si>
  <si>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</si>
  <si>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</si>
  <si>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</si>
  <si>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</si>
  <si>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</si>
  <si>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</si>
  <si>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</si>
  <si>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</si>
  <si>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</si>
  <si>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</si>
  <si>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</si>
  <si>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</si>
  <si>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</si>
  <si>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</si>
  <si>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</si>
  <si>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</si>
  <si>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</si>
  <si>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</si>
  <si>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</si>
  <si>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</si>
  <si>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</si>
  <si>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</si>
  <si>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</si>
  <si>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</si>
  <si>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</si>
  <si>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</si>
  <si>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</si>
  <si>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</si>
  <si>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</si>
  <si>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</si>
  <si>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</si>
  <si>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</si>
  <si>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</si>
  <si>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</si>
  <si>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</si>
  <si>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</si>
  <si>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</si>
  <si>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</si>
  <si>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</si>
  <si>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</si>
  <si>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</si>
  <si>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</si>
  <si>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</si>
  <si>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</si>
  <si>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</si>
  <si>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</si>
  <si>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</si>
  <si>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</si>
  <si>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</si>
  <si>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</si>
  <si>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</si>
  <si>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</si>
  <si>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</si>
  <si>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</si>
  <si>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</si>
  <si>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</si>
  <si>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</si>
  <si>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</si>
  <si>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</si>
  <si>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</si>
  <si>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</si>
  <si>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</si>
  <si>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</si>
  <si>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</si>
  <si>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</si>
  <si>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</si>
  <si>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</si>
  <si>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</si>
  <si>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</si>
  <si>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</si>
  <si>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</si>
  <si>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</si>
  <si>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</si>
  <si>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</si>
  <si>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</si>
  <si>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</si>
  <si>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</si>
  <si>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</si>
  <si>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</si>
  <si>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</si>
  <si>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</si>
  <si>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</si>
  <si>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</si>
  <si>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</si>
  <si>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</si>
  <si>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</si>
  <si>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</si>
  <si>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</si>
  <si>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</si>
  <si>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</si>
  <si>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</si>
  <si>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</si>
  <si>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</si>
  <si>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</si>
  <si>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</si>
  <si>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</si>
  <si>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</si>
  <si>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</si>
  <si>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</si>
  <si>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</si>
  <si>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</si>
  <si>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</si>
  <si>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</si>
  <si>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</si>
  <si>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</si>
  <si>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</si>
  <si>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</si>
  <si>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</si>
  <si>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</si>
  <si>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</si>
  <si>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</si>
  <si>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</si>
  <si>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</si>
  <si>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</si>
  <si>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</si>
  <si>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</si>
  <si>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</si>
  <si>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</si>
  <si>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</si>
  <si>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</si>
  <si>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</si>
  <si>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</si>
  <si>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</si>
  <si>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</si>
  <si>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</si>
  <si>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</si>
  <si>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</si>
  <si>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</si>
  <si>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</si>
  <si>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</si>
  <si>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</si>
  <si>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</si>
  <si>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</si>
  <si>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</si>
  <si>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</si>
  <si>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</si>
  <si>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</si>
  <si>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</si>
  <si>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</si>
  <si>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</si>
  <si>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</si>
  <si>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</si>
  <si>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</si>
  <si>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</si>
  <si>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</si>
  <si>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</si>
  <si>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</si>
  <si>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</si>
  <si>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</si>
  <si>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</si>
  <si>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</si>
  <si>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</si>
  <si>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</si>
  <si>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</si>
  <si>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</si>
  <si>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</si>
  <si>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</si>
  <si>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</si>
  <si>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</si>
  <si>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</si>
  <si>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</si>
  <si>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</si>
  <si>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</si>
  <si>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</si>
  <si>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</si>
  <si>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</si>
  <si>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</si>
  <si>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</si>
  <si>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</si>
  <si>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</si>
  <si>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</si>
  <si>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</si>
  <si>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</si>
  <si>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</si>
  <si>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</si>
  <si>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</si>
  <si>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</si>
  <si>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</si>
  <si>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</si>
  <si>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</si>
  <si>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</si>
  <si>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</si>
  <si>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</si>
  <si>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</si>
  <si>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</si>
  <si>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</si>
  <si>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</si>
  <si>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</si>
  <si>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</si>
  <si>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</si>
  <si>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</si>
  <si>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</si>
  <si>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</si>
  <si>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</si>
  <si>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</si>
  <si>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</si>
  <si>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</si>
  <si>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</si>
  <si>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</si>
  <si>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</si>
  <si>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</si>
  <si>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</si>
  <si>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</si>
  <si>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</si>
  <si>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</si>
  <si>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</si>
  <si>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</si>
  <si>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</si>
  <si>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</si>
  <si>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</si>
  <si>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</si>
  <si>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</si>
  <si>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</si>
  <si>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</si>
  <si>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</si>
  <si>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</si>
  <si>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</si>
  <si>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</si>
  <si>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</si>
  <si>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</si>
  <si>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</si>
  <si>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</si>
  <si>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</si>
  <si>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</si>
  <si>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</si>
  <si>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</si>
  <si>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</si>
  <si>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</si>
  <si>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</si>
  <si>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</si>
  <si>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</si>
  <si>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</si>
  <si>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</si>
  <si>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</si>
  <si>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</si>
  <si>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</si>
  <si>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</si>
  <si>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</si>
  <si>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</si>
  <si>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</si>
  <si>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</si>
  <si>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</si>
  <si>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</si>
  <si>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</si>
  <si>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</si>
  <si>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</si>
  <si>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</si>
  <si>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</si>
  <si>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</si>
  <si>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</si>
  <si>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</si>
  <si>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</si>
  <si>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</si>
  <si>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</si>
  <si>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</si>
  <si>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</si>
  <si>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</si>
  <si>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</si>
  <si>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</si>
  <si>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</si>
  <si>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</si>
  <si>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</si>
  <si>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</si>
  <si>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</si>
  <si>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</si>
  <si>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</si>
  <si>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</si>
  <si>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</si>
  <si>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</si>
  <si>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</si>
  <si>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</si>
  <si>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</si>
  <si>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</si>
  <si>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</si>
  <si>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</si>
  <si>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</si>
  <si>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</si>
  <si>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</si>
  <si>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</si>
  <si>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</si>
  <si>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</si>
  <si>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</si>
  <si>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</si>
  <si>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</si>
  <si>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</si>
  <si>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</si>
  <si>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</si>
  <si>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</si>
  <si>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</si>
  <si>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</si>
  <si>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</si>
  <si>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</si>
  <si>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</si>
  <si>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</si>
  <si>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</si>
  <si>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</si>
  <si>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</si>
  <si>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</si>
  <si>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</si>
  <si>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</si>
  <si>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</si>
  <si>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</si>
  <si>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</si>
  <si>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</si>
  <si>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</si>
  <si>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</si>
  <si>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</si>
  <si>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</si>
  <si>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</si>
  <si>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</si>
  <si>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</si>
  <si>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</si>
  <si>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</si>
  <si>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</si>
  <si>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</si>
  <si>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</si>
  <si>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</si>
  <si>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</si>
  <si>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</si>
  <si>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</si>
  <si>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</si>
  <si>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</si>
  <si>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</si>
  <si>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</si>
  <si>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</si>
  <si>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</si>
  <si>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</si>
  <si>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</si>
  <si>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</si>
  <si>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</si>
  <si>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</si>
  <si>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</si>
  <si>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</si>
  <si>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</si>
  <si>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</si>
  <si>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</si>
  <si>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</si>
  <si>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</si>
  <si>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</si>
  <si>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</si>
  <si>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</si>
  <si>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</si>
  <si>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</si>
  <si>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</si>
  <si>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</si>
  <si>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</si>
  <si>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</si>
  <si>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</si>
  <si>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</si>
  <si>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</si>
  <si>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</si>
  <si>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</si>
  <si>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</si>
  <si>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</si>
  <si>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</si>
  <si>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</si>
  <si>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</si>
  <si>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</si>
  <si>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</si>
  <si>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</si>
  <si>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</si>
  <si>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</si>
  <si>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</si>
  <si>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</si>
  <si>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</si>
  <si>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</si>
  <si>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</si>
  <si>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</si>
  <si>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</si>
  <si>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</si>
  <si>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</si>
  <si>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</si>
  <si>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</si>
  <si>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</si>
  <si>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</si>
  <si>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</si>
  <si>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</si>
  <si>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</si>
  <si>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</si>
  <si>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</si>
  <si>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</si>
  <si>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</si>
  <si>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</si>
  <si>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</si>
  <si>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</si>
  <si>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</si>
  <si>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</si>
  <si>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</si>
  <si>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</si>
  <si>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</si>
  <si>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</si>
  <si>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</si>
  <si>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</si>
  <si>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</si>
  <si>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</si>
  <si>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</si>
  <si>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</si>
  <si>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</si>
  <si>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</si>
  <si>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</si>
  <si>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</si>
  <si>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</si>
  <si>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</si>
  <si>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</si>
  <si>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</si>
  <si>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</si>
  <si>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</si>
  <si>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</si>
  <si>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</si>
  <si>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</si>
  <si>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</si>
  <si>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</si>
  <si>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</si>
  <si>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</si>
  <si>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</si>
  <si>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</si>
  <si>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</si>
  <si>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</si>
  <si>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</si>
  <si>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</si>
  <si>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</si>
  <si>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</si>
  <si>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</si>
  <si>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</si>
  <si>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</si>
  <si>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</si>
  <si>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</si>
  <si>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</si>
  <si>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</si>
  <si>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</si>
  <si>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</si>
  <si>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</si>
  <si>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</si>
  <si>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</si>
  <si>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</si>
  <si>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</si>
  <si>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</si>
  <si>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</si>
  <si>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</si>
  <si>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</si>
  <si>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</si>
  <si>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</si>
  <si>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</si>
  <si>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</si>
  <si>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</si>
  <si>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</si>
  <si>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</si>
  <si>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</si>
  <si>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</si>
  <si>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</si>
  <si>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</si>
  <si>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</si>
  <si>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</si>
  <si>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</si>
  <si>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</si>
  <si>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</si>
  <si>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</si>
  <si>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</si>
  <si>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</si>
  <si>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</si>
  <si>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</si>
  <si>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</si>
  <si>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</si>
  <si>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</si>
  <si>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</si>
  <si>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</si>
  <si>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</si>
  <si>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</si>
  <si>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</si>
  <si>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</si>
  <si>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</si>
  <si>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</si>
  <si>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</si>
  <si>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</si>
  <si>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</si>
  <si>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</si>
  <si>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</si>
  <si>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</si>
  <si>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</si>
  <si>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</si>
  <si>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</si>
  <si>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</si>
  <si>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</si>
  <si>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</si>
  <si>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</si>
  <si>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</si>
  <si>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</si>
  <si>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</si>
  <si>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</si>
  <si>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</si>
  <si>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</si>
  <si>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</si>
  <si>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</si>
  <si>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</si>
  <si>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</si>
  <si>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</si>
  <si>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</si>
  <si>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</si>
  <si>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</si>
  <si>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</si>
  <si>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</si>
  <si>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</si>
  <si>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</si>
  <si>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</si>
  <si>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</si>
  <si>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</si>
  <si>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</si>
  <si>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</si>
  <si>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</si>
  <si>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</si>
  <si>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</si>
  <si>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</si>
  <si>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</si>
  <si>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</si>
  <si>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</si>
  <si>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</si>
  <si>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</si>
  <si>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</si>
  <si>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</si>
  <si>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</si>
  <si>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</si>
  <si>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</si>
  <si>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</si>
  <si>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</si>
  <si>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</si>
  <si>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</si>
  <si>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</si>
  <si>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</si>
  <si>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</si>
  <si>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</si>
  <si>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</si>
  <si>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</si>
  <si>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</si>
  <si>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</si>
  <si>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</si>
  <si>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</si>
  <si>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</si>
  <si>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</si>
  <si>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</si>
  <si>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</si>
  <si>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</si>
  <si>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</si>
  <si>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</si>
  <si>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</si>
  <si>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</si>
  <si>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</si>
  <si>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</si>
  <si>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</si>
  <si>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</si>
  <si>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</si>
  <si>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</si>
  <si>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</si>
  <si>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</si>
  <si>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</si>
  <si>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</si>
  <si>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</si>
  <si>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</si>
  <si>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</si>
  <si>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</si>
  <si>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</si>
  <si>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</si>
  <si>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</si>
  <si>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</si>
  <si>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</si>
  <si>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</si>
  <si>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</si>
  <si>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</si>
  <si>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</si>
  <si>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</si>
  <si>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</si>
  <si>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</si>
  <si>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</si>
  <si>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</si>
  <si>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</si>
  <si>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</si>
  <si>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</si>
  <si>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</si>
  <si>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</si>
  <si>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</si>
  <si>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</si>
  <si>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</si>
  <si>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</si>
  <si>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</si>
  <si>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</si>
  <si>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</si>
  <si>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</si>
  <si>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</si>
  <si>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</si>
  <si>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</si>
  <si>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</si>
  <si>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</si>
  <si>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</si>
  <si>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</si>
  <si>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</si>
  <si>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</si>
  <si>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</si>
  <si>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</si>
  <si>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</si>
  <si>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</si>
  <si>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</si>
  <si>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</si>
  <si>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</si>
  <si>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</si>
  <si>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</si>
  <si>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</si>
  <si>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</si>
  <si>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</si>
  <si>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</si>
  <si>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</si>
  <si>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</si>
  <si>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</si>
  <si>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</si>
  <si>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</si>
  <si>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</si>
  <si>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</si>
  <si>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</si>
  <si>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</si>
  <si>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</si>
  <si>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</si>
  <si>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</si>
  <si>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</si>
  <si>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</si>
  <si>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</si>
  <si>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</si>
  <si>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</si>
  <si>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</si>
  <si>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</si>
  <si>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</si>
  <si>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</si>
  <si>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</si>
  <si>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</si>
  <si>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</si>
  <si>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</si>
  <si>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</si>
  <si>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</si>
  <si>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</si>
  <si>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</si>
  <si>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</si>
  <si>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</si>
  <si>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</si>
  <si>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</si>
  <si>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</si>
  <si>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</si>
  <si>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</si>
  <si>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</si>
  <si>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</si>
  <si>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</si>
  <si>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</si>
  <si>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</si>
  <si>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</si>
  <si>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</si>
  <si>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</si>
  <si>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</si>
  <si>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</si>
  <si>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</si>
  <si>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</si>
  <si>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</si>
  <si>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</si>
  <si>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</si>
  <si>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</si>
  <si>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</si>
  <si>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</si>
  <si>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</si>
  <si>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</si>
  <si>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</si>
  <si>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</si>
  <si>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</si>
  <si>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</si>
  <si>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</si>
  <si>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</si>
  <si>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</si>
  <si>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</si>
  <si>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</si>
  <si>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</si>
  <si>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</si>
  <si>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</si>
  <si>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</si>
  <si>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</si>
  <si>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</si>
  <si>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</si>
  <si>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</si>
  <si>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</si>
  <si>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</si>
  <si>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</si>
  <si>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</si>
  <si>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</si>
  <si>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</si>
  <si>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</si>
  <si>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</si>
  <si>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</si>
  <si>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</si>
  <si>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</si>
  <si>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</si>
  <si>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</si>
  <si>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</si>
  <si>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</si>
  <si>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</si>
  <si>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</si>
  <si>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</si>
  <si>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</si>
  <si>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</si>
  <si>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</si>
  <si>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</si>
  <si>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</si>
  <si>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</si>
  <si>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</si>
  <si>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</si>
  <si>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</si>
  <si>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</si>
  <si>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</si>
  <si>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</si>
  <si>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</si>
  <si>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</si>
  <si>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</si>
  <si>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</si>
  <si>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</si>
  <si>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</si>
  <si>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</si>
  <si>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</si>
  <si>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</si>
  <si>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</si>
  <si>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</si>
  <si>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</si>
  <si>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</si>
  <si>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</si>
  <si>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</si>
  <si>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</si>
  <si>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</si>
  <si>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</si>
  <si>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</si>
  <si>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</si>
  <si>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</si>
  <si>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</si>
  <si>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</si>
  <si>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</si>
  <si>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</si>
  <si>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</si>
  <si>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</si>
  <si>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</si>
  <si>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</si>
  <si>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</si>
  <si>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</si>
  <si>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</si>
  <si>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</si>
  <si>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</si>
  <si>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</si>
  <si>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</si>
  <si>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</si>
  <si>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</si>
  <si>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</si>
  <si>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</si>
  <si>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</si>
  <si>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</si>
  <si>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</si>
  <si>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</si>
  <si>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</si>
  <si>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</si>
  <si>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</si>
  <si>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</si>
  <si>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</si>
  <si>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</si>
  <si>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</si>
  <si>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</si>
  <si>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</si>
  <si>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</si>
  <si>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</si>
  <si>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</si>
  <si>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</si>
  <si>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</si>
  <si>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</si>
  <si>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</si>
  <si>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</si>
  <si>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</si>
  <si>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</si>
  <si>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</si>
  <si>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</si>
  <si>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</si>
  <si>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</si>
  <si>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</si>
  <si>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</si>
  <si>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</si>
  <si>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</si>
  <si>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</si>
  <si>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</si>
  <si>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</si>
  <si>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</si>
  <si>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</si>
  <si>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</si>
  <si>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</si>
  <si>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</si>
  <si>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</si>
  <si>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</si>
  <si>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</si>
  <si>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</si>
  <si>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</si>
  <si>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</si>
  <si>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</si>
  <si>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</si>
  <si>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</si>
  <si>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</si>
  <si>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</si>
  <si>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</si>
  <si>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</si>
  <si>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</si>
  <si>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</si>
  <si>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</si>
  <si>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</si>
  <si>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</si>
  <si>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</si>
  <si>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</si>
  <si>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</si>
  <si>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</si>
  <si>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</si>
  <si>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</si>
  <si>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</si>
  <si>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</si>
  <si>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</si>
  <si>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</si>
  <si>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</si>
  <si>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</si>
  <si>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</si>
  <si>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</si>
  <si>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</si>
  <si>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</si>
  <si>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</si>
  <si>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</si>
  <si>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</si>
  <si>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</si>
  <si>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</si>
  <si>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</si>
  <si>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</si>
  <si>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</si>
  <si>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</si>
  <si>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</si>
  <si>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</si>
  <si>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</si>
  <si>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</si>
  <si>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</si>
  <si>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</si>
  <si>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</si>
  <si>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</si>
  <si>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</si>
  <si>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</si>
  <si>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</si>
  <si>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</si>
  <si>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</si>
  <si>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</si>
  <si>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</si>
  <si>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</si>
  <si>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</si>
  <si>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</si>
  <si>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</si>
  <si>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</si>
  <si>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</si>
  <si>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</si>
  <si>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</si>
  <si>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</si>
  <si>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</si>
  <si>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</si>
  <si>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</si>
  <si>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</si>
  <si>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</si>
  <si>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</si>
  <si>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</si>
  <si>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</si>
  <si>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</si>
  <si>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</si>
  <si>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</si>
  <si>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</si>
  <si>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</si>
  <si>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</si>
  <si>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</si>
  <si>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</si>
  <si>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</si>
  <si>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</si>
  <si>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</si>
  <si>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</si>
  <si>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</si>
  <si>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</si>
  <si>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</si>
  <si>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</si>
  <si>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</si>
  <si>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</si>
  <si>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</si>
  <si>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</si>
  <si>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</si>
  <si>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</si>
  <si>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</si>
  <si>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</si>
  <si>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</si>
  <si>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</si>
  <si>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</si>
  <si>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</si>
  <si>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</si>
  <si>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</si>
  <si>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</si>
  <si>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</si>
  <si>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</si>
  <si>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</si>
  <si>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</si>
  <si>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</si>
  <si>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</si>
  <si>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</si>
  <si>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</si>
  <si>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</si>
  <si>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</si>
  <si>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</si>
  <si>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</si>
  <si>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</si>
  <si>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</si>
  <si>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</si>
  <si>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</si>
  <si>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</si>
  <si>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</si>
  <si>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</si>
  <si>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</si>
  <si>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</si>
  <si>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</si>
  <si>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</si>
  <si>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</si>
  <si>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</si>
  <si>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</si>
  <si>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</si>
  <si>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</si>
  <si>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</si>
  <si>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</si>
  <si>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</si>
  <si>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</si>
  <si>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</si>
  <si>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</si>
  <si>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</si>
  <si>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</si>
  <si>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</si>
  <si>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</si>
  <si>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</si>
  <si>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</si>
  <si>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</si>
  <si>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</si>
  <si>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</si>
  <si>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</si>
  <si>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</si>
  <si>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</si>
  <si>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</si>
  <si>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</si>
  <si>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</si>
  <si>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</si>
  <si>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</si>
  <si>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</si>
  <si>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</si>
  <si>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</si>
  <si>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</si>
  <si>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</si>
  <si>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</si>
  <si>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</si>
  <si>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</si>
  <si>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</si>
  <si>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</si>
  <si>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</si>
  <si>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</si>
  <si>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</si>
  <si>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</si>
  <si>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</si>
  <si>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</si>
  <si>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</si>
  <si>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</si>
  <si>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</si>
  <si>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</si>
  <si>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</si>
  <si>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</si>
  <si>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</si>
  <si>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</si>
  <si>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</si>
  <si>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</si>
  <si>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</si>
  <si>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</si>
  <si>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</si>
  <si>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</si>
  <si>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</si>
  <si>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</si>
  <si>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</si>
  <si>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</si>
  <si>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</si>
  <si>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</si>
  <si>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</si>
  <si>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</si>
  <si>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</si>
  <si>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</si>
  <si>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</si>
  <si>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</si>
  <si>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</si>
  <si>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</si>
  <si>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</si>
  <si>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</si>
  <si>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</si>
  <si>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</si>
  <si>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</si>
  <si>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</si>
  <si>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</si>
  <si>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</si>
  <si>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</si>
  <si>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</si>
  <si>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</si>
  <si>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</si>
  <si>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</si>
  <si>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</si>
  <si>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</si>
  <si>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</si>
  <si>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</si>
  <si>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</si>
  <si>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</si>
  <si>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</si>
  <si>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</si>
  <si>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</si>
  <si>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</si>
  <si>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</si>
  <si>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</si>
  <si>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</si>
  <si>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</si>
  <si>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</si>
  <si>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</si>
  <si>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</si>
  <si>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</si>
  <si>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</si>
  <si>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</si>
  <si>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</si>
  <si>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</si>
  <si>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</si>
  <si>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</si>
  <si>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</si>
  <si>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</si>
  <si>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</si>
  <si>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</si>
  <si>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</si>
  <si>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</si>
  <si>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</si>
  <si>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</si>
  <si>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</si>
  <si>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</si>
  <si>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</si>
  <si>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</si>
  <si>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</si>
  <si>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</si>
  <si>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</si>
  <si>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</si>
  <si>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</si>
  <si>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</si>
  <si>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</si>
  <si>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</si>
  <si>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</si>
  <si>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</si>
  <si>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</si>
  <si>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</si>
  <si>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</si>
  <si>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</si>
  <si>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</si>
  <si>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</si>
  <si>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</si>
  <si>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</si>
  <si>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</si>
  <si>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</si>
  <si>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</si>
  <si>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</si>
  <si>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</si>
  <si>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</si>
  <si>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</si>
  <si>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</si>
  <si>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</si>
  <si>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</si>
  <si>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</si>
  <si>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</si>
  <si>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</si>
  <si>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</si>
  <si>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</si>
  <si>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</si>
  <si>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</si>
  <si>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</si>
  <si>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</si>
  <si>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</si>
  <si>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</si>
  <si>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</si>
  <si>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</si>
  <si>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</si>
  <si>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</si>
  <si>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</si>
  <si>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</si>
  <si>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</si>
  <si>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</si>
  <si>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</si>
  <si>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</si>
  <si>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</si>
  <si>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</si>
  <si>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</si>
  <si>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</si>
  <si>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</si>
  <si>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</si>
  <si>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</si>
  <si>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</si>
  <si>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</si>
  <si>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</si>
  <si>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</si>
  <si>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</si>
  <si>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</si>
  <si>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</si>
  <si>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</si>
  <si>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</si>
  <si>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</si>
  <si>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</si>
  <si>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</si>
  <si>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</si>
  <si>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</si>
  <si>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</si>
  <si>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</si>
  <si>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</si>
  <si>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</si>
  <si>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</si>
  <si>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</si>
  <si>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</si>
  <si>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</si>
  <si>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</si>
  <si>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</si>
  <si>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</si>
  <si>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</si>
  <si>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</si>
  <si>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</si>
  <si>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</si>
  <si>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</si>
  <si>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</si>
  <si>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</si>
  <si>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</si>
  <si>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</si>
  <si>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</si>
  <si>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</si>
  <si>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</si>
  <si>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</si>
  <si>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</si>
  <si>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</si>
  <si>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</si>
  <si>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</si>
  <si>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</si>
  <si>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</si>
  <si>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</si>
  <si>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</si>
  <si>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</si>
  <si>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</si>
  <si>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</si>
  <si>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</si>
  <si>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</si>
  <si>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</si>
  <si>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</si>
  <si>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</si>
  <si>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</si>
  <si>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</si>
  <si>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</si>
  <si>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</si>
  <si>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</si>
  <si>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</si>
  <si>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</si>
  <si>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</si>
  <si>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</si>
  <si>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</si>
  <si>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</si>
  <si>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</si>
  <si>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</si>
  <si>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</si>
  <si>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</si>
  <si>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</si>
  <si>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</si>
  <si>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</si>
  <si>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</si>
  <si>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</si>
  <si>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</si>
  <si>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</si>
  <si>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</si>
  <si>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</si>
  <si>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</si>
  <si>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</si>
  <si>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</si>
  <si>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</si>
  <si>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</si>
  <si>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</si>
  <si>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</si>
  <si>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</si>
  <si>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</si>
  <si>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</si>
  <si>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</si>
  <si>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</si>
  <si>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</si>
  <si>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</si>
  <si>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</si>
  <si>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</si>
  <si>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</si>
  <si>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</si>
  <si>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</si>
  <si>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</si>
  <si>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</si>
  <si>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</si>
  <si>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</si>
  <si>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</si>
  <si>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</si>
  <si>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</si>
  <si>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</si>
  <si>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</si>
  <si>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</si>
  <si>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</si>
  <si>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</si>
  <si>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</si>
  <si>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</si>
  <si>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</si>
  <si>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</si>
  <si>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</si>
  <si>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</si>
  <si>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</si>
  <si>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</si>
  <si>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</si>
  <si>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</si>
  <si>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</si>
  <si>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</si>
  <si>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</si>
  <si>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</si>
  <si>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</si>
  <si>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</si>
  <si>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</si>
  <si>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</si>
  <si>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</si>
  <si>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</si>
  <si>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</si>
  <si>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</si>
  <si>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</si>
  <si>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</si>
  <si>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</si>
  <si>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</si>
  <si>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</si>
  <si>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</si>
  <si>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</si>
  <si>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</si>
  <si>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</si>
  <si>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</si>
  <si>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</si>
  <si>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</si>
  <si>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</si>
  <si>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</si>
  <si>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</si>
  <si>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</si>
  <si>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</si>
  <si>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</si>
  <si>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</si>
  <si>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</si>
  <si>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</si>
  <si>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</si>
  <si>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</si>
  <si>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</si>
  <si>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</si>
  <si>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</si>
  <si>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</si>
  <si>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</si>
  <si>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</si>
  <si>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</si>
  <si>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</si>
  <si>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</si>
  <si>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</si>
  <si>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</si>
  <si>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</si>
  <si>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</si>
  <si>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</si>
  <si>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</si>
  <si>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</si>
  <si>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</si>
  <si>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</si>
  <si>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</si>
  <si>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</si>
  <si>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</si>
  <si>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</si>
  <si>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</si>
  <si>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</si>
  <si>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</si>
  <si>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</si>
  <si>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</si>
  <si>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</si>
  <si>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</si>
  <si>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</si>
  <si>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</si>
  <si>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</si>
  <si>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</si>
  <si>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</si>
  <si>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</si>
  <si>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</si>
  <si>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</si>
  <si>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</si>
  <si>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</si>
  <si>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</si>
  <si>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</si>
  <si>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</si>
  <si>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</si>
  <si>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</si>
  <si>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</si>
  <si>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</si>
  <si>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</si>
  <si>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</si>
  <si>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</si>
  <si>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</si>
  <si>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</si>
  <si>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</si>
  <si>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</si>
  <si>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</si>
  <si>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</si>
  <si>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</si>
  <si>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</si>
  <si>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</si>
  <si>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</si>
  <si>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</si>
  <si>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</si>
  <si>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</si>
  <si>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</si>
  <si>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</si>
  <si>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</si>
  <si>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</si>
  <si>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</si>
  <si>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</si>
  <si>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</si>
  <si>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</si>
  <si>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</si>
  <si>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</si>
  <si>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</si>
  <si>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</si>
  <si>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</si>
  <si>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</si>
  <si>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</si>
  <si>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</si>
  <si>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</si>
  <si>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</si>
  <si>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</si>
  <si>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</si>
  <si>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</si>
  <si>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</si>
  <si>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</si>
  <si>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</si>
  <si>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</si>
  <si>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</si>
  <si>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</si>
  <si>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</si>
  <si>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</si>
  <si>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</si>
  <si>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</si>
  <si>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</si>
  <si>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</si>
  <si>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</si>
  <si>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</si>
  <si>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</si>
  <si>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</si>
  <si>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</si>
  <si>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</si>
  <si>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</si>
  <si>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</si>
  <si>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</si>
  <si>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</si>
  <si>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</si>
  <si>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</si>
  <si>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</si>
  <si>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</si>
  <si>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</si>
  <si>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</si>
  <si>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</si>
  <si>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</si>
  <si>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</si>
  <si>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</si>
  <si>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</si>
  <si>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</si>
  <si>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</si>
  <si>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</si>
  <si>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</si>
  <si>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</si>
  <si>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</si>
  <si>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</si>
  <si>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</si>
  <si>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</si>
  <si>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</si>
  <si>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</si>
  <si>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</si>
  <si>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</si>
  <si>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</si>
  <si>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</si>
  <si>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</si>
  <si>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</si>
  <si>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</si>
  <si>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</si>
  <si>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</si>
  <si>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</si>
  <si>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</si>
  <si>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</si>
  <si>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</si>
  <si>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</si>
  <si>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</si>
  <si>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</si>
  <si>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</si>
  <si>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</si>
  <si>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</si>
  <si>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</si>
  <si>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</si>
  <si>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</si>
  <si>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</si>
  <si>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</si>
  <si>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</si>
  <si>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</si>
  <si>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</si>
  <si>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</si>
  <si>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</si>
  <si>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</si>
  <si>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</si>
  <si>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</si>
  <si>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</si>
  <si>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</si>
  <si>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</si>
  <si>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</si>
  <si>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</si>
  <si>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</si>
  <si>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</si>
  <si>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</si>
  <si>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</si>
  <si>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</si>
  <si>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</si>
  <si>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</si>
  <si>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</si>
  <si>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</si>
  <si>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</si>
  <si>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</si>
  <si>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</si>
  <si>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</si>
  <si>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</si>
  <si>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</si>
  <si>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</si>
  <si>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</si>
  <si>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</si>
  <si>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</si>
  <si>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</si>
  <si>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</si>
  <si>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</si>
  <si>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</si>
  <si>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</si>
  <si>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</si>
  <si>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</si>
  <si>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</si>
  <si>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</si>
  <si>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</si>
  <si>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</si>
  <si>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</si>
  <si>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</si>
  <si>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</si>
  <si>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</si>
  <si>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</si>
  <si>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</si>
  <si>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</si>
  <si>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</si>
  <si>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</si>
  <si>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</si>
  <si>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</si>
  <si>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</si>
  <si>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</si>
  <si>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</si>
  <si>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</si>
  <si>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</si>
  <si>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</si>
  <si>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</si>
  <si>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</si>
  <si>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</si>
  <si>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</si>
  <si>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</si>
  <si>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</si>
  <si>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</si>
  <si>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</si>
  <si>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</si>
  <si>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</si>
  <si>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</si>
  <si>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</si>
  <si>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</si>
  <si>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</si>
  <si>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</si>
  <si>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</si>
  <si>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</si>
  <si>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</si>
  <si>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</si>
  <si>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</si>
  <si>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</si>
  <si>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</si>
  <si>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</si>
  <si>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</si>
  <si>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</si>
  <si>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</si>
  <si>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</si>
  <si>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</si>
  <si>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</si>
  <si>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</si>
  <si>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</si>
  <si>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</si>
  <si>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</si>
  <si>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</si>
  <si>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</si>
  <si>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</si>
  <si>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</si>
  <si>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</si>
  <si>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</si>
  <si>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</si>
  <si>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</si>
  <si>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</si>
  <si>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</si>
  <si>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</si>
  <si>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</si>
  <si>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</si>
  <si>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</si>
  <si>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</si>
  <si>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</si>
  <si>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</si>
  <si>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</si>
  <si>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</si>
  <si>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</si>
  <si>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</si>
  <si>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</si>
  <si>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</si>
  <si>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</si>
  <si>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</si>
  <si>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</si>
  <si>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</si>
  <si>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</si>
  <si>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</si>
  <si>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</si>
  <si>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</si>
  <si>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</si>
  <si>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</si>
  <si>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</si>
  <si>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</si>
  <si>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</si>
  <si>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</si>
  <si>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</si>
  <si>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</si>
  <si>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</si>
  <si>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</si>
  <si>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</si>
  <si>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</si>
  <si>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</si>
  <si>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</si>
  <si>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</si>
  <si>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</si>
  <si>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</si>
  <si>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</si>
  <si>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</si>
  <si>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</si>
  <si>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</si>
  <si>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</si>
  <si>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</si>
  <si>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</si>
  <si>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</si>
  <si>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</si>
  <si>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</si>
  <si>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</si>
  <si>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</si>
  <si>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</si>
  <si>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</si>
  <si>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</si>
  <si>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</si>
  <si>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</si>
  <si>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</si>
  <si>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</si>
  <si>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</si>
  <si>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</si>
  <si>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</si>
  <si>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</si>
  <si>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</si>
  <si>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</si>
  <si>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</si>
  <si>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</si>
  <si>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</si>
  <si>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</si>
  <si>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</si>
  <si>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</si>
  <si>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</si>
  <si>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</si>
  <si>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</si>
  <si>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</si>
  <si>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</si>
  <si>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</si>
  <si>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</si>
  <si>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</si>
  <si>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</si>
  <si>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</si>
  <si>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</si>
  <si>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</si>
  <si>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</si>
  <si>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</si>
  <si>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</si>
  <si>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</si>
  <si>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</si>
  <si>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</si>
  <si>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</si>
  <si>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</si>
  <si>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</si>
  <si>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</si>
  <si>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</si>
  <si>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</si>
  <si>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</si>
  <si>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</si>
  <si>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</si>
  <si>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</si>
  <si>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</si>
  <si>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</si>
  <si>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</si>
  <si>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</si>
  <si>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</si>
  <si>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</si>
  <si>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</si>
  <si>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</si>
  <si>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</si>
  <si>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</si>
  <si>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</si>
  <si>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</si>
  <si>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</si>
  <si>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</si>
  <si>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</si>
  <si>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</si>
  <si>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</si>
  <si>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</si>
  <si>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</si>
  <si>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</si>
  <si>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</si>
  <si>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</si>
  <si>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</si>
  <si>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</si>
  <si>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</si>
  <si>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</si>
  <si>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</si>
  <si>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</si>
  <si>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</si>
  <si>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</si>
  <si>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</si>
  <si>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</si>
  <si>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</si>
  <si>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</si>
  <si>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</si>
  <si>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</si>
  <si>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</si>
  <si>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</si>
  <si>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</si>
  <si>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</si>
  <si>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</si>
  <si>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</si>
  <si>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</si>
  <si>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</si>
  <si>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</si>
  <si>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</si>
  <si>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</si>
  <si>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</si>
  <si>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</si>
  <si>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</si>
  <si>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</si>
  <si>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</si>
  <si>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</si>
  <si>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</si>
  <si>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</si>
  <si>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</si>
  <si>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</si>
  <si>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</si>
  <si>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</si>
  <si>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</si>
  <si>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</si>
  <si>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</si>
  <si>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</si>
  <si>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</si>
  <si>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</si>
  <si>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</si>
  <si>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</si>
  <si>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</si>
  <si>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</si>
  <si>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</si>
  <si>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</si>
  <si>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</si>
  <si>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</si>
  <si>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</si>
  <si>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</si>
  <si>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</si>
  <si>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</si>
  <si>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</si>
  <si>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</si>
  <si>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</si>
  <si>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</si>
  <si>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</si>
  <si>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</si>
  <si>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</si>
  <si>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</si>
  <si>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</si>
  <si>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</si>
  <si>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</si>
  <si>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</si>
  <si>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</si>
  <si>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</si>
  <si>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</si>
  <si>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</si>
  <si>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</si>
  <si>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</si>
  <si>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</si>
  <si>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</si>
  <si>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</si>
  <si>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</si>
  <si>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</si>
  <si>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</si>
  <si>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</si>
  <si>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</si>
  <si>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</si>
  <si>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</si>
  <si>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</si>
  <si>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</si>
  <si>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</si>
  <si>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</si>
  <si>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</si>
  <si>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</si>
  <si>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</si>
  <si>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</si>
  <si>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</si>
  <si>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</si>
  <si>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</si>
  <si>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</si>
  <si>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</si>
  <si>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</si>
  <si>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</si>
  <si>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</si>
  <si>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</si>
  <si>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</si>
  <si>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</si>
  <si>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</si>
  <si>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</si>
  <si>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</si>
  <si>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</si>
  <si>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</si>
  <si>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</si>
  <si>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</si>
  <si>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</si>
  <si>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</si>
  <si>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</si>
  <si>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</si>
  <si>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</si>
  <si>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</si>
  <si>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</si>
  <si>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</si>
  <si>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</si>
  <si>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</si>
  <si>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</si>
  <si>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</si>
  <si>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</si>
  <si>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</si>
  <si>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</si>
  <si>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</si>
  <si>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</si>
  <si>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</si>
  <si>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</si>
  <si>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</si>
  <si>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</si>
  <si>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</si>
  <si>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</si>
  <si>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</si>
  <si>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</si>
  <si>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</si>
  <si>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</si>
  <si>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</si>
  <si>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</si>
  <si>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</si>
  <si>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</si>
  <si>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</si>
  <si>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</si>
  <si>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</si>
  <si>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</si>
  <si>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</si>
  <si>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</si>
  <si>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</si>
  <si>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</si>
  <si>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</si>
  <si>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</si>
  <si>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</si>
  <si>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</si>
  <si>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</si>
  <si>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</si>
  <si>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</si>
  <si>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</si>
  <si>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</si>
  <si>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</si>
  <si>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</si>
  <si>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</si>
  <si>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</si>
  <si>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</si>
  <si>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</si>
  <si>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</si>
  <si>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</si>
  <si>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</si>
  <si>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</si>
  <si>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</si>
  <si>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</si>
  <si>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</si>
  <si>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</si>
  <si>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</si>
  <si>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</si>
  <si>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</si>
  <si>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</si>
  <si>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</si>
  <si>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</si>
  <si>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</si>
  <si>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</si>
  <si>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</si>
  <si>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</si>
  <si>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</si>
  <si>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</si>
  <si>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</si>
  <si>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</si>
  <si>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</si>
  <si>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</si>
  <si>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</si>
  <si>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</si>
  <si>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</si>
  <si>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</si>
  <si>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</si>
  <si>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</si>
  <si>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</si>
  <si>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</si>
  <si>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</si>
  <si>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</si>
  <si>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</si>
  <si>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</si>
  <si>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</si>
  <si>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</si>
  <si>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</si>
  <si>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</si>
  <si>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</si>
  <si>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</si>
  <si>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</si>
  <si>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</si>
  <si>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</si>
  <si>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</si>
  <si>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</si>
  <si>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</si>
  <si>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</si>
  <si>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</si>
  <si>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</si>
  <si>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</si>
  <si>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</si>
  <si>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</si>
  <si>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</si>
  <si>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</si>
  <si>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</si>
  <si>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</si>
  <si>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</si>
  <si>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</si>
  <si>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</si>
  <si>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</si>
  <si>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</si>
  <si>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</si>
  <si>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</si>
  <si>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</si>
  <si>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</si>
  <si>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</si>
  <si>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</si>
  <si>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</si>
  <si>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</si>
  <si>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</si>
  <si>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</si>
  <si>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</si>
  <si>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</si>
  <si>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</si>
  <si>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</si>
  <si>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</si>
  <si>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</si>
  <si>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</si>
  <si>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</si>
  <si>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</si>
  <si>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</si>
  <si>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</si>
  <si>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</si>
  <si>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</si>
  <si>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</si>
  <si>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</si>
  <si>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</si>
  <si>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</si>
  <si>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</si>
  <si>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</si>
  <si>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</si>
  <si>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</si>
  <si>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</si>
  <si>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</si>
  <si>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</si>
  <si>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</si>
  <si>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</si>
  <si>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</si>
  <si>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</si>
  <si>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</si>
  <si>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</si>
  <si>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</si>
  <si>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</si>
  <si>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</si>
  <si>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</si>
  <si>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</si>
  <si>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</si>
  <si>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</si>
  <si>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</si>
  <si>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</si>
  <si>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</si>
  <si>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</si>
  <si>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</si>
  <si>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</si>
  <si>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</si>
  <si>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</si>
  <si>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</si>
  <si>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</si>
  <si>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</si>
  <si>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</si>
  <si>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</si>
  <si>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</si>
  <si>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</si>
  <si>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</si>
  <si>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</si>
  <si>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</si>
  <si>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</si>
  <si>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</si>
  <si>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</si>
  <si>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</si>
  <si>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</si>
  <si>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</si>
  <si>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</si>
  <si>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</si>
  <si>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</si>
  <si>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</si>
  <si>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</si>
  <si>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</si>
  <si>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</si>
  <si>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</si>
  <si>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</si>
  <si>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</si>
  <si>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</si>
  <si>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</si>
  <si>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</si>
  <si>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</si>
  <si>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</si>
  <si>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</si>
  <si>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</si>
  <si>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</si>
  <si>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</si>
  <si>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</si>
  <si>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</si>
  <si>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</si>
  <si>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</si>
  <si>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</si>
  <si>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</si>
  <si>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</si>
  <si>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</si>
  <si>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</si>
  <si>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</si>
  <si>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</si>
  <si>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</si>
  <si>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</si>
  <si>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</si>
  <si>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</si>
  <si>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</si>
  <si>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</si>
  <si>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</si>
  <si>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</si>
  <si>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</si>
  <si>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</si>
  <si>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</si>
  <si>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</si>
  <si>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</si>
  <si>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</si>
  <si>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</si>
  <si>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</si>
  <si>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</si>
  <si>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</si>
  <si>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</si>
  <si>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</si>
  <si>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</si>
  <si>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</si>
  <si>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</si>
  <si>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</si>
  <si>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</si>
  <si>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</si>
  <si>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</si>
  <si>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</si>
  <si>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</si>
  <si>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</si>
  <si>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</si>
  <si>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</si>
  <si>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</si>
  <si>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</si>
  <si>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</si>
  <si>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</si>
  <si>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</si>
  <si>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</si>
  <si>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</si>
  <si>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</si>
  <si>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</si>
  <si>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</si>
  <si>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</si>
  <si>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</si>
  <si>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</si>
  <si>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</si>
  <si>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</si>
  <si>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</si>
  <si>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</si>
  <si>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</si>
  <si>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</si>
  <si>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</si>
  <si>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</si>
  <si>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</si>
  <si>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</si>
  <si>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</si>
  <si>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</si>
  <si>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</si>
  <si>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</si>
  <si>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</si>
  <si>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</si>
  <si>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</si>
  <si>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</si>
  <si>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</si>
  <si>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</si>
  <si>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</si>
  <si>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</si>
  <si>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</si>
  <si>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</si>
  <si>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</si>
  <si>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</si>
  <si>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</si>
  <si>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</si>
  <si>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</si>
  <si>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</si>
  <si>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</si>
  <si>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</si>
  <si>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</si>
  <si>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</si>
  <si>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</si>
  <si>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</si>
  <si>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</si>
  <si>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</si>
  <si>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</si>
  <si>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</si>
  <si>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</si>
  <si>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</si>
  <si>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</si>
  <si>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</si>
  <si>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</si>
  <si>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</si>
  <si>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</si>
  <si>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</si>
  <si>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</si>
  <si>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</si>
  <si>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</si>
  <si>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</si>
  <si>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</si>
  <si>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</si>
  <si>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</si>
  <si>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</si>
  <si>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</si>
  <si>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</si>
  <si>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</si>
  <si>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</si>
  <si>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</si>
  <si>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</si>
  <si>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</si>
  <si>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</si>
  <si>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</si>
  <si>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</si>
  <si>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</si>
  <si>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</si>
  <si>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</si>
  <si>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</si>
  <si>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</si>
  <si>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</si>
  <si>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</si>
  <si>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</si>
  <si>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</si>
  <si>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</si>
  <si>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</si>
  <si>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</si>
  <si>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</si>
  <si>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</si>
  <si>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</si>
  <si>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</si>
  <si>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</si>
  <si>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</si>
  <si>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</si>
  <si>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</si>
  <si>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</si>
  <si>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</si>
  <si>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</si>
  <si>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</si>
  <si>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</si>
  <si>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</si>
  <si>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</si>
  <si>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</si>
  <si>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</si>
  <si>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</si>
  <si>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</si>
  <si>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</si>
  <si>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</si>
  <si>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</si>
  <si>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</si>
  <si>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</si>
  <si>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</si>
  <si>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</si>
  <si>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</si>
  <si>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</si>
  <si>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</si>
  <si>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</si>
  <si>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</si>
  <si>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</si>
  <si>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</si>
  <si>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</si>
  <si>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</si>
  <si>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</si>
  <si>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</si>
  <si>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</si>
  <si>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</si>
  <si>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</si>
  <si>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</si>
  <si>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</si>
  <si>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</si>
  <si>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</si>
  <si>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</si>
  <si>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</si>
  <si>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</si>
  <si>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</si>
  <si>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</si>
  <si>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</si>
  <si>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</si>
  <si>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</si>
  <si>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</si>
  <si>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</si>
  <si>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</si>
  <si>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</si>
  <si>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</si>
  <si>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</si>
  <si>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</si>
  <si>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</si>
  <si>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</si>
  <si>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</si>
  <si>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</si>
  <si>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</si>
  <si>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</si>
  <si>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</si>
  <si>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</si>
  <si>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</si>
  <si>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</si>
  <si>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</si>
  <si>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</si>
  <si>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</si>
  <si>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</si>
  <si>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</si>
  <si>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</si>
  <si>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</si>
  <si>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</si>
  <si>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</si>
  <si>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</si>
  <si>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</si>
  <si>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</si>
  <si>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</si>
  <si>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</si>
  <si>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</si>
  <si>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</si>
  <si>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</si>
  <si>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</si>
  <si>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</si>
  <si>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</si>
  <si>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</si>
  <si>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</si>
  <si>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</si>
  <si>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</si>
  <si>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</si>
  <si>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</si>
  <si>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</si>
  <si>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</si>
  <si>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</si>
  <si>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</si>
  <si>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</si>
  <si>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</si>
  <si>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</si>
  <si>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</si>
  <si>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</si>
  <si>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</si>
  <si>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</si>
  <si>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</si>
  <si>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</si>
  <si>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</si>
  <si>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</si>
  <si>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</si>
  <si>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</si>
  <si>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</si>
  <si>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</si>
  <si>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</si>
  <si>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</si>
  <si>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</si>
  <si>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</si>
  <si>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</si>
  <si>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</si>
  <si>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</si>
  <si>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</si>
  <si>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</si>
  <si>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</si>
  <si>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</si>
  <si>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</si>
  <si>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</si>
  <si>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</si>
  <si>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</si>
  <si>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</si>
  <si>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</si>
  <si>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</si>
  <si>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</si>
  <si>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</si>
  <si>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</si>
  <si>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</si>
  <si>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</si>
  <si>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</si>
  <si>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</si>
  <si>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</si>
  <si>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</si>
  <si>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</si>
  <si>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</si>
  <si>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</si>
  <si>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</si>
  <si>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</si>
  <si>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</si>
  <si>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</si>
  <si>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</si>
  <si>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</si>
  <si>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</si>
  <si>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</si>
  <si>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</si>
  <si>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</si>
  <si>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</si>
  <si>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</si>
  <si>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</si>
  <si>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</si>
  <si>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</si>
  <si>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</si>
  <si>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</si>
  <si>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</si>
  <si>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</si>
  <si>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</si>
  <si>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</si>
  <si>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</si>
  <si>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</si>
  <si>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</si>
  <si>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</si>
  <si>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</si>
  <si>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</si>
  <si>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</si>
  <si>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</si>
  <si>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</si>
  <si>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</si>
  <si>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</si>
  <si>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</si>
  <si>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</si>
  <si>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</si>
  <si>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</si>
  <si>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</si>
  <si>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</si>
  <si>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</si>
  <si>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</si>
  <si>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</si>
  <si>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</si>
  <si>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</si>
  <si>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</si>
  <si>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</si>
  <si>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</si>
  <si>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</si>
  <si>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</si>
  <si>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</si>
  <si>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</si>
  <si>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</si>
  <si>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</si>
  <si>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</si>
  <si>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</si>
  <si>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</si>
  <si>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</si>
  <si>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</si>
  <si>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</si>
  <si>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</si>
  <si>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</si>
  <si>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</si>
  <si>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</si>
  <si>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</si>
  <si>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</si>
  <si>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</si>
  <si>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</si>
  <si>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</si>
  <si>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</si>
  <si>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</si>
  <si>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</si>
  <si>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</si>
  <si>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</si>
  <si>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</si>
  <si>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</si>
  <si>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</si>
  <si>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</si>
  <si>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</si>
  <si>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</si>
  <si>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</si>
  <si>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</si>
  <si>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</si>
  <si>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</si>
  <si>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</si>
  <si>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</si>
  <si>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</si>
  <si>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</si>
  <si>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</si>
  <si>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</si>
  <si>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</si>
  <si>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</si>
  <si>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</si>
  <si>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</si>
  <si>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</si>
  <si>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</si>
  <si>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</si>
  <si>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</si>
  <si>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</si>
  <si>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</si>
  <si>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</si>
  <si>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</si>
  <si>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</si>
  <si>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</si>
  <si>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</si>
  <si>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</si>
  <si>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</si>
  <si>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</si>
  <si>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</si>
  <si>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</si>
  <si>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</si>
  <si>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</si>
  <si>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</si>
  <si>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</si>
  <si>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</si>
  <si>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</si>
  <si>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</si>
  <si>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</si>
  <si>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</si>
  <si>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</si>
  <si>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</si>
  <si>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</si>
  <si>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</si>
  <si>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</si>
  <si>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</si>
  <si>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</si>
  <si>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</si>
  <si>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</si>
  <si>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</si>
  <si>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</si>
  <si>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</si>
  <si>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</si>
  <si>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</si>
  <si>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</si>
  <si>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</si>
  <si>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</si>
  <si>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</si>
  <si>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</si>
  <si>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</si>
  <si>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</si>
  <si>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</si>
  <si>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</si>
  <si>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</si>
  <si>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</si>
  <si>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</si>
  <si>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</si>
  <si>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</si>
  <si>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</si>
  <si>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</si>
  <si>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</si>
  <si>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</si>
  <si>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</si>
  <si>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</si>
  <si>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</si>
  <si>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</si>
  <si>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</si>
  <si>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</si>
  <si>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</si>
  <si>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</si>
  <si>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</si>
  <si>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</si>
  <si>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</si>
  <si>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</si>
  <si>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</si>
  <si>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</si>
  <si>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</si>
  <si>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</si>
  <si>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</si>
  <si>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</si>
  <si>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</si>
  <si>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</si>
  <si>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</si>
  <si>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</si>
  <si>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</si>
  <si>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</si>
  <si>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</si>
  <si>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</si>
  <si>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</si>
  <si>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</si>
  <si>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</si>
  <si>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</si>
  <si>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</si>
  <si>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</si>
  <si>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</si>
  <si>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</si>
  <si>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</si>
  <si>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</si>
  <si>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</si>
  <si>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</si>
  <si>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</si>
  <si>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</si>
  <si>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</si>
  <si>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</si>
  <si>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</si>
  <si>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</si>
  <si>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</si>
  <si>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</si>
  <si>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</si>
  <si>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</si>
  <si>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</si>
  <si>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</si>
  <si>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</si>
  <si>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</si>
  <si>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</si>
  <si>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</si>
  <si>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</si>
  <si>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</si>
  <si>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</si>
  <si>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</si>
  <si>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</si>
  <si>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</si>
  <si>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</si>
  <si>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</si>
  <si>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</si>
  <si>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</si>
  <si>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</si>
  <si>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</si>
  <si>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</si>
  <si>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</si>
  <si>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</si>
  <si>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</si>
  <si>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</si>
  <si>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</si>
  <si>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</si>
  <si>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</si>
  <si>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</si>
  <si>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</si>
  <si>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</si>
  <si>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</si>
  <si>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</si>
  <si>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</si>
  <si>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</si>
  <si>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</si>
  <si>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</si>
  <si>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</si>
  <si>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</si>
  <si>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</si>
  <si>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</si>
  <si>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</si>
  <si>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</si>
  <si>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</si>
  <si>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</si>
  <si>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</si>
  <si>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</si>
  <si>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</si>
  <si>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</si>
  <si>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</si>
  <si>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</si>
  <si>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</si>
  <si>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</si>
  <si>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</si>
  <si>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</si>
  <si>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</si>
  <si>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</si>
  <si>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</si>
  <si>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</si>
  <si>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</si>
  <si>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</si>
  <si>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</si>
  <si>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</si>
  <si>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</si>
  <si>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</si>
  <si>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</si>
  <si>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</si>
  <si>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</si>
  <si>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</si>
  <si>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</si>
  <si>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</si>
  <si>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</si>
  <si>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</si>
  <si>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</si>
  <si>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</si>
  <si>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</si>
  <si>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</si>
  <si>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</si>
  <si>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</si>
  <si>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</si>
  <si>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</si>
  <si>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</si>
  <si>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</si>
  <si>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</si>
  <si>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</si>
  <si>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</si>
  <si>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</si>
  <si>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</si>
  <si>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</si>
  <si>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</si>
  <si>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</si>
  <si>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</si>
  <si>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</si>
  <si>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</si>
  <si>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</si>
  <si>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</si>
  <si>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</si>
  <si>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</si>
  <si>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</si>
  <si>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</si>
  <si>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</si>
  <si>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</si>
  <si>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</si>
  <si>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</si>
  <si>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</si>
  <si>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</si>
  <si>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</si>
  <si>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</si>
  <si>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</si>
  <si>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</si>
  <si>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</si>
  <si>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</si>
  <si>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</si>
  <si>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</si>
  <si>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</si>
  <si>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</si>
  <si>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</si>
  <si>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</si>
  <si>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</si>
  <si>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</si>
  <si>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</si>
  <si>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</si>
  <si>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</si>
  <si>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</si>
  <si>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</si>
  <si>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</si>
  <si>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</si>
  <si>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</si>
  <si>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</si>
  <si>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</si>
  <si>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</si>
  <si>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</si>
  <si>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</si>
  <si>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</si>
  <si>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</si>
  <si>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</si>
  <si>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</si>
  <si>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</si>
  <si>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</si>
  <si>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</si>
  <si>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</si>
  <si>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</si>
  <si>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</si>
  <si>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</si>
  <si>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</si>
  <si>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</si>
  <si>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</si>
  <si>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</si>
  <si>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</si>
  <si>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</si>
  <si>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</si>
  <si>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</si>
  <si>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</si>
  <si>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</si>
  <si>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</si>
  <si>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</si>
  <si>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</si>
  <si>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</si>
  <si>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</si>
  <si>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</si>
  <si>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</si>
  <si>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</si>
  <si>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</si>
  <si>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</si>
  <si>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</si>
  <si>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</si>
  <si>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</si>
  <si>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</si>
  <si>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</si>
  <si>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</si>
  <si>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</si>
  <si>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</si>
  <si>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</si>
  <si>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</si>
  <si>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</si>
  <si>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</si>
  <si>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</si>
  <si>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</si>
  <si>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</si>
  <si>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</si>
  <si>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</si>
  <si>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</si>
  <si>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</si>
  <si>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</si>
  <si>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</si>
  <si>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</si>
  <si>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</si>
  <si>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</si>
  <si>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</si>
  <si>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</si>
  <si>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</si>
  <si>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</si>
  <si>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</si>
  <si>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</si>
  <si>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</si>
  <si>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</si>
  <si>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</si>
  <si>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</si>
  <si>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</si>
  <si>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</si>
  <si>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</si>
  <si>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</si>
  <si>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</si>
  <si>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</si>
  <si>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</si>
  <si>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</si>
  <si>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</si>
  <si>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</si>
  <si>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</si>
  <si>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</si>
  <si>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</si>
  <si>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</si>
  <si>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</si>
  <si>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</si>
  <si>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</si>
  <si>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</si>
  <si>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</si>
  <si>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</si>
  <si>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</si>
  <si>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</si>
  <si>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</si>
  <si>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</si>
  <si>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</si>
  <si>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</si>
  <si>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</si>
  <si>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</si>
  <si>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</si>
  <si>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</si>
  <si>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</si>
  <si>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</si>
  <si>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</si>
  <si>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</si>
  <si>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</si>
  <si>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</si>
  <si>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</si>
  <si>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</si>
  <si>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</si>
  <si>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</si>
  <si>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</si>
  <si>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</si>
  <si>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</si>
  <si>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</si>
  <si>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</si>
  <si>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</si>
  <si>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</si>
  <si>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</si>
  <si>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</si>
  <si>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</si>
  <si>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</si>
  <si>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</si>
  <si>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</si>
  <si>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</si>
  <si>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</si>
  <si>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</si>
  <si>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</si>
  <si>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</si>
  <si>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</si>
  <si>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</si>
  <si>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</si>
  <si>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</si>
  <si>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</si>
  <si>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</si>
  <si>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</si>
  <si>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</si>
  <si>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</si>
  <si>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</si>
  <si>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</si>
  <si>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</si>
  <si>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</si>
  <si>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</si>
  <si>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</si>
  <si>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</si>
  <si>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</si>
  <si>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</si>
  <si>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</si>
  <si>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</si>
  <si>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</si>
  <si>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</si>
  <si>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</si>
  <si>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</si>
  <si>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</si>
  <si>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</si>
  <si>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</si>
  <si>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</si>
  <si>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</si>
  <si>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</si>
  <si>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</si>
  <si>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</si>
  <si>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</si>
  <si>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</si>
  <si>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</si>
  <si>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</si>
  <si>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</si>
  <si>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</si>
  <si>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</si>
  <si>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</si>
  <si>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</si>
  <si>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</si>
  <si>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</si>
  <si>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</si>
  <si>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</si>
  <si>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</si>
  <si>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</si>
  <si>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</si>
  <si>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</si>
  <si>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</si>
  <si>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</si>
  <si>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</si>
  <si>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</si>
  <si>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</si>
  <si>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</si>
  <si>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</si>
  <si>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</si>
  <si>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</si>
  <si>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</si>
  <si>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</si>
  <si>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</si>
  <si>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</si>
  <si>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</si>
  <si>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</si>
  <si>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</si>
  <si>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</si>
  <si>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</si>
  <si>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</si>
  <si>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</si>
  <si>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</si>
  <si>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</si>
  <si>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</si>
  <si>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</si>
  <si>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</si>
  <si>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</si>
  <si>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</si>
  <si>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</si>
  <si>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</si>
  <si>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</si>
  <si>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</si>
  <si>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</si>
  <si>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</si>
  <si>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</si>
  <si>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</si>
  <si>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</si>
  <si>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</si>
  <si>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</si>
  <si>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</si>
  <si>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</si>
  <si>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</si>
  <si>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</si>
  <si>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</si>
  <si>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</si>
  <si>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</si>
  <si>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</si>
  <si>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</si>
  <si>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</si>
  <si>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</si>
  <si>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</si>
  <si>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</si>
  <si>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</si>
  <si>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</si>
  <si>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</si>
  <si>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</si>
  <si>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</si>
  <si>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</si>
  <si>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</si>
  <si>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</si>
  <si>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</si>
  <si>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</si>
  <si>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</si>
  <si>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</si>
  <si>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</si>
  <si>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</si>
  <si>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</si>
  <si>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</si>
  <si>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</si>
  <si>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</si>
  <si>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</si>
  <si>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</si>
  <si>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</si>
  <si>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</si>
  <si>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</si>
  <si>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</si>
  <si>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</si>
  <si>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</si>
  <si>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</si>
  <si>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</si>
  <si>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</si>
  <si>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</si>
  <si>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</si>
  <si>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</si>
  <si>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</si>
  <si>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</si>
  <si>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</si>
  <si>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</si>
  <si>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</si>
  <si>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</si>
  <si>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</si>
  <si>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</si>
  <si>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</si>
  <si>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</si>
  <si>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</si>
  <si>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</si>
  <si>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</si>
  <si>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</si>
  <si>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</si>
  <si>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</si>
  <si>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</si>
  <si>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</si>
  <si>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</si>
  <si>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</si>
  <si>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</si>
  <si>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</si>
  <si>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</si>
  <si>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</si>
  <si>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</si>
  <si>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</si>
  <si>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</si>
  <si>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</si>
  <si>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</si>
  <si>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</si>
  <si>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</si>
  <si>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</si>
  <si>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</si>
  <si>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</si>
  <si>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</si>
  <si>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</si>
  <si>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</si>
  <si>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</si>
  <si>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</si>
  <si>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</si>
  <si>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</si>
  <si>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</si>
  <si>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</si>
  <si>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</si>
  <si>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</si>
  <si>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</si>
  <si>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</si>
  <si>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</si>
  <si>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</si>
  <si>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</si>
  <si>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</si>
  <si>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</si>
  <si>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</si>
  <si>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</si>
  <si>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</si>
  <si>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</si>
  <si>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</si>
  <si>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</si>
  <si>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</si>
  <si>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</si>
  <si>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</si>
  <si>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</si>
  <si>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</si>
  <si>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</si>
  <si>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</si>
  <si>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</si>
  <si>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</si>
  <si>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</si>
  <si>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</si>
  <si>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</si>
  <si>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</si>
  <si>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</si>
  <si>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</si>
  <si>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</si>
  <si>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</si>
  <si>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</si>
  <si>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</si>
  <si>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</si>
  <si>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</si>
  <si>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</si>
  <si>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</si>
  <si>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</si>
  <si>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</si>
  <si>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</si>
  <si>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</si>
  <si>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</si>
  <si>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</si>
  <si>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</si>
  <si>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</si>
  <si>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</si>
  <si>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</si>
  <si>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</si>
  <si>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</si>
  <si>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</si>
  <si>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</si>
  <si>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</si>
  <si>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</si>
  <si>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</si>
  <si>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</si>
  <si>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</si>
  <si>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</si>
  <si>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</si>
  <si>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</si>
  <si>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</si>
  <si>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</si>
  <si>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</si>
  <si>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</si>
  <si>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</si>
  <si>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</si>
  <si>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</si>
  <si>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</si>
  <si>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</si>
  <si>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</si>
  <si>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</si>
  <si>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</si>
  <si>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</si>
  <si>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</si>
  <si>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</si>
  <si>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</si>
  <si>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</si>
  <si>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</si>
  <si>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</si>
  <si>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</si>
  <si>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</si>
  <si>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</si>
  <si>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</si>
  <si>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</si>
  <si>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</si>
  <si>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</si>
  <si>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</si>
  <si>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</si>
  <si>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</si>
  <si>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</si>
  <si>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</si>
  <si>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</si>
  <si>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</si>
  <si>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</si>
  <si>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</si>
  <si>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</si>
  <si>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</si>
  <si>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</si>
  <si>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</si>
  <si>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</si>
  <si>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</si>
  <si>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</si>
  <si>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</si>
  <si>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</si>
  <si>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</si>
  <si>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</si>
  <si>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</si>
  <si>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</si>
  <si>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</si>
  <si>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</si>
  <si>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</si>
  <si>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</si>
  <si>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</si>
  <si>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</si>
  <si>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</si>
  <si>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</si>
  <si>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</si>
  <si>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</si>
  <si>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</si>
  <si>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</si>
  <si>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</si>
  <si>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</si>
  <si>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</si>
  <si>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</si>
  <si>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</si>
  <si>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</si>
  <si>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</si>
  <si>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</si>
  <si>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</si>
  <si>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</si>
  <si>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</si>
  <si>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</si>
  <si>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</si>
  <si>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</si>
  <si>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</si>
  <si>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</si>
  <si>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</si>
  <si>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</si>
  <si>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</si>
  <si>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</si>
  <si>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</si>
  <si>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</si>
  <si>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</si>
  <si>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</si>
  <si>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</si>
  <si>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</si>
  <si>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</si>
  <si>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</si>
  <si>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</si>
  <si>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</si>
  <si>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</si>
  <si>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</si>
  <si>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</si>
  <si>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</si>
  <si>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</si>
  <si>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</si>
  <si>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</si>
  <si>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</si>
  <si>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</si>
  <si>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</si>
  <si>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</si>
  <si>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</si>
  <si>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</si>
  <si>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</si>
  <si>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</si>
  <si>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</si>
  <si>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</si>
  <si>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</si>
  <si>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</si>
  <si>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</si>
  <si>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</si>
  <si>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</si>
  <si>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</si>
  <si>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</si>
  <si>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</si>
  <si>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</si>
  <si>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</si>
  <si>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</si>
  <si>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</si>
  <si>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</si>
  <si>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</si>
  <si>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</si>
  <si>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</si>
  <si>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</si>
  <si>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</si>
  <si>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</si>
  <si>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</si>
  <si>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</si>
  <si>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</si>
  <si>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</si>
  <si>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</si>
  <si>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</si>
  <si>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</si>
  <si>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</si>
  <si>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</si>
  <si>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</si>
  <si>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</si>
  <si>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</si>
  <si>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</si>
  <si>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</si>
  <si>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</si>
  <si>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</si>
  <si>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</si>
  <si>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</si>
  <si>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</si>
  <si>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</si>
  <si>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</si>
  <si>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</si>
  <si>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</si>
  <si>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</si>
  <si>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</si>
  <si>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</si>
  <si>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</si>
  <si>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</si>
  <si>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</si>
  <si>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</si>
  <si>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</si>
  <si>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</si>
  <si>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</si>
  <si>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</si>
  <si>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</si>
  <si>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</si>
  <si>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</si>
  <si>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</si>
  <si>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</si>
  <si>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</si>
  <si>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</si>
  <si>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</si>
  <si>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</si>
  <si>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</si>
  <si>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</si>
  <si>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</si>
  <si>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</si>
  <si>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</si>
  <si>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</si>
  <si>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</si>
  <si>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</si>
  <si>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</si>
  <si>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</si>
  <si>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</si>
  <si>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</si>
  <si>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</si>
  <si>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</si>
  <si>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</si>
  <si>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</si>
  <si>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</si>
  <si>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</si>
  <si>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</si>
  <si>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</si>
  <si>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</si>
  <si>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</si>
  <si>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</si>
  <si>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</si>
  <si>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</si>
  <si>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</si>
  <si>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</si>
  <si>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</si>
  <si>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</si>
  <si>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</si>
  <si>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</si>
  <si>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</si>
  <si>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</si>
  <si>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</si>
  <si>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</si>
  <si>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</si>
  <si>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</si>
  <si>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</si>
  <si>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</si>
  <si>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</si>
  <si>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</si>
  <si>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</si>
  <si>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</si>
  <si>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</si>
  <si>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</si>
  <si>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</si>
  <si>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</si>
  <si>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</si>
  <si>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</si>
  <si>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</si>
  <si>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</si>
  <si>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</si>
  <si>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</si>
  <si>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</si>
  <si>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</si>
  <si>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</si>
  <si>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</si>
  <si>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</si>
  <si>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</si>
  <si>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</si>
  <si>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</si>
  <si>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</si>
  <si>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</si>
  <si>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</si>
  <si>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</si>
  <si>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</si>
  <si>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</si>
  <si>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</si>
  <si>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</si>
  <si>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</si>
  <si>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</si>
  <si>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</si>
  <si>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</si>
  <si>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</si>
  <si>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</si>
  <si>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</si>
  <si>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</si>
  <si>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</si>
  <si>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</si>
  <si>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</si>
  <si>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</si>
  <si>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</si>
  <si>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</si>
  <si>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</si>
  <si>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</si>
  <si>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</si>
  <si>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</si>
  <si>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</si>
  <si>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</si>
  <si>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</si>
  <si>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</si>
  <si>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</si>
  <si>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</si>
  <si>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</si>
  <si>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</si>
  <si>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</si>
  <si>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</si>
  <si>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</si>
  <si>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</si>
  <si>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</si>
  <si>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</si>
  <si>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</si>
  <si>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</si>
  <si>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</si>
  <si>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</si>
  <si>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</si>
  <si>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</si>
  <si>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</si>
  <si>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</si>
  <si>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</si>
  <si>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</si>
  <si>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</si>
  <si>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</si>
  <si>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</si>
  <si>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</si>
  <si>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</si>
  <si>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</si>
  <si>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</si>
  <si>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</si>
  <si>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</si>
  <si>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</si>
  <si>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</si>
  <si>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</si>
  <si>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</si>
  <si>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</si>
  <si>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</si>
  <si>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</si>
  <si>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</si>
  <si>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</si>
  <si>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</si>
  <si>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</si>
  <si>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</si>
  <si>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</si>
  <si>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</si>
  <si>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</si>
  <si>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</si>
  <si>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</si>
  <si>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</si>
  <si>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</si>
  <si>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</si>
  <si>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</si>
  <si>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</si>
  <si>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</si>
  <si>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</si>
  <si>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</si>
  <si>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</si>
  <si>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</si>
  <si>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</si>
  <si>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</si>
  <si>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</si>
  <si>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</si>
  <si>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</si>
  <si>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</si>
  <si>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</si>
  <si>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</si>
  <si>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</si>
  <si>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</si>
  <si>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</si>
  <si>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</si>
  <si>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</si>
  <si>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</si>
  <si>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</si>
  <si>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</si>
  <si>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</si>
  <si>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</si>
  <si>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</si>
  <si>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</si>
  <si>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</si>
  <si>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</si>
  <si>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</si>
  <si>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</si>
  <si>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</si>
  <si>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</si>
  <si>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</si>
  <si>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</si>
  <si>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</si>
  <si>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</si>
  <si>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</si>
  <si>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</si>
  <si>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</si>
  <si>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</si>
  <si>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</si>
  <si>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</si>
  <si>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</si>
  <si>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</si>
  <si>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</si>
  <si>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</si>
  <si>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</si>
  <si>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</si>
  <si>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</si>
  <si>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</si>
  <si>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</si>
  <si>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</si>
  <si>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</si>
  <si>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</si>
  <si>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</si>
  <si>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</si>
  <si>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</si>
  <si>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</si>
  <si>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</si>
  <si>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</si>
  <si>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</si>
  <si>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</si>
  <si>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</si>
  <si>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</si>
  <si>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</si>
  <si>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</si>
  <si>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</si>
  <si>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</si>
  <si>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</si>
  <si>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</si>
  <si>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</si>
  <si>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</si>
  <si>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</si>
  <si>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</si>
  <si>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</si>
  <si>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</si>
  <si>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</si>
  <si>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</si>
  <si>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</si>
  <si>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</si>
  <si>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</si>
  <si>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</si>
  <si>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</si>
  <si>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</si>
  <si>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</si>
  <si>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</si>
  <si>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</si>
  <si>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</si>
  <si>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</si>
  <si>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</si>
  <si>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</si>
  <si>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</si>
  <si>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</si>
  <si>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</si>
  <si>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</si>
  <si>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</si>
  <si>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</si>
  <si>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</si>
  <si>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</si>
  <si>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</si>
  <si>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</si>
  <si>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</si>
  <si>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</si>
  <si>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</si>
  <si>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</si>
  <si>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</si>
  <si>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</si>
  <si>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</si>
  <si>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</si>
  <si>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</si>
  <si>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</si>
  <si>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</si>
  <si>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</si>
  <si>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</si>
  <si>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</si>
  <si>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</si>
  <si>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</si>
  <si>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</si>
  <si>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</si>
  <si>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</si>
  <si>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</si>
  <si>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</si>
  <si>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</si>
  <si>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</si>
  <si>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</si>
  <si>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</si>
  <si>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</si>
  <si>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</si>
  <si>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</si>
  <si>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</si>
  <si>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</si>
  <si>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</si>
  <si>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</si>
  <si>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</si>
  <si>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</si>
  <si>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</si>
  <si>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</si>
  <si>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</si>
  <si>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</si>
  <si>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</si>
  <si>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</si>
  <si>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</si>
  <si>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</si>
  <si>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</si>
  <si>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</si>
  <si>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</si>
  <si>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</si>
  <si>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</si>
  <si>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</si>
  <si>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</si>
  <si>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</si>
  <si>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</si>
  <si>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</si>
  <si>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</si>
  <si>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</si>
  <si>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</si>
  <si>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</si>
  <si>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</si>
  <si>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</si>
  <si>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</si>
  <si>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</si>
  <si>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</si>
  <si>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</si>
  <si>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</si>
  <si>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</si>
  <si>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</si>
  <si>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</si>
  <si>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</si>
  <si>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</si>
  <si>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</si>
  <si>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</si>
  <si>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</si>
  <si>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</si>
  <si>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</si>
  <si>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</si>
  <si>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</si>
  <si>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</si>
  <si>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</si>
  <si>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</si>
  <si>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</si>
  <si>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</si>
  <si>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</si>
  <si>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</si>
  <si>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</si>
  <si>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</si>
  <si>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</si>
  <si>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</si>
  <si>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</si>
  <si>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</si>
  <si>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</si>
  <si>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</si>
  <si>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</si>
  <si>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</si>
  <si>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</si>
  <si>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</si>
  <si>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</si>
  <si>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</si>
  <si>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</si>
  <si>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</si>
  <si>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</si>
  <si>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</si>
  <si>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</si>
  <si>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</si>
  <si>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</si>
  <si>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</si>
  <si>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</si>
  <si>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</si>
  <si>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</si>
  <si>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</si>
  <si>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</si>
  <si>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</si>
  <si>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</si>
  <si>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</si>
  <si>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</si>
  <si>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</si>
  <si>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</si>
  <si>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</si>
  <si>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</si>
  <si>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</si>
  <si>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</si>
  <si>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</si>
  <si>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</si>
  <si>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</si>
  <si>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</si>
  <si>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</si>
  <si>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</si>
  <si>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</si>
  <si>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</si>
  <si>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</si>
  <si>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</si>
  <si>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</si>
  <si>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</si>
  <si>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</si>
  <si>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</si>
  <si>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</si>
  <si>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</si>
  <si>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</si>
  <si>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</si>
  <si>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</si>
  <si>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</si>
  <si>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</si>
  <si>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</si>
  <si>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</si>
  <si>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</si>
  <si>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</si>
  <si>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</si>
  <si>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</si>
  <si>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</si>
  <si>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</si>
  <si>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</si>
  <si>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</si>
  <si>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</si>
  <si>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</si>
  <si>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</si>
  <si>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</si>
  <si>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</si>
  <si>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</si>
  <si>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</si>
  <si>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</si>
  <si>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</si>
  <si>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</si>
  <si>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</si>
  <si>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</si>
  <si>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</si>
  <si>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</si>
  <si>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</si>
  <si>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</si>
  <si>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</si>
  <si>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</si>
  <si>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</si>
  <si>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</si>
  <si>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</si>
  <si>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</si>
  <si>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</si>
  <si>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</si>
  <si>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</si>
  <si>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</si>
  <si>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</si>
  <si>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</si>
  <si>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</si>
  <si>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</si>
  <si>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</si>
  <si>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</si>
  <si>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</si>
  <si>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</si>
  <si>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</si>
  <si>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</si>
  <si>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</si>
  <si>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</si>
  <si>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</si>
  <si>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</si>
  <si>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</si>
  <si>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</si>
  <si>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</si>
  <si>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</si>
  <si>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</si>
  <si>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</si>
  <si>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</si>
  <si>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</si>
  <si>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</si>
  <si>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</si>
  <si>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</si>
  <si>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</si>
  <si>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</si>
  <si>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</si>
  <si>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</si>
  <si>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</si>
  <si>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</si>
  <si>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</si>
  <si>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</si>
  <si>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</si>
  <si>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</si>
  <si>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</si>
  <si>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</si>
  <si>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</si>
  <si>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</si>
  <si>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</si>
  <si>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</si>
  <si>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</si>
  <si>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</si>
  <si>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</si>
  <si>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</si>
  <si>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</si>
  <si>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</si>
  <si>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</si>
  <si>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</si>
  <si>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</si>
  <si>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</si>
  <si>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</si>
  <si>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</si>
  <si>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</si>
  <si>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</si>
  <si>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</si>
  <si>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</si>
  <si>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</si>
  <si>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</si>
  <si>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</si>
  <si>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</si>
  <si>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</si>
  <si>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</si>
  <si>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</si>
  <si>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</si>
  <si>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</si>
  <si>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</si>
  <si>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</si>
  <si>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</si>
  <si>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</si>
  <si>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</si>
  <si>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</si>
  <si>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</si>
  <si>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</si>
  <si>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</si>
  <si>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</si>
  <si>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</si>
  <si>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</si>
  <si>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</si>
  <si>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</si>
  <si>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</si>
  <si>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</si>
  <si>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</si>
  <si>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</si>
  <si>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</si>
  <si>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</si>
  <si>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</si>
  <si>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</si>
  <si>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</si>
  <si>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</si>
  <si>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</si>
  <si>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</si>
  <si>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</si>
  <si>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</si>
  <si>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</si>
  <si>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</si>
  <si>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</si>
  <si>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</si>
  <si>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</si>
  <si>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</si>
  <si>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</si>
  <si>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</si>
  <si>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</si>
  <si>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</si>
  <si>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</si>
  <si>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</si>
  <si>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</si>
  <si>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</si>
  <si>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</si>
  <si>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</si>
  <si>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</si>
  <si>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</si>
  <si>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</si>
  <si>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</si>
  <si>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</si>
  <si>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</si>
  <si>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</si>
  <si>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</si>
  <si>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</si>
  <si>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</si>
  <si>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</si>
  <si>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</si>
  <si>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</si>
  <si>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</si>
  <si>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</si>
  <si>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</si>
  <si>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</si>
  <si>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</si>
  <si>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</si>
  <si>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</si>
  <si>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</si>
  <si>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</si>
  <si>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</si>
  <si>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</si>
  <si>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</si>
  <si>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</si>
  <si>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</si>
  <si>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</si>
  <si>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</si>
  <si>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</si>
  <si>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</si>
  <si>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</si>
  <si>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</si>
  <si>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</si>
  <si>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</si>
  <si>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</si>
  <si>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</si>
  <si>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</si>
  <si>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</si>
  <si>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</si>
  <si>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</si>
  <si>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</si>
  <si>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</si>
  <si>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</si>
  <si>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</si>
  <si>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</si>
  <si>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</si>
  <si>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</si>
  <si>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</si>
  <si>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</si>
  <si>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</si>
  <si>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</si>
  <si>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</si>
  <si>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</si>
  <si>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</si>
  <si>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</si>
  <si>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</si>
  <si>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</si>
  <si>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</si>
  <si>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</si>
  <si>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</si>
  <si>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</si>
  <si>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</si>
  <si>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</si>
  <si>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</si>
  <si>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</si>
  <si>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</si>
  <si>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</si>
  <si>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</si>
  <si>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</si>
  <si>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</si>
  <si>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</si>
  <si>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</si>
  <si>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</si>
  <si>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</si>
  <si>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</si>
  <si>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</si>
  <si>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</si>
  <si>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</si>
  <si>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</si>
  <si>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</si>
  <si>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</si>
  <si>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</si>
  <si>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</si>
  <si>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</si>
  <si>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</si>
  <si>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</si>
  <si>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</si>
  <si>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</si>
  <si>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</si>
  <si>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</si>
  <si>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</si>
  <si>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</si>
  <si>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</si>
  <si>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</si>
  <si>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</si>
  <si>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</si>
  <si>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</si>
  <si>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</si>
  <si>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</si>
  <si>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</si>
  <si>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</si>
  <si>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</si>
  <si>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</si>
  <si>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</si>
  <si>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</si>
  <si>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</si>
  <si>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</si>
  <si>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</si>
  <si>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</si>
  <si>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</si>
  <si>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</si>
  <si>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</si>
  <si>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</si>
  <si>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</si>
  <si>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</si>
  <si>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</si>
  <si>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</si>
  <si>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</si>
  <si>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</si>
  <si>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</si>
  <si>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</si>
  <si>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</si>
  <si>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</si>
  <si>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</si>
  <si>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</si>
  <si>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</si>
  <si>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</si>
  <si>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</si>
  <si>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</si>
  <si>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</si>
  <si>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</si>
  <si>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</si>
  <si>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</si>
  <si>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</si>
  <si>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</si>
  <si>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</si>
  <si>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</si>
  <si>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</si>
  <si>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</si>
  <si>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</si>
  <si>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</si>
  <si>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</si>
  <si>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</si>
  <si>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</si>
  <si>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</si>
  <si>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</si>
  <si>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</si>
  <si>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</si>
  <si>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</si>
  <si>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</si>
  <si>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</si>
  <si>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</si>
  <si>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</si>
  <si>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</si>
  <si>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</si>
  <si>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</si>
  <si>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</si>
  <si>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</si>
  <si>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</si>
  <si>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</si>
  <si>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</si>
  <si>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</si>
  <si>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</si>
  <si>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</si>
  <si>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</si>
  <si>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</si>
  <si>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</si>
  <si>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</si>
  <si>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</si>
  <si>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</si>
  <si>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</si>
  <si>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</si>
  <si>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</si>
  <si>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</si>
  <si>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</si>
  <si>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</si>
  <si>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</si>
  <si>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</si>
  <si>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</si>
  <si>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</si>
  <si>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</si>
  <si>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</si>
  <si>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</si>
  <si>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</si>
  <si>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</si>
  <si>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</si>
  <si>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</si>
  <si>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</si>
  <si>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</si>
  <si>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</si>
  <si>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</si>
  <si>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</si>
  <si>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</si>
  <si>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</si>
  <si>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</si>
  <si>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</si>
  <si>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</si>
  <si>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</si>
  <si>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</si>
  <si>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</si>
  <si>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</si>
  <si>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</si>
  <si>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</si>
  <si>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</si>
  <si>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</si>
  <si>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</si>
  <si>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</si>
  <si>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</si>
  <si>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</si>
  <si>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</si>
  <si>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</si>
  <si>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</si>
  <si>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</si>
  <si>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</si>
  <si>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</si>
  <si>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</si>
  <si>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</si>
  <si>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</si>
  <si>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</si>
  <si>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</si>
  <si>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</si>
  <si>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</si>
  <si>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</si>
  <si>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</si>
  <si>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</si>
  <si>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</si>
  <si>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</si>
  <si>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</si>
  <si>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</si>
  <si>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</si>
  <si>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</si>
  <si>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</si>
  <si>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</si>
  <si>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</si>
  <si>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</si>
  <si>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</si>
  <si>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</si>
  <si>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</si>
  <si>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</si>
  <si>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</si>
  <si>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</si>
  <si>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</si>
  <si>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</si>
  <si>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</si>
  <si>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</si>
  <si>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</si>
  <si>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</si>
  <si>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</si>
  <si>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</si>
  <si>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</si>
  <si>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</si>
  <si>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</si>
  <si>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</si>
  <si>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</si>
  <si>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</si>
  <si>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</si>
  <si>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</si>
  <si>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</si>
  <si>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</si>
  <si>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</si>
  <si>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</si>
  <si>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</si>
  <si>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</si>
  <si>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</si>
  <si>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</si>
  <si>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</si>
  <si>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</si>
  <si>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</si>
  <si>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</si>
  <si>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</si>
  <si>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</si>
  <si>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</si>
  <si>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</si>
  <si>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</si>
  <si>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</si>
  <si>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</si>
  <si>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</si>
  <si>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</si>
  <si>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</si>
  <si>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</si>
  <si>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</si>
  <si>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</si>
  <si>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</si>
  <si>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</si>
  <si>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</si>
  <si>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</si>
  <si>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</si>
  <si>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</si>
  <si>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</si>
  <si>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</si>
  <si>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</si>
  <si>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</si>
  <si>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</si>
  <si>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</si>
  <si>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</si>
  <si>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</si>
  <si>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RC CARD - AMIR RASOOL / DRAWER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</si>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</sst>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2" dataDxfId="91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4" totalsRowShown="0" headerRowDxfId="47" dataDxfId="46">
  <autoFilter ref="A2:H304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A440" zoomScaleNormal="100" workbookViewId="0">
      <selection activeCell="N451" sqref="N45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 t="shared" si="1"/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6417</v>
      </c>
      <c r="N5" s="48">
        <v>45973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 t="shared" si="1"/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6440</v>
      </c>
      <c r="H13" s="47" t="str">
        <f t="shared" si="1"/>
        <v>PULWAMA</v>
      </c>
      <c r="I13" s="47" t="s">
        <v>5334</v>
      </c>
      <c r="J13" s="48">
        <v>45944</v>
      </c>
      <c r="K13" s="47"/>
      <c r="L13" s="47" t="s">
        <v>6451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 t="shared" si="1"/>
        <v>PULWAMA</v>
      </c>
      <c r="I14" s="47" t="s">
        <v>123</v>
      </c>
      <c r="J14" s="48">
        <v>45944</v>
      </c>
      <c r="K14" s="47"/>
      <c r="L14" s="47" t="s">
        <v>6451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 t="shared" si="1"/>
        <v>PULWAMA</v>
      </c>
      <c r="I15" s="47" t="s">
        <v>223</v>
      </c>
      <c r="J15" s="48">
        <v>45946</v>
      </c>
      <c r="K15" s="47"/>
      <c r="L15" s="47" t="s">
        <v>6451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 t="shared" si="1"/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 t="shared" si="1"/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6441</v>
      </c>
      <c r="N18" s="48">
        <v>45974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 t="shared" si="1"/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 t="shared" si="1"/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 t="shared" si="1"/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 t="shared" si="1"/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 t="shared" si="1"/>
        <v>PULWAMA</v>
      </c>
      <c r="I24" s="47" t="s">
        <v>129</v>
      </c>
      <c r="J24" s="48">
        <v>45954</v>
      </c>
      <c r="K24" s="47"/>
      <c r="L24" s="47" t="s">
        <v>6451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 t="shared" si="1"/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6653</v>
      </c>
      <c r="N26" s="48">
        <v>45974</v>
      </c>
      <c r="O26" s="47"/>
      <c r="P26" s="50"/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 t="shared" si="1"/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 t="shared" si="1"/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 t="shared" si="0"/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 t="shared" si="1"/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 t="shared" si="0"/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 t="shared" si="1"/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 t="shared" si="1"/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 t="shared" si="1"/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 t="shared" si="0"/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 t="shared" si="1"/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 t="s">
        <v>6312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 t="shared" si="1"/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6417</v>
      </c>
      <c r="N37" s="48">
        <v>45973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 t="shared" si="1"/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 t="shared" si="1"/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 t="shared" si="1"/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 t="shared" si="1"/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 t="shared" si="1"/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 t="shared" si="1"/>
        <v>SRINAGAR</v>
      </c>
      <c r="I43" s="47" t="s">
        <v>105</v>
      </c>
      <c r="J43" s="48">
        <v>45965</v>
      </c>
      <c r="K43" s="47"/>
      <c r="L43" s="47" t="s">
        <v>6451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 t="s">
        <v>6380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 t="shared" si="1"/>
        <v>PULWAMA</v>
      </c>
      <c r="I45" s="47" t="s">
        <v>103</v>
      </c>
      <c r="J45" s="48">
        <v>45965</v>
      </c>
      <c r="K45" s="47"/>
      <c r="L45" s="47" t="s">
        <v>6451</v>
      </c>
      <c r="M45" s="49" t="s">
        <v>6450</v>
      </c>
      <c r="N45" s="48" t="s">
        <v>8243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 t="shared" si="1"/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6452</v>
      </c>
      <c r="N47" s="48">
        <v>45976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 t="shared" si="1"/>
        <v>PULWAMA</v>
      </c>
      <c r="I48" s="47" t="s">
        <v>157</v>
      </c>
      <c r="J48" s="48">
        <v>45966</v>
      </c>
      <c r="K48" s="47"/>
      <c r="L48" s="47" t="s">
        <v>6451</v>
      </c>
      <c r="M48" s="49" t="s">
        <v>7047</v>
      </c>
      <c r="N48" s="48">
        <v>46003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 t="shared" si="1"/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 t="shared" si="1"/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 t="shared" si="1"/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 t="shared" si="1"/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 t="shared" si="1"/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 t="shared" si="0"/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 t="shared" si="1"/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6441</v>
      </c>
      <c r="N56" s="48">
        <v>45976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 t="shared" si="1"/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 t="shared" si="1"/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6441</v>
      </c>
      <c r="N59" s="48">
        <v>45976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 t="shared" si="1"/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213</v>
      </c>
      <c r="C61" s="47" t="s">
        <v>215</v>
      </c>
      <c r="D61" s="47" t="s">
        <v>8661</v>
      </c>
      <c r="E61" s="47" t="s">
        <v>217</v>
      </c>
      <c r="F61" s="47" t="s">
        <v>31</v>
      </c>
      <c r="G61" s="47" t="s">
        <v>221</v>
      </c>
      <c r="H61" s="47" t="str">
        <f t="shared" si="1"/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7615</v>
      </c>
      <c r="N61" s="48">
        <v>45983</v>
      </c>
      <c r="O61" s="47" t="s">
        <v>23</v>
      </c>
      <c r="P61" s="50">
        <v>46057</v>
      </c>
      <c r="Q61" s="47" t="s">
        <v>6460</v>
      </c>
      <c r="R61" s="47" t="s">
        <v>8657</v>
      </c>
    </row>
    <row r="62" spans="1:18" x14ac:dyDescent="0.25">
      <c r="A62" s="47">
        <f t="shared" si="0"/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 t="shared" si="1"/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6438</v>
      </c>
      <c r="N62" s="48">
        <v>45974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 t="shared" si="1"/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7088</v>
      </c>
      <c r="N64" s="48">
        <v>46004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>
        <v>7006687035</v>
      </c>
      <c r="L65" s="47" t="s">
        <v>26</v>
      </c>
      <c r="M65" s="49" t="s">
        <v>7821</v>
      </c>
      <c r="N65" s="48">
        <v>45985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6438</v>
      </c>
      <c r="N66" s="48">
        <v>45974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 t="shared" si="3"/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6614</v>
      </c>
      <c r="N67" s="48">
        <v>45976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 t="shared" si="3"/>
        <v>SRINAGAR</v>
      </c>
      <c r="I68" s="47" t="s">
        <v>316</v>
      </c>
      <c r="J68" s="48">
        <v>45972</v>
      </c>
      <c r="K68" s="47">
        <v>9906506594</v>
      </c>
      <c r="L68" s="47" t="s">
        <v>6451</v>
      </c>
      <c r="M68" s="49" t="s">
        <v>6548</v>
      </c>
      <c r="N68" s="48">
        <v>45981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 t="shared" si="3"/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6447</v>
      </c>
      <c r="N70" s="48">
        <v>45975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 t="shared" si="3"/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6461</v>
      </c>
      <c r="N71" s="48">
        <v>45976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 t="shared" si="3"/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6429</v>
      </c>
      <c r="N72" s="48">
        <v>45973</v>
      </c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 t="shared" si="3"/>
        <v>KULGAM</v>
      </c>
      <c r="I73" s="47" t="s">
        <v>6416</v>
      </c>
      <c r="J73" s="48">
        <v>45972</v>
      </c>
      <c r="K73" s="47"/>
      <c r="L73" s="47" t="s">
        <v>306</v>
      </c>
      <c r="M73" s="49" t="s">
        <v>6450</v>
      </c>
      <c r="N73" s="48"/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 t="shared" si="3"/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6425</v>
      </c>
      <c r="D76" s="47"/>
      <c r="E76" s="47" t="s">
        <v>6424</v>
      </c>
      <c r="F76" s="47" t="s">
        <v>5</v>
      </c>
      <c r="G76" s="47" t="s">
        <v>200</v>
      </c>
      <c r="H76" s="47" t="str">
        <f t="shared" si="3"/>
        <v>POONCH</v>
      </c>
      <c r="I76" s="47" t="s">
        <v>6428</v>
      </c>
      <c r="J76" s="48">
        <v>45973</v>
      </c>
      <c r="K76" s="47"/>
      <c r="L76" s="47" t="s">
        <v>6427</v>
      </c>
      <c r="M76" s="49" t="s">
        <v>6447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6437</v>
      </c>
      <c r="C78" s="47" t="s">
        <v>6436</v>
      </c>
      <c r="D78" s="47"/>
      <c r="E78" s="47" t="s">
        <v>613</v>
      </c>
      <c r="F78" s="47" t="s">
        <v>125</v>
      </c>
      <c r="G78" s="47" t="s">
        <v>199</v>
      </c>
      <c r="H78" s="47" t="str">
        <f t="shared" si="3"/>
        <v>SRINAGAR</v>
      </c>
      <c r="I78" s="47" t="s">
        <v>6439</v>
      </c>
      <c r="J78" s="48">
        <v>45974</v>
      </c>
      <c r="K78" s="47"/>
      <c r="L78" s="47" t="s">
        <v>166</v>
      </c>
      <c r="M78" s="49" t="s">
        <v>272</v>
      </c>
      <c r="N78" s="48">
        <v>45976</v>
      </c>
      <c r="O78" s="47" t="s">
        <v>6445</v>
      </c>
      <c r="P78" s="50">
        <v>45974</v>
      </c>
      <c r="Q78" s="47"/>
      <c r="R78" s="47"/>
    </row>
    <row r="79" spans="1:18" x14ac:dyDescent="0.25">
      <c r="A79" s="47">
        <f t="shared" si="2"/>
        <v>78</v>
      </c>
      <c r="B79" s="47" t="s">
        <v>6431</v>
      </c>
      <c r="C79" s="47" t="s">
        <v>6432</v>
      </c>
      <c r="D79" s="47"/>
      <c r="E79" s="47" t="s">
        <v>6433</v>
      </c>
      <c r="F79" s="47" t="s">
        <v>486</v>
      </c>
      <c r="G79" s="47" t="s">
        <v>175</v>
      </c>
      <c r="H79" s="47" t="str">
        <f t="shared" si="3"/>
        <v>PULWAMA</v>
      </c>
      <c r="I79" s="47" t="s">
        <v>6435</v>
      </c>
      <c r="J79" s="48">
        <v>45974</v>
      </c>
      <c r="K79" s="47">
        <v>7051530181</v>
      </c>
      <c r="L79" s="47" t="s">
        <v>6434</v>
      </c>
      <c r="M79" s="49" t="s">
        <v>6629</v>
      </c>
      <c r="N79" s="48">
        <v>45986</v>
      </c>
      <c r="O79" s="47" t="s">
        <v>23</v>
      </c>
      <c r="P79" s="50">
        <v>45986</v>
      </c>
      <c r="Q79" s="47" t="s">
        <v>6460</v>
      </c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6480</v>
      </c>
      <c r="C84" s="47" t="s">
        <v>6483</v>
      </c>
      <c r="D84" s="47"/>
      <c r="E84" s="47" t="s">
        <v>6484</v>
      </c>
      <c r="F84" s="47" t="s">
        <v>119</v>
      </c>
      <c r="G84" s="47" t="s">
        <v>200</v>
      </c>
      <c r="H84" s="47" t="str">
        <f t="shared" si="3"/>
        <v>ANANTNAG</v>
      </c>
      <c r="I84" s="47" t="s">
        <v>6493</v>
      </c>
      <c r="J84" s="48">
        <v>45978</v>
      </c>
      <c r="K84" s="47">
        <v>7889924708</v>
      </c>
      <c r="L84" s="47" t="s">
        <v>6488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6481</v>
      </c>
      <c r="C85" s="47" t="s">
        <v>6485</v>
      </c>
      <c r="D85" s="47"/>
      <c r="E85" s="47" t="s">
        <v>6486</v>
      </c>
      <c r="F85" s="47" t="s">
        <v>5</v>
      </c>
      <c r="G85" s="47" t="s">
        <v>199</v>
      </c>
      <c r="H85" s="47" t="str">
        <f t="shared" si="3"/>
        <v>ANANTNAG</v>
      </c>
      <c r="I85" s="47" t="s">
        <v>6495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6482</v>
      </c>
      <c r="C86" s="47" t="s">
        <v>6487</v>
      </c>
      <c r="D86" s="47"/>
      <c r="E86" s="47" t="s">
        <v>1289</v>
      </c>
      <c r="F86" s="47" t="s">
        <v>5</v>
      </c>
      <c r="G86" s="47" t="s">
        <v>199</v>
      </c>
      <c r="H86" s="47" t="str">
        <f t="shared" si="3"/>
        <v>ANANTNAG</v>
      </c>
      <c r="I86" s="47" t="s">
        <v>6494</v>
      </c>
      <c r="J86" s="48">
        <v>45978</v>
      </c>
      <c r="K86" s="47">
        <v>9622999002</v>
      </c>
      <c r="L86" s="47" t="s">
        <v>6488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6462</v>
      </c>
      <c r="C87" s="47" t="s">
        <v>6464</v>
      </c>
      <c r="D87" s="47"/>
      <c r="E87" s="47" t="s">
        <v>6465</v>
      </c>
      <c r="F87" s="47" t="s">
        <v>125</v>
      </c>
      <c r="G87" s="47" t="s">
        <v>200</v>
      </c>
      <c r="H87" s="47" t="str">
        <f t="shared" si="3"/>
        <v>POONCH</v>
      </c>
      <c r="I87" s="47" t="s">
        <v>6472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6489</v>
      </c>
      <c r="C89" s="47" t="s">
        <v>6490</v>
      </c>
      <c r="D89" s="47"/>
      <c r="E89" s="47" t="s">
        <v>6491</v>
      </c>
      <c r="F89" s="47" t="s">
        <v>125</v>
      </c>
      <c r="G89" s="47" t="s">
        <v>6492</v>
      </c>
      <c r="H89" s="47" t="str">
        <f t="shared" si="3"/>
        <v>PULWAMA</v>
      </c>
      <c r="I89" s="47" t="s">
        <v>6496</v>
      </c>
      <c r="J89" s="48">
        <v>45978</v>
      </c>
      <c r="K89" s="47">
        <v>8899677753</v>
      </c>
      <c r="L89" s="47"/>
      <c r="M89" s="49" t="s">
        <v>6629</v>
      </c>
      <c r="N89" s="48">
        <v>45986</v>
      </c>
      <c r="O89" s="47" t="s">
        <v>23</v>
      </c>
      <c r="P89" s="50">
        <v>45986</v>
      </c>
      <c r="Q89" s="47" t="s">
        <v>6460</v>
      </c>
      <c r="R89" s="47"/>
    </row>
    <row r="90" spans="1:18" x14ac:dyDescent="0.25">
      <c r="A90" s="47">
        <f t="shared" si="2"/>
        <v>89</v>
      </c>
      <c r="B90" s="47" t="s">
        <v>6463</v>
      </c>
      <c r="C90" s="47" t="s">
        <v>6466</v>
      </c>
      <c r="D90" s="47"/>
      <c r="E90" s="47" t="s">
        <v>6467</v>
      </c>
      <c r="F90" s="47" t="s">
        <v>119</v>
      </c>
      <c r="G90" s="47" t="s">
        <v>200</v>
      </c>
      <c r="H90" s="47" t="str">
        <f t="shared" si="3"/>
        <v>SHOPIAN</v>
      </c>
      <c r="I90" s="47" t="s">
        <v>6477</v>
      </c>
      <c r="J90" s="48">
        <v>45978</v>
      </c>
      <c r="K90" s="47">
        <v>6006972935</v>
      </c>
      <c r="L90" s="47" t="s">
        <v>6468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6518</v>
      </c>
      <c r="C94" s="47" t="s">
        <v>6519</v>
      </c>
      <c r="D94" s="47"/>
      <c r="E94" s="47" t="s">
        <v>6520</v>
      </c>
      <c r="F94" s="47" t="s">
        <v>37</v>
      </c>
      <c r="G94" s="47" t="s">
        <v>181</v>
      </c>
      <c r="H94" s="47" t="str">
        <f t="shared" si="3"/>
        <v>PULWAMA</v>
      </c>
      <c r="I94" s="47" t="s">
        <v>6523</v>
      </c>
      <c r="J94" s="48">
        <v>45979</v>
      </c>
      <c r="K94" s="47">
        <v>9541759422</v>
      </c>
      <c r="L94" s="47" t="s">
        <v>6521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6504</v>
      </c>
      <c r="C96" s="47" t="s">
        <v>6503</v>
      </c>
      <c r="D96" s="47"/>
      <c r="E96" s="47" t="s">
        <v>6502</v>
      </c>
      <c r="F96" s="47" t="s">
        <v>1264</v>
      </c>
      <c r="G96" s="47" t="s">
        <v>174</v>
      </c>
      <c r="H96" s="47" t="str">
        <f t="shared" si="3"/>
        <v>TEMP</v>
      </c>
      <c r="I96" s="47" t="s">
        <v>6505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6551</v>
      </c>
      <c r="C100" s="47" t="s">
        <v>6553</v>
      </c>
      <c r="D100" s="47"/>
      <c r="E100" s="47" t="s">
        <v>6554</v>
      </c>
      <c r="F100" s="47" t="s">
        <v>12</v>
      </c>
      <c r="G100" s="47" t="s">
        <v>226</v>
      </c>
      <c r="H100" s="47" t="str">
        <f t="shared" si="3"/>
        <v>BHARAT</v>
      </c>
      <c r="I100" s="47" t="s">
        <v>6636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6445</v>
      </c>
      <c r="P100" s="50">
        <v>45988</v>
      </c>
      <c r="Q100" s="47"/>
      <c r="R100" s="47"/>
    </row>
    <row r="101" spans="1:23" x14ac:dyDescent="0.25">
      <c r="A101" s="47">
        <f t="shared" si="2"/>
        <v>100</v>
      </c>
      <c r="B101" s="47" t="s">
        <v>6552</v>
      </c>
      <c r="C101" s="47" t="s">
        <v>6555</v>
      </c>
      <c r="D101" s="47"/>
      <c r="E101" s="47" t="s">
        <v>6556</v>
      </c>
      <c r="F101" s="47" t="s">
        <v>100</v>
      </c>
      <c r="G101" s="47" t="s">
        <v>181</v>
      </c>
      <c r="H101" s="47" t="str">
        <f t="shared" si="3"/>
        <v>SRINAGAR</v>
      </c>
      <c r="I101" s="47" t="s">
        <v>6569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 t="shared" si="2"/>
        <v>101</v>
      </c>
      <c r="B102" s="47" t="s">
        <v>6547</v>
      </c>
      <c r="C102" s="47" t="s">
        <v>6544</v>
      </c>
      <c r="D102" s="47"/>
      <c r="E102" s="47" t="s">
        <v>6545</v>
      </c>
      <c r="F102" s="47" t="s">
        <v>6546</v>
      </c>
      <c r="G102" s="47" t="s">
        <v>6475</v>
      </c>
      <c r="H102" s="47" t="str">
        <f t="shared" si="3"/>
        <v>SRINAGAR</v>
      </c>
      <c r="I102" s="47" t="s">
        <v>6568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6542</v>
      </c>
      <c r="C103" s="47" t="s">
        <v>6543</v>
      </c>
      <c r="D103" s="47"/>
      <c r="E103" s="47" t="s">
        <v>3015</v>
      </c>
      <c r="F103" s="47" t="s">
        <v>119</v>
      </c>
      <c r="G103" s="47" t="s">
        <v>174</v>
      </c>
      <c r="H103" s="47" t="str">
        <f t="shared" si="3"/>
        <v>BUDGAM</v>
      </c>
      <c r="I103" s="47" t="s">
        <v>6567</v>
      </c>
      <c r="J103" s="48">
        <v>45981</v>
      </c>
      <c r="K103" s="47">
        <v>6005783340</v>
      </c>
      <c r="L103" s="47" t="s">
        <v>2172</v>
      </c>
      <c r="M103" s="49" t="s">
        <v>7714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 t="shared" si="2"/>
        <v>103</v>
      </c>
      <c r="B104" s="47" t="s">
        <v>6572</v>
      </c>
      <c r="C104" s="47" t="s">
        <v>6573</v>
      </c>
      <c r="D104" s="47"/>
      <c r="E104" s="47" t="s">
        <v>6571</v>
      </c>
      <c r="F104" s="47" t="s">
        <v>3130</v>
      </c>
      <c r="G104" s="47" t="s">
        <v>174</v>
      </c>
      <c r="H104" s="47" t="str">
        <f t="shared" si="3"/>
        <v>BARAMULLA</v>
      </c>
      <c r="I104" s="47" t="s">
        <v>6574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6460</v>
      </c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6549</v>
      </c>
      <c r="D105" s="47"/>
      <c r="E105" s="47" t="s">
        <v>6550</v>
      </c>
      <c r="F105" s="47" t="s">
        <v>119</v>
      </c>
      <c r="G105" s="47" t="s">
        <v>174</v>
      </c>
      <c r="H105" s="47" t="str">
        <f t="shared" si="3"/>
        <v>PULWAMA</v>
      </c>
      <c r="I105" s="47" t="s">
        <v>6565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6557</v>
      </c>
      <c r="C106" s="47" t="s">
        <v>6560</v>
      </c>
      <c r="D106" s="47"/>
      <c r="E106" s="47" t="s">
        <v>6561</v>
      </c>
      <c r="F106" s="47" t="s">
        <v>125</v>
      </c>
      <c r="G106" s="47" t="s">
        <v>175</v>
      </c>
      <c r="H106" s="47" t="str">
        <f t="shared" si="3"/>
        <v>PULWAMA</v>
      </c>
      <c r="I106" s="47" t="s">
        <v>6564</v>
      </c>
      <c r="J106" s="48">
        <v>45981</v>
      </c>
      <c r="K106" s="47">
        <v>9906121652</v>
      </c>
      <c r="L106" s="47" t="s">
        <v>6521</v>
      </c>
      <c r="M106" s="49" t="s">
        <v>6629</v>
      </c>
      <c r="N106" s="48">
        <v>45986</v>
      </c>
      <c r="O106" s="47" t="s">
        <v>23</v>
      </c>
      <c r="P106" s="50">
        <v>45986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6559</v>
      </c>
      <c r="C107" s="47" t="s">
        <v>6562</v>
      </c>
      <c r="D107" s="47"/>
      <c r="E107" s="47" t="s">
        <v>6563</v>
      </c>
      <c r="F107" s="47" t="s">
        <v>100</v>
      </c>
      <c r="G107" s="47" t="s">
        <v>200</v>
      </c>
      <c r="H107" s="47" t="str">
        <f t="shared" si="3"/>
        <v>SHOPIAN</v>
      </c>
      <c r="I107" s="47" t="s">
        <v>6566</v>
      </c>
      <c r="J107" s="48">
        <v>45981</v>
      </c>
      <c r="K107" s="47">
        <v>9906463872</v>
      </c>
      <c r="L107" s="47" t="s">
        <v>6570</v>
      </c>
      <c r="M107" s="49"/>
      <c r="N107" s="48"/>
      <c r="O107" s="47" t="s">
        <v>23</v>
      </c>
      <c r="P107" s="50">
        <v>45990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6586</v>
      </c>
      <c r="C108" s="47" t="s">
        <v>6584</v>
      </c>
      <c r="D108" s="47" t="s">
        <v>6724</v>
      </c>
      <c r="E108" s="47" t="s">
        <v>2638</v>
      </c>
      <c r="F108" s="47" t="s">
        <v>100</v>
      </c>
      <c r="G108" s="47" t="s">
        <v>226</v>
      </c>
      <c r="H108" s="47" t="str">
        <f t="shared" si="3"/>
        <v>SRINAGAR</v>
      </c>
      <c r="I108" s="47" t="s">
        <v>6729</v>
      </c>
      <c r="J108" s="48">
        <v>45982</v>
      </c>
      <c r="K108" s="47">
        <v>7006756136</v>
      </c>
      <c r="L108" s="47" t="s">
        <v>6585</v>
      </c>
      <c r="M108" s="49" t="s">
        <v>7715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6581</v>
      </c>
      <c r="C110" s="47" t="s">
        <v>6578</v>
      </c>
      <c r="D110" s="47" t="s">
        <v>6710</v>
      </c>
      <c r="E110" s="47" t="s">
        <v>6579</v>
      </c>
      <c r="F110" s="47" t="s">
        <v>119</v>
      </c>
      <c r="G110" s="47" t="s">
        <v>175</v>
      </c>
      <c r="H110" s="47" t="str">
        <f t="shared" si="3"/>
        <v>PULWAMA</v>
      </c>
      <c r="I110" s="47" t="s">
        <v>6583</v>
      </c>
      <c r="J110" s="48">
        <v>45982</v>
      </c>
      <c r="K110" s="47">
        <v>8825052137</v>
      </c>
      <c r="L110" s="47" t="s">
        <v>6580</v>
      </c>
      <c r="M110" s="49"/>
      <c r="N110" s="48"/>
      <c r="O110" s="47" t="s">
        <v>23</v>
      </c>
      <c r="P110" s="50">
        <v>45990</v>
      </c>
      <c r="Q110" s="47" t="s">
        <v>6460</v>
      </c>
      <c r="R110" s="47"/>
    </row>
    <row r="111" spans="1:23" x14ac:dyDescent="0.25">
      <c r="A111" s="47">
        <f t="shared" si="2"/>
        <v>110</v>
      </c>
      <c r="B111" s="47" t="s">
        <v>6606</v>
      </c>
      <c r="C111" s="47" t="s">
        <v>6604</v>
      </c>
      <c r="D111" s="47"/>
      <c r="E111" s="47" t="s">
        <v>6603</v>
      </c>
      <c r="F111" s="47" t="s">
        <v>6605</v>
      </c>
      <c r="G111" s="47" t="s">
        <v>226</v>
      </c>
      <c r="H111" s="47" t="str">
        <f t="shared" si="3"/>
        <v>SRINAGAR</v>
      </c>
      <c r="I111" s="47" t="s">
        <v>6607</v>
      </c>
      <c r="J111" s="48">
        <v>45983</v>
      </c>
      <c r="K111" s="47">
        <v>7006736251</v>
      </c>
      <c r="L111" s="47" t="s">
        <v>6451</v>
      </c>
      <c r="M111" s="49" t="s">
        <v>6927</v>
      </c>
      <c r="N111" s="48">
        <v>45997</v>
      </c>
      <c r="O111" s="47"/>
      <c r="P111" s="50"/>
      <c r="Q111" s="47"/>
      <c r="R111" s="47" t="s">
        <v>6609</v>
      </c>
    </row>
    <row r="112" spans="1:23" x14ac:dyDescent="0.25">
      <c r="A112" s="47">
        <f t="shared" si="2"/>
        <v>111</v>
      </c>
      <c r="B112" s="47" t="s">
        <v>6587</v>
      </c>
      <c r="C112" s="47" t="s">
        <v>6588</v>
      </c>
      <c r="D112" s="47"/>
      <c r="E112" s="47" t="s">
        <v>6589</v>
      </c>
      <c r="F112" s="47" t="s">
        <v>100</v>
      </c>
      <c r="G112" s="47" t="s">
        <v>200</v>
      </c>
      <c r="H112" s="47" t="str">
        <f t="shared" si="3"/>
        <v>ANANTNAG</v>
      </c>
      <c r="I112" s="47" t="s">
        <v>6599</v>
      </c>
      <c r="J112" s="48">
        <v>45983</v>
      </c>
      <c r="K112" s="47">
        <v>9622477236</v>
      </c>
      <c r="L112" s="47" t="s">
        <v>166</v>
      </c>
      <c r="M112" s="49" t="s">
        <v>7453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6592</v>
      </c>
      <c r="C113" s="47" t="s">
        <v>6590</v>
      </c>
      <c r="D113" s="47"/>
      <c r="E113" s="47" t="s">
        <v>6591</v>
      </c>
      <c r="F113" s="47" t="s">
        <v>12</v>
      </c>
      <c r="G113" s="47" t="s">
        <v>200</v>
      </c>
      <c r="H113" s="47" t="str">
        <f t="shared" si="3"/>
        <v>PULWAMA</v>
      </c>
      <c r="I113" s="47" t="s">
        <v>6600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6593</v>
      </c>
      <c r="C115" s="47" t="s">
        <v>6598</v>
      </c>
      <c r="D115" s="47"/>
      <c r="E115" s="47" t="s">
        <v>6220</v>
      </c>
      <c r="F115" s="47" t="s">
        <v>6597</v>
      </c>
      <c r="G115" s="47" t="s">
        <v>200</v>
      </c>
      <c r="H115" s="47" t="str">
        <f t="shared" si="3"/>
        <v>SHOPIAN</v>
      </c>
      <c r="I115" s="47" t="s">
        <v>6602</v>
      </c>
      <c r="J115" s="48">
        <v>45983</v>
      </c>
      <c r="K115" s="47">
        <v>8825050044</v>
      </c>
      <c r="L115" s="47" t="s">
        <v>6580</v>
      </c>
      <c r="M115" s="49"/>
      <c r="N115" s="48"/>
      <c r="O115" s="47" t="s">
        <v>23</v>
      </c>
      <c r="P115" s="50">
        <v>45990</v>
      </c>
      <c r="Q115" s="47" t="s">
        <v>6460</v>
      </c>
      <c r="R115" s="47"/>
    </row>
    <row r="116" spans="1:18" x14ac:dyDescent="0.25">
      <c r="A116" s="47">
        <f t="shared" si="2"/>
        <v>115</v>
      </c>
      <c r="B116" s="47" t="s">
        <v>6616</v>
      </c>
      <c r="C116" s="47" t="s">
        <v>6617</v>
      </c>
      <c r="D116" s="47"/>
      <c r="E116" s="47" t="s">
        <v>6618</v>
      </c>
      <c r="F116" s="47" t="s">
        <v>100</v>
      </c>
      <c r="G116" s="47" t="s">
        <v>200</v>
      </c>
      <c r="H116" s="47" t="str">
        <f t="shared" si="3"/>
        <v>BUDGAM</v>
      </c>
      <c r="I116" s="47" t="s">
        <v>6619</v>
      </c>
      <c r="J116" s="48">
        <v>45985</v>
      </c>
      <c r="K116" s="47">
        <v>8825011762</v>
      </c>
      <c r="L116" s="47" t="s">
        <v>176</v>
      </c>
      <c r="M116" s="49" t="s">
        <v>6855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 t="shared" si="2"/>
        <v>116</v>
      </c>
      <c r="B117" s="47" t="s">
        <v>6610</v>
      </c>
      <c r="C117" s="47" t="s">
        <v>6611</v>
      </c>
      <c r="D117" s="47" t="s">
        <v>6691</v>
      </c>
      <c r="E117" s="47" t="s">
        <v>6612</v>
      </c>
      <c r="F117" s="47" t="s">
        <v>119</v>
      </c>
      <c r="G117" s="47" t="s">
        <v>200</v>
      </c>
      <c r="H117" s="47" t="str">
        <f t="shared" si="3"/>
        <v>KULGAM</v>
      </c>
      <c r="I117" s="47" t="s">
        <v>6613</v>
      </c>
      <c r="J117" s="48">
        <v>45985</v>
      </c>
      <c r="K117" s="47">
        <v>9906619090</v>
      </c>
      <c r="L117" s="47" t="s">
        <v>6580</v>
      </c>
      <c r="M117" s="49" t="s">
        <v>6692</v>
      </c>
      <c r="N117" s="48">
        <v>45989</v>
      </c>
      <c r="O117" s="47" t="s">
        <v>23</v>
      </c>
      <c r="P117" s="50">
        <v>45989</v>
      </c>
      <c r="Q117" s="47" t="s">
        <v>6460</v>
      </c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6632</v>
      </c>
      <c r="C119" s="47" t="s">
        <v>6633</v>
      </c>
      <c r="D119" s="47"/>
      <c r="E119" s="47" t="s">
        <v>6634</v>
      </c>
      <c r="F119" s="47" t="s">
        <v>37</v>
      </c>
      <c r="G119" s="47" t="s">
        <v>181</v>
      </c>
      <c r="H119" s="47" t="str">
        <f t="shared" si="3"/>
        <v>SRINAGAR</v>
      </c>
      <c r="I119" s="47" t="s">
        <v>6635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6625</v>
      </c>
      <c r="C120" s="47" t="s">
        <v>6627</v>
      </c>
      <c r="D120" s="47"/>
      <c r="E120" s="47" t="s">
        <v>6626</v>
      </c>
      <c r="F120" s="47" t="s">
        <v>31</v>
      </c>
      <c r="G120" s="47" t="s">
        <v>200</v>
      </c>
      <c r="H120" s="47" t="str">
        <f t="shared" si="3"/>
        <v>PULWAMA</v>
      </c>
      <c r="I120" s="47" t="s">
        <v>6630</v>
      </c>
      <c r="J120" s="48">
        <v>45986</v>
      </c>
      <c r="K120" s="47">
        <v>9622137310</v>
      </c>
      <c r="L120" s="47" t="s">
        <v>6628</v>
      </c>
      <c r="M120" s="49"/>
      <c r="N120" s="48"/>
      <c r="O120" s="47" t="s">
        <v>23</v>
      </c>
      <c r="P120" s="50">
        <v>45986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6687</v>
      </c>
      <c r="C126" s="47" t="s">
        <v>6688</v>
      </c>
      <c r="D126" s="47" t="s">
        <v>6689</v>
      </c>
      <c r="E126" s="47" t="s">
        <v>6690</v>
      </c>
      <c r="F126" s="47" t="s">
        <v>12</v>
      </c>
      <c r="G126" s="47" t="s">
        <v>174</v>
      </c>
      <c r="H126" s="47" t="str">
        <f t="shared" si="3"/>
        <v>SRINAGAR</v>
      </c>
      <c r="I126" s="47" t="s">
        <v>6694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6679</v>
      </c>
      <c r="C127" s="47" t="s">
        <v>6681</v>
      </c>
      <c r="D127" s="47" t="s">
        <v>6685</v>
      </c>
      <c r="E127" s="47" t="s">
        <v>6680</v>
      </c>
      <c r="F127" s="47" t="s">
        <v>125</v>
      </c>
      <c r="G127" s="47" t="s">
        <v>199</v>
      </c>
      <c r="H127" s="47" t="str">
        <f t="shared" si="3"/>
        <v>BARAMULLA</v>
      </c>
      <c r="I127" s="47" t="s">
        <v>6682</v>
      </c>
      <c r="J127" s="48">
        <v>45989</v>
      </c>
      <c r="K127" s="47">
        <v>9622199980</v>
      </c>
      <c r="L127" s="47" t="s">
        <v>6683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6733</v>
      </c>
      <c r="C131" s="47" t="s">
        <v>6731</v>
      </c>
      <c r="D131" s="47" t="s">
        <v>6732</v>
      </c>
      <c r="E131" s="47" t="s">
        <v>6730</v>
      </c>
      <c r="F131" s="47" t="s">
        <v>31</v>
      </c>
      <c r="G131" s="47" t="s">
        <v>199</v>
      </c>
      <c r="H131" s="47" t="str">
        <f t="shared" si="5"/>
        <v>SRINAGAR</v>
      </c>
      <c r="I131" s="47" t="s">
        <v>6741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6735</v>
      </c>
      <c r="C132" s="47" t="s">
        <v>6736</v>
      </c>
      <c r="D132" s="47" t="s">
        <v>6742</v>
      </c>
      <c r="E132" s="47" t="s">
        <v>6737</v>
      </c>
      <c r="F132" s="47" t="s">
        <v>119</v>
      </c>
      <c r="G132" s="47" t="s">
        <v>221</v>
      </c>
      <c r="H132" s="47" t="str">
        <f t="shared" si="5"/>
        <v>BUDGAM</v>
      </c>
      <c r="I132" s="47" t="s">
        <v>6734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6765</v>
      </c>
      <c r="C135" s="47" t="s">
        <v>6766</v>
      </c>
      <c r="D135" s="47" t="s">
        <v>6767</v>
      </c>
      <c r="E135" s="47" t="s">
        <v>6768</v>
      </c>
      <c r="F135" s="47" t="s">
        <v>100</v>
      </c>
      <c r="G135" s="47" t="s">
        <v>181</v>
      </c>
      <c r="H135" s="47" t="str">
        <f t="shared" si="5"/>
        <v>SRINAGAR</v>
      </c>
      <c r="I135" s="47" t="s">
        <v>6769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6751</v>
      </c>
      <c r="D136" s="47" t="s">
        <v>6760</v>
      </c>
      <c r="E136" s="47" t="s">
        <v>6756</v>
      </c>
      <c r="F136" s="47" t="s">
        <v>100</v>
      </c>
      <c r="G136" s="47" t="s">
        <v>181</v>
      </c>
      <c r="H136" s="47" t="str">
        <f t="shared" si="5"/>
        <v>SRINAGAR</v>
      </c>
      <c r="I136" s="47" t="s">
        <v>6764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 t="shared" si="4"/>
        <v>136</v>
      </c>
      <c r="B137" s="47" t="s">
        <v>6773</v>
      </c>
      <c r="C137" s="47" t="s">
        <v>6770</v>
      </c>
      <c r="D137" s="47" t="s">
        <v>6771</v>
      </c>
      <c r="E137" s="47" t="s">
        <v>6772</v>
      </c>
      <c r="F137" s="47" t="s">
        <v>125</v>
      </c>
      <c r="G137" s="47" t="s">
        <v>175</v>
      </c>
      <c r="H137" s="47" t="str">
        <f t="shared" si="5"/>
        <v>BUDGAM</v>
      </c>
      <c r="I137" s="47" t="s">
        <v>6774</v>
      </c>
      <c r="J137" s="48">
        <v>45995</v>
      </c>
      <c r="K137" s="47">
        <v>9797015273</v>
      </c>
      <c r="L137" s="47" t="s">
        <v>176</v>
      </c>
      <c r="M137" s="49" t="s">
        <v>6855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 t="shared" si="4"/>
        <v>137</v>
      </c>
      <c r="B138" s="47" t="s">
        <v>6749</v>
      </c>
      <c r="C138" s="47" t="s">
        <v>6752</v>
      </c>
      <c r="D138" s="47" t="s">
        <v>6759</v>
      </c>
      <c r="E138" s="47" t="s">
        <v>6755</v>
      </c>
      <c r="F138" s="47" t="s">
        <v>31</v>
      </c>
      <c r="G138" s="47" t="s">
        <v>200</v>
      </c>
      <c r="H138" s="47" t="str">
        <f t="shared" si="5"/>
        <v>PULWAMA</v>
      </c>
      <c r="I138" s="47" t="s">
        <v>6762</v>
      </c>
      <c r="J138" s="48">
        <v>45995</v>
      </c>
      <c r="K138" s="47">
        <v>8899778092</v>
      </c>
      <c r="L138" s="47" t="s">
        <v>6434</v>
      </c>
      <c r="M138" s="49"/>
      <c r="N138" s="48"/>
      <c r="O138" s="47" t="s">
        <v>23</v>
      </c>
      <c r="P138" s="50">
        <v>45995</v>
      </c>
      <c r="Q138" s="47" t="s">
        <v>6460</v>
      </c>
      <c r="R138" s="47"/>
    </row>
    <row r="139" spans="1:18" x14ac:dyDescent="0.25">
      <c r="A139" s="47">
        <f t="shared" si="4"/>
        <v>138</v>
      </c>
      <c r="B139" s="47" t="s">
        <v>6748</v>
      </c>
      <c r="C139" s="47" t="s">
        <v>6753</v>
      </c>
      <c r="D139" s="47" t="s">
        <v>6757</v>
      </c>
      <c r="E139" s="47" t="s">
        <v>6754</v>
      </c>
      <c r="F139" s="47" t="s">
        <v>119</v>
      </c>
      <c r="G139" s="47" t="s">
        <v>6758</v>
      </c>
      <c r="H139" s="47" t="str">
        <f t="shared" si="5"/>
        <v>SHOPIAN</v>
      </c>
      <c r="I139" s="47" t="s">
        <v>6763</v>
      </c>
      <c r="J139" s="48">
        <v>45995</v>
      </c>
      <c r="K139" s="47">
        <v>7780824558</v>
      </c>
      <c r="L139" s="47" t="s">
        <v>6761</v>
      </c>
      <c r="M139" s="49" t="s">
        <v>6850</v>
      </c>
      <c r="N139" s="48">
        <v>45997</v>
      </c>
      <c r="O139" s="47" t="s">
        <v>23</v>
      </c>
      <c r="P139" s="50">
        <v>45995</v>
      </c>
      <c r="Q139" s="47" t="s">
        <v>6460</v>
      </c>
      <c r="R139" s="47"/>
    </row>
    <row r="140" spans="1:18" x14ac:dyDescent="0.25">
      <c r="A140" s="47">
        <f t="shared" si="4"/>
        <v>139</v>
      </c>
      <c r="B140" s="47" t="s">
        <v>6813</v>
      </c>
      <c r="C140" s="47" t="s">
        <v>6814</v>
      </c>
      <c r="D140" s="47" t="s">
        <v>6815</v>
      </c>
      <c r="E140" s="47" t="s">
        <v>6816</v>
      </c>
      <c r="F140" s="47" t="s">
        <v>5</v>
      </c>
      <c r="G140" s="47" t="s">
        <v>181</v>
      </c>
      <c r="H140" s="47" t="str">
        <f t="shared" si="5"/>
        <v>SRINAGAR</v>
      </c>
      <c r="I140" s="47" t="s">
        <v>6821</v>
      </c>
      <c r="J140" s="48">
        <v>45996</v>
      </c>
      <c r="K140" s="47">
        <v>8493043123</v>
      </c>
      <c r="L140" s="47" t="s">
        <v>194</v>
      </c>
      <c r="M140" s="49" t="s">
        <v>6850</v>
      </c>
      <c r="N140" s="48">
        <v>46000</v>
      </c>
      <c r="O140" s="47" t="s">
        <v>23</v>
      </c>
      <c r="P140" s="50">
        <v>46000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6784</v>
      </c>
      <c r="C141" s="47" t="s">
        <v>6785</v>
      </c>
      <c r="D141" s="47" t="s">
        <v>6786</v>
      </c>
      <c r="E141" s="47" t="s">
        <v>6787</v>
      </c>
      <c r="F141" s="47" t="s">
        <v>5</v>
      </c>
      <c r="G141" s="47" t="s">
        <v>226</v>
      </c>
      <c r="H141" s="47" t="str">
        <f t="shared" si="5"/>
        <v>SRINAGAR</v>
      </c>
      <c r="I141" s="47" t="s">
        <v>6793</v>
      </c>
      <c r="J141" s="48">
        <v>45996</v>
      </c>
      <c r="K141" s="47">
        <v>9419032294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6856</v>
      </c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6792</v>
      </c>
      <c r="C143" s="47" t="s">
        <v>6789</v>
      </c>
      <c r="D143" s="47" t="s">
        <v>6790</v>
      </c>
      <c r="E143" s="47" t="s">
        <v>6791</v>
      </c>
      <c r="F143" s="47" t="s">
        <v>5</v>
      </c>
      <c r="G143" s="47" t="s">
        <v>199</v>
      </c>
      <c r="H143" s="47" t="str">
        <f t="shared" si="5"/>
        <v>BUDGAM</v>
      </c>
      <c r="I143" s="47" t="s">
        <v>6794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6811</v>
      </c>
      <c r="C144" s="47" t="s">
        <v>6808</v>
      </c>
      <c r="D144" s="47" t="s">
        <v>6809</v>
      </c>
      <c r="E144" s="47" t="s">
        <v>3940</v>
      </c>
      <c r="F144" s="47" t="s">
        <v>290</v>
      </c>
      <c r="G144" s="47" t="s">
        <v>174</v>
      </c>
      <c r="H144" s="47" t="str">
        <f t="shared" si="5"/>
        <v>KUPWARA</v>
      </c>
      <c r="I144" s="47" t="s">
        <v>6817</v>
      </c>
      <c r="J144" s="48">
        <v>45996</v>
      </c>
      <c r="K144" s="47">
        <v>7006699059</v>
      </c>
      <c r="L144" s="47" t="s">
        <v>6810</v>
      </c>
      <c r="M144" s="49"/>
      <c r="N144" s="48"/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6781</v>
      </c>
      <c r="C145" s="47" t="s">
        <v>6782</v>
      </c>
      <c r="D145" s="47" t="s">
        <v>6783</v>
      </c>
      <c r="E145" s="47" t="s">
        <v>3590</v>
      </c>
      <c r="F145" s="47" t="s">
        <v>125</v>
      </c>
      <c r="G145" s="47" t="s">
        <v>200</v>
      </c>
      <c r="H145" s="47" t="str">
        <f t="shared" si="5"/>
        <v>PULWAMA</v>
      </c>
      <c r="I145" s="47" t="s">
        <v>6788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6460</v>
      </c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6805</v>
      </c>
      <c r="D146" s="47" t="s">
        <v>6806</v>
      </c>
      <c r="E146" s="47" t="s">
        <v>3676</v>
      </c>
      <c r="F146" s="47" t="s">
        <v>5</v>
      </c>
      <c r="G146" s="47" t="s">
        <v>199</v>
      </c>
      <c r="H146" s="47" t="str">
        <f t="shared" si="5"/>
        <v>PULWAMA</v>
      </c>
      <c r="I146" s="47" t="s">
        <v>6818</v>
      </c>
      <c r="J146" s="48">
        <v>45996</v>
      </c>
      <c r="K146" s="47">
        <v>6005402097</v>
      </c>
      <c r="L146" s="47" t="s">
        <v>6807</v>
      </c>
      <c r="M146" s="49" t="s">
        <v>7672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6846</v>
      </c>
      <c r="C148" s="47" t="s">
        <v>6843</v>
      </c>
      <c r="D148" s="47" t="s">
        <v>6844</v>
      </c>
      <c r="E148" s="47" t="s">
        <v>6845</v>
      </c>
      <c r="F148" s="47" t="s">
        <v>119</v>
      </c>
      <c r="G148" s="47" t="s">
        <v>6758</v>
      </c>
      <c r="H148" s="47" t="str">
        <f t="shared" si="5"/>
        <v>SRINAGAR</v>
      </c>
      <c r="I148" s="47" t="s">
        <v>6849</v>
      </c>
      <c r="J148" s="48">
        <v>45997</v>
      </c>
      <c r="K148" s="47">
        <v>9149767613</v>
      </c>
      <c r="L148" s="47" t="s">
        <v>26</v>
      </c>
      <c r="M148" s="49" t="s">
        <v>6923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6840</v>
      </c>
      <c r="C150" s="47" t="s">
        <v>6837</v>
      </c>
      <c r="D150" s="47" t="s">
        <v>6838</v>
      </c>
      <c r="E150" s="47" t="s">
        <v>6839</v>
      </c>
      <c r="F150" s="47" t="s">
        <v>119</v>
      </c>
      <c r="G150" s="47" t="s">
        <v>200</v>
      </c>
      <c r="H150" s="47" t="str">
        <f t="shared" si="5"/>
        <v>PULWAMA</v>
      </c>
      <c r="I150" s="47" t="s">
        <v>6847</v>
      </c>
      <c r="J150" s="48">
        <v>45997</v>
      </c>
      <c r="K150" s="47">
        <v>9682362746</v>
      </c>
      <c r="L150" s="47" t="s">
        <v>26</v>
      </c>
      <c r="M150" s="49" t="s">
        <v>6947</v>
      </c>
      <c r="N150" s="48">
        <v>46001</v>
      </c>
      <c r="O150" s="51">
        <v>46001</v>
      </c>
      <c r="P150" s="50">
        <v>46001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6835</v>
      </c>
      <c r="C151" s="47" t="s">
        <v>6833</v>
      </c>
      <c r="D151" s="47" t="s">
        <v>6834</v>
      </c>
      <c r="E151" s="47" t="s">
        <v>6831</v>
      </c>
      <c r="F151" s="47" t="s">
        <v>119</v>
      </c>
      <c r="G151" s="47" t="s">
        <v>174</v>
      </c>
      <c r="H151" s="47" t="str">
        <f t="shared" si="5"/>
        <v>BANDIPORA</v>
      </c>
      <c r="I151" s="47" t="s">
        <v>6848</v>
      </c>
      <c r="J151" s="48">
        <v>45997</v>
      </c>
      <c r="K151" s="47">
        <v>9797004941</v>
      </c>
      <c r="L151" s="47" t="s">
        <v>6832</v>
      </c>
      <c r="M151" s="49" t="s">
        <v>6890</v>
      </c>
      <c r="N151" s="48">
        <v>45999</v>
      </c>
      <c r="O151" s="47" t="s">
        <v>23</v>
      </c>
      <c r="P151" s="50">
        <v>45999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6825</v>
      </c>
      <c r="C152" s="47" t="s">
        <v>6822</v>
      </c>
      <c r="D152" s="47" t="s">
        <v>6823</v>
      </c>
      <c r="E152" s="47" t="s">
        <v>6824</v>
      </c>
      <c r="F152" s="47" t="s">
        <v>5</v>
      </c>
      <c r="G152" s="47" t="s">
        <v>199</v>
      </c>
      <c r="H152" s="47" t="str">
        <f t="shared" si="5"/>
        <v>SHOPIAN</v>
      </c>
      <c r="I152" s="47" t="s">
        <v>6842</v>
      </c>
      <c r="J152" s="48">
        <v>45997</v>
      </c>
      <c r="K152" s="47">
        <v>7006819575</v>
      </c>
      <c r="L152" s="47" t="s">
        <v>6761</v>
      </c>
      <c r="M152" s="49" t="s">
        <v>7151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6871</v>
      </c>
      <c r="C153" s="47" t="s">
        <v>6868</v>
      </c>
      <c r="D153" s="47" t="s">
        <v>6869</v>
      </c>
      <c r="E153" s="47" t="s">
        <v>6870</v>
      </c>
      <c r="F153" s="47" t="s">
        <v>5</v>
      </c>
      <c r="G153" s="47" t="s">
        <v>200</v>
      </c>
      <c r="H153" s="47" t="str">
        <f t="shared" si="5"/>
        <v>SRINAGAR</v>
      </c>
      <c r="I153" s="47" t="s">
        <v>6904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6861</v>
      </c>
      <c r="D154" s="47" t="s">
        <v>6867</v>
      </c>
      <c r="E154" s="47" t="s">
        <v>6433</v>
      </c>
      <c r="F154" s="47" t="s">
        <v>31</v>
      </c>
      <c r="G154" s="47" t="s">
        <v>221</v>
      </c>
      <c r="H154" s="47" t="str">
        <f t="shared" si="5"/>
        <v>SRINAGAR</v>
      </c>
      <c r="I154" s="47" t="s">
        <v>6875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 t="shared" si="4"/>
        <v>154</v>
      </c>
      <c r="B155" s="47" t="s">
        <v>6865</v>
      </c>
      <c r="C155" s="47" t="s">
        <v>6863</v>
      </c>
      <c r="D155" s="47" t="s">
        <v>6866</v>
      </c>
      <c r="E155" s="47" t="s">
        <v>6864</v>
      </c>
      <c r="F155" s="47" t="s">
        <v>3130</v>
      </c>
      <c r="G155" s="47" t="s">
        <v>200</v>
      </c>
      <c r="H155" s="47" t="str">
        <f t="shared" si="5"/>
        <v>SRINAGAR</v>
      </c>
      <c r="I155" s="47" t="s">
        <v>6872</v>
      </c>
      <c r="J155" s="48">
        <v>45999</v>
      </c>
      <c r="K155" s="47">
        <v>9596341802</v>
      </c>
      <c r="L155" s="47" t="s">
        <v>48</v>
      </c>
      <c r="M155" s="49" t="s">
        <v>7615</v>
      </c>
      <c r="N155" s="48">
        <v>46017</v>
      </c>
      <c r="O155" s="47" t="s">
        <v>23</v>
      </c>
      <c r="P155" s="50">
        <v>46017</v>
      </c>
      <c r="Q155" s="47" t="s">
        <v>6460</v>
      </c>
      <c r="R155" s="47"/>
    </row>
    <row r="156" spans="1:18" x14ac:dyDescent="0.25">
      <c r="A156" s="47">
        <f t="shared" si="4"/>
        <v>155</v>
      </c>
      <c r="B156" s="47" t="s">
        <v>6883</v>
      </c>
      <c r="C156" s="47" t="s">
        <v>6880</v>
      </c>
      <c r="D156" s="47" t="s">
        <v>6881</v>
      </c>
      <c r="E156" s="47" t="s">
        <v>6882</v>
      </c>
      <c r="F156" s="47" t="s">
        <v>3130</v>
      </c>
      <c r="G156" s="47" t="s">
        <v>6475</v>
      </c>
      <c r="H156" s="47" t="str">
        <f t="shared" si="5"/>
        <v>ANANTNAG</v>
      </c>
      <c r="I156" s="47" t="s">
        <v>6885</v>
      </c>
      <c r="J156" s="48">
        <v>45999</v>
      </c>
      <c r="K156" s="47">
        <v>9149853916</v>
      </c>
      <c r="L156" s="47" t="s">
        <v>6884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6860</v>
      </c>
      <c r="C157" s="47" t="s">
        <v>6858</v>
      </c>
      <c r="D157" s="47" t="s">
        <v>6859</v>
      </c>
      <c r="E157" s="47" t="s">
        <v>6857</v>
      </c>
      <c r="F157" s="47" t="s">
        <v>5</v>
      </c>
      <c r="G157" s="47" t="s">
        <v>200</v>
      </c>
      <c r="H157" s="47" t="str">
        <f t="shared" si="5"/>
        <v>BARAMULLA</v>
      </c>
      <c r="I157" s="47" t="s">
        <v>6874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6445</v>
      </c>
      <c r="P157" s="50">
        <v>45999</v>
      </c>
      <c r="Q157" s="47"/>
      <c r="R157" s="47"/>
    </row>
    <row r="158" spans="1:18" x14ac:dyDescent="0.25">
      <c r="A158" s="47">
        <f t="shared" si="4"/>
        <v>157</v>
      </c>
      <c r="B158" s="47" t="s">
        <v>6899</v>
      </c>
      <c r="C158" s="47" t="s">
        <v>6895</v>
      </c>
      <c r="D158" s="47" t="s">
        <v>6896</v>
      </c>
      <c r="E158" s="47" t="s">
        <v>6897</v>
      </c>
      <c r="F158" s="47" t="s">
        <v>5</v>
      </c>
      <c r="G158" s="47" t="s">
        <v>174</v>
      </c>
      <c r="H158" s="47" t="str">
        <f t="shared" si="5"/>
        <v>PULWAMA</v>
      </c>
      <c r="I158" s="47" t="s">
        <v>6898</v>
      </c>
      <c r="J158" s="48">
        <v>45999</v>
      </c>
      <c r="K158" s="47">
        <v>9906488569</v>
      </c>
      <c r="L158" s="47" t="s">
        <v>26</v>
      </c>
      <c r="M158" s="49" t="s">
        <v>6947</v>
      </c>
      <c r="N158" s="48">
        <v>46000</v>
      </c>
      <c r="O158" s="47" t="s">
        <v>23</v>
      </c>
      <c r="P158" s="50">
        <v>46000</v>
      </c>
      <c r="Q158" s="47" t="s">
        <v>6460</v>
      </c>
      <c r="R158" s="47"/>
    </row>
    <row r="159" spans="1:18" x14ac:dyDescent="0.25">
      <c r="A159" s="47">
        <f t="shared" si="4"/>
        <v>158</v>
      </c>
      <c r="B159" s="47" t="s">
        <v>6894</v>
      </c>
      <c r="C159" s="47" t="s">
        <v>6891</v>
      </c>
      <c r="D159" s="47" t="s">
        <v>6892</v>
      </c>
      <c r="E159" s="47" t="s">
        <v>6893</v>
      </c>
      <c r="F159" s="47" t="s">
        <v>31</v>
      </c>
      <c r="G159" s="47" t="s">
        <v>200</v>
      </c>
      <c r="H159" s="47" t="str">
        <f t="shared" si="5"/>
        <v>PULWAMA</v>
      </c>
      <c r="I159" s="47" t="s">
        <v>6905</v>
      </c>
      <c r="J159" s="48">
        <v>45999</v>
      </c>
      <c r="K159" s="47">
        <v>9797244437</v>
      </c>
      <c r="L159" s="47" t="s">
        <v>6521</v>
      </c>
      <c r="M159" s="49" t="s">
        <v>7672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6903</v>
      </c>
      <c r="D160" s="47" t="s">
        <v>6906</v>
      </c>
      <c r="E160" s="47" t="s">
        <v>6901</v>
      </c>
      <c r="F160" s="47" t="s">
        <v>31</v>
      </c>
      <c r="G160" s="47" t="s">
        <v>175</v>
      </c>
      <c r="H160" s="47" t="str">
        <f t="shared" si="5"/>
        <v>PULWAMA</v>
      </c>
      <c r="I160" s="47" t="s">
        <v>6902</v>
      </c>
      <c r="J160" s="48">
        <v>45999</v>
      </c>
      <c r="K160" s="47">
        <v>7006251106</v>
      </c>
      <c r="L160" s="47" t="s">
        <v>6451</v>
      </c>
      <c r="M160" s="49" t="s">
        <v>7807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6953</v>
      </c>
      <c r="C166" s="47" t="s">
        <v>6950</v>
      </c>
      <c r="D166" s="47" t="s">
        <v>6951</v>
      </c>
      <c r="E166" s="47" t="s">
        <v>6952</v>
      </c>
      <c r="F166" s="47" t="s">
        <v>100</v>
      </c>
      <c r="G166" s="47" t="s">
        <v>226</v>
      </c>
      <c r="H166" s="47" t="str">
        <f t="shared" si="5"/>
        <v>PULWAMA</v>
      </c>
      <c r="I166" s="47" t="s">
        <v>6954</v>
      </c>
      <c r="J166" s="48">
        <v>46000</v>
      </c>
      <c r="K166" s="47">
        <v>9596030882</v>
      </c>
      <c r="L166" s="47" t="s">
        <v>6955</v>
      </c>
      <c r="M166" s="49" t="s">
        <v>7164</v>
      </c>
      <c r="N166" s="48">
        <v>46007</v>
      </c>
      <c r="O166" s="47"/>
      <c r="P166" s="50"/>
      <c r="Q166" s="47"/>
      <c r="R166" s="47" t="s">
        <v>6974</v>
      </c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6926</v>
      </c>
      <c r="C168" s="47" t="s">
        <v>6924</v>
      </c>
      <c r="D168" s="47" t="s">
        <v>6925</v>
      </c>
      <c r="E168" s="47" t="s">
        <v>3420</v>
      </c>
      <c r="F168" s="47" t="s">
        <v>31</v>
      </c>
      <c r="G168" s="47" t="s">
        <v>174</v>
      </c>
      <c r="H168" s="47" t="str">
        <f t="shared" si="5"/>
        <v>PULWAMA</v>
      </c>
      <c r="I168" s="47" t="s">
        <v>6928</v>
      </c>
      <c r="J168" s="48">
        <v>46000</v>
      </c>
      <c r="K168" s="47">
        <v>9622432608</v>
      </c>
      <c r="L168" s="47" t="s">
        <v>6521</v>
      </c>
      <c r="M168" s="49" t="s">
        <v>7164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6913</v>
      </c>
      <c r="C169" s="47" t="s">
        <v>6920</v>
      </c>
      <c r="D169" s="47" t="s">
        <v>6921</v>
      </c>
      <c r="E169" s="47" t="s">
        <v>6914</v>
      </c>
      <c r="F169" s="47" t="s">
        <v>281</v>
      </c>
      <c r="G169" s="47" t="s">
        <v>199</v>
      </c>
      <c r="H169" s="47" t="str">
        <f t="shared" si="5"/>
        <v>SHOPIAN</v>
      </c>
      <c r="I169" s="47" t="s">
        <v>6912</v>
      </c>
      <c r="J169" s="48">
        <v>46000</v>
      </c>
      <c r="K169" s="47">
        <v>7006824047</v>
      </c>
      <c r="L169" s="47" t="s">
        <v>6580</v>
      </c>
      <c r="M169" s="49" t="s">
        <v>7151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 t="shared" si="4"/>
        <v>169</v>
      </c>
      <c r="B170" s="47" t="s">
        <v>6967</v>
      </c>
      <c r="C170" s="47" t="s">
        <v>6963</v>
      </c>
      <c r="D170" s="47" t="s">
        <v>6964</v>
      </c>
      <c r="E170" s="47" t="s">
        <v>6965</v>
      </c>
      <c r="F170" s="47" t="s">
        <v>6966</v>
      </c>
      <c r="G170" s="47" t="s">
        <v>200</v>
      </c>
      <c r="H170" s="47" t="str">
        <f t="shared" si="5"/>
        <v>SRINAGAR</v>
      </c>
      <c r="I170" s="47" t="s">
        <v>6973</v>
      </c>
      <c r="J170" s="48">
        <v>46001</v>
      </c>
      <c r="K170" s="47">
        <v>7889467793</v>
      </c>
      <c r="L170" s="47" t="s">
        <v>2248</v>
      </c>
      <c r="M170" s="49" t="s">
        <v>7113</v>
      </c>
      <c r="N170" s="48">
        <v>46006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6970</v>
      </c>
      <c r="C171" s="47" t="s">
        <v>6968</v>
      </c>
      <c r="D171" s="47" t="s">
        <v>6969</v>
      </c>
      <c r="E171" s="47" t="s">
        <v>3089</v>
      </c>
      <c r="F171" s="47" t="s">
        <v>119</v>
      </c>
      <c r="G171" s="47" t="s">
        <v>175</v>
      </c>
      <c r="H171" s="47" t="str">
        <f t="shared" si="5"/>
        <v>SRINAGAR</v>
      </c>
      <c r="I171" s="47" t="s">
        <v>6972</v>
      </c>
      <c r="J171" s="48">
        <v>46001</v>
      </c>
      <c r="K171" s="47">
        <v>9419381680</v>
      </c>
      <c r="L171" s="47" t="s">
        <v>75</v>
      </c>
      <c r="M171" s="49" t="s">
        <v>8242</v>
      </c>
      <c r="N171" s="48">
        <v>46027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6962</v>
      </c>
      <c r="C172" s="47" t="s">
        <v>6959</v>
      </c>
      <c r="D172" s="47" t="s">
        <v>6960</v>
      </c>
      <c r="E172" s="47" t="s">
        <v>6961</v>
      </c>
      <c r="F172" s="47" t="s">
        <v>290</v>
      </c>
      <c r="G172" s="47" t="s">
        <v>200</v>
      </c>
      <c r="H172" s="47" t="str">
        <f t="shared" si="5"/>
        <v>ANANTNAG</v>
      </c>
      <c r="I172" s="47" t="s">
        <v>6971</v>
      </c>
      <c r="J172" s="48">
        <v>46001</v>
      </c>
      <c r="K172" s="47">
        <v>9103172002</v>
      </c>
      <c r="L172" s="47" t="s">
        <v>48</v>
      </c>
      <c r="M172" s="49" t="s">
        <v>7085</v>
      </c>
      <c r="N172" s="48">
        <v>46004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5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7009</v>
      </c>
      <c r="C175" s="47" t="s">
        <v>7010</v>
      </c>
      <c r="D175" s="47" t="s">
        <v>7011</v>
      </c>
      <c r="E175" s="47" t="s">
        <v>7012</v>
      </c>
      <c r="F175" s="47" t="s">
        <v>281</v>
      </c>
      <c r="G175" s="47" t="s">
        <v>200</v>
      </c>
      <c r="H175" s="47" t="str">
        <f t="shared" si="5"/>
        <v>SRINAGAR</v>
      </c>
      <c r="I175" s="47" t="s">
        <v>7013</v>
      </c>
      <c r="J175" s="48">
        <v>46002</v>
      </c>
      <c r="K175" s="47">
        <v>7006743019</v>
      </c>
      <c r="L175" s="47" t="s">
        <v>7014</v>
      </c>
      <c r="M175" s="49" t="s">
        <v>7164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5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6999</v>
      </c>
      <c r="C178" s="47" t="s">
        <v>6996</v>
      </c>
      <c r="D178" s="47" t="s">
        <v>6997</v>
      </c>
      <c r="E178" s="47" t="s">
        <v>4399</v>
      </c>
      <c r="F178" s="47" t="s">
        <v>6998</v>
      </c>
      <c r="G178" s="47" t="s">
        <v>200</v>
      </c>
      <c r="H178" s="47" t="str">
        <f t="shared" si="5"/>
        <v>BUDGAM</v>
      </c>
      <c r="I178" s="47" t="s">
        <v>7025</v>
      </c>
      <c r="J178" s="48">
        <v>46002</v>
      </c>
      <c r="K178" s="47">
        <v>6006763182</v>
      </c>
      <c r="L178" s="47" t="s">
        <v>70</v>
      </c>
      <c r="M178" s="49" t="s">
        <v>7954</v>
      </c>
      <c r="N178" s="48">
        <v>46032</v>
      </c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 t="shared" si="4"/>
        <v>179</v>
      </c>
      <c r="B180" s="47" t="s">
        <v>7018</v>
      </c>
      <c r="C180" s="47" t="s">
        <v>7015</v>
      </c>
      <c r="D180" s="47" t="s">
        <v>7016</v>
      </c>
      <c r="E180" s="47" t="s">
        <v>7017</v>
      </c>
      <c r="F180" s="47" t="s">
        <v>31</v>
      </c>
      <c r="G180" s="47" t="s">
        <v>221</v>
      </c>
      <c r="H180" s="47" t="str">
        <f t="shared" si="5"/>
        <v>PULWAMA</v>
      </c>
      <c r="I180" s="47" t="s">
        <v>7020</v>
      </c>
      <c r="J180" s="48">
        <v>46002</v>
      </c>
      <c r="K180" s="47">
        <v>7889910978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6992</v>
      </c>
      <c r="C181" s="47" t="s">
        <v>6993</v>
      </c>
      <c r="D181" s="47" t="s">
        <v>6995</v>
      </c>
      <c r="E181" s="47" t="s">
        <v>6994</v>
      </c>
      <c r="F181" s="47" t="s">
        <v>5</v>
      </c>
      <c r="G181" s="47" t="s">
        <v>200</v>
      </c>
      <c r="H181" s="47" t="str">
        <f t="shared" si="5"/>
        <v>SHOPIAN</v>
      </c>
      <c r="I181" s="47" t="s">
        <v>7019</v>
      </c>
      <c r="J181" s="48">
        <v>46002</v>
      </c>
      <c r="K181" s="47">
        <v>9906277021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7070</v>
      </c>
      <c r="C182" s="47" t="s">
        <v>7071</v>
      </c>
      <c r="D182" s="47" t="s">
        <v>7072</v>
      </c>
      <c r="E182" s="47" t="s">
        <v>7073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7074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7048</v>
      </c>
      <c r="C184" s="47" t="s">
        <v>7049</v>
      </c>
      <c r="D184" s="47" t="s">
        <v>7050</v>
      </c>
      <c r="E184" s="47" t="s">
        <v>7051</v>
      </c>
      <c r="F184" s="47" t="s">
        <v>31</v>
      </c>
      <c r="G184" s="47" t="s">
        <v>221</v>
      </c>
      <c r="H184" s="47" t="str">
        <f t="shared" si="5"/>
        <v>SRINAGAR</v>
      </c>
      <c r="I184" s="47" t="s">
        <v>7061</v>
      </c>
      <c r="J184" s="48">
        <v>46003</v>
      </c>
      <c r="K184" s="47">
        <v>7006646319</v>
      </c>
      <c r="L184" s="47" t="s">
        <v>6521</v>
      </c>
      <c r="M184" s="49" t="s">
        <v>7262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7057</v>
      </c>
      <c r="C187" s="47" t="s">
        <v>7058</v>
      </c>
      <c r="D187" s="47" t="s">
        <v>7059</v>
      </c>
      <c r="E187" s="47" t="s">
        <v>7060</v>
      </c>
      <c r="F187" s="47" t="s">
        <v>119</v>
      </c>
      <c r="G187" s="47" t="s">
        <v>200</v>
      </c>
      <c r="H187" s="47" t="str">
        <f t="shared" si="5"/>
        <v>PULWAMA</v>
      </c>
      <c r="I187" s="47" t="s">
        <v>7075</v>
      </c>
      <c r="J187" s="48">
        <v>46003</v>
      </c>
      <c r="K187" s="47">
        <v>9682101195</v>
      </c>
      <c r="L187" s="47" t="s">
        <v>70</v>
      </c>
      <c r="M187" s="49" t="s">
        <v>7114</v>
      </c>
      <c r="N187" s="48">
        <v>46009</v>
      </c>
      <c r="O187" s="47" t="s">
        <v>23</v>
      </c>
      <c r="P187" s="50">
        <v>46003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7098</v>
      </c>
      <c r="C189" s="47" t="s">
        <v>7099</v>
      </c>
      <c r="D189" s="47" t="s">
        <v>7100</v>
      </c>
      <c r="E189" s="47" t="s">
        <v>7101</v>
      </c>
      <c r="F189" s="47" t="s">
        <v>6829</v>
      </c>
      <c r="G189" s="47" t="s">
        <v>6440</v>
      </c>
      <c r="H189" s="47" t="str">
        <f t="shared" si="5"/>
        <v>SRINAGAR</v>
      </c>
      <c r="I189" s="47" t="s">
        <v>7108</v>
      </c>
      <c r="J189" s="48">
        <v>46004</v>
      </c>
      <c r="K189" s="47">
        <v>7006224132</v>
      </c>
      <c r="L189" s="47" t="s">
        <v>7111</v>
      </c>
      <c r="M189" s="49"/>
      <c r="N189" s="48"/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7089</v>
      </c>
      <c r="C191" s="47" t="s">
        <v>7090</v>
      </c>
      <c r="D191" s="47" t="s">
        <v>7091</v>
      </c>
      <c r="E191" s="47" t="s">
        <v>7092</v>
      </c>
      <c r="F191" s="47" t="s">
        <v>125</v>
      </c>
      <c r="G191" s="47" t="s">
        <v>199</v>
      </c>
      <c r="H191" s="47" t="str">
        <f t="shared" si="5"/>
        <v>BUDGAM</v>
      </c>
      <c r="I191" s="47" t="s">
        <v>7093</v>
      </c>
      <c r="J191" s="48">
        <v>46004</v>
      </c>
      <c r="K191" s="47">
        <v>7006296665</v>
      </c>
      <c r="L191" s="47" t="s">
        <v>43</v>
      </c>
      <c r="M191" s="49" t="s">
        <v>7152</v>
      </c>
      <c r="N191" s="48">
        <v>46007</v>
      </c>
      <c r="O191" s="47" t="s">
        <v>23</v>
      </c>
      <c r="P191" s="50">
        <v>46004</v>
      </c>
      <c r="Q191" s="47" t="s">
        <v>6460</v>
      </c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7121</v>
      </c>
      <c r="C193" s="47" t="s">
        <v>7122</v>
      </c>
      <c r="D193" s="47" t="s">
        <v>7123</v>
      </c>
      <c r="E193" s="47" t="s">
        <v>7124</v>
      </c>
      <c r="F193" s="47" t="s">
        <v>290</v>
      </c>
      <c r="G193" s="47" t="s">
        <v>174</v>
      </c>
      <c r="H193" s="47" t="str">
        <f t="shared" si="5"/>
        <v>SRINAGAR</v>
      </c>
      <c r="I193" s="47" t="s">
        <v>7126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7125</v>
      </c>
      <c r="C194" s="47" t="s">
        <v>7131</v>
      </c>
      <c r="D194" s="47" t="s">
        <v>7132</v>
      </c>
      <c r="E194" s="47" t="s">
        <v>7133</v>
      </c>
      <c r="F194" s="47" t="s">
        <v>31</v>
      </c>
      <c r="G194" s="47" t="s">
        <v>199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7134</v>
      </c>
      <c r="J194" s="48">
        <v>46006</v>
      </c>
      <c r="K194" s="47">
        <v>9419007332</v>
      </c>
      <c r="L194" s="47" t="s">
        <v>1126</v>
      </c>
      <c r="M194" s="49" t="s">
        <v>6876</v>
      </c>
      <c r="N194" s="48">
        <v>46007</v>
      </c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7130</v>
      </c>
      <c r="C195" s="47" t="s">
        <v>7127</v>
      </c>
      <c r="D195" s="47" t="s">
        <v>7128</v>
      </c>
      <c r="E195" s="47" t="s">
        <v>7129</v>
      </c>
      <c r="F195" s="47" t="s">
        <v>119</v>
      </c>
      <c r="G195" s="47" t="s">
        <v>200</v>
      </c>
      <c r="H195" s="47" t="str">
        <f t="shared" si="7"/>
        <v>BUDGAM</v>
      </c>
      <c r="I195" s="47" t="s">
        <v>7135</v>
      </c>
      <c r="J195" s="48">
        <v>46006</v>
      </c>
      <c r="K195" s="47">
        <v>6006807265</v>
      </c>
      <c r="L195" s="47" t="s">
        <v>70</v>
      </c>
      <c r="M195" s="49" t="s">
        <v>7114</v>
      </c>
      <c r="N195" s="48">
        <v>46009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7119</v>
      </c>
      <c r="C196" s="47" t="s">
        <v>7116</v>
      </c>
      <c r="D196" s="47" t="s">
        <v>7117</v>
      </c>
      <c r="E196" s="47" t="s">
        <v>7118</v>
      </c>
      <c r="F196" s="47" t="s">
        <v>119</v>
      </c>
      <c r="G196" s="47" t="s">
        <v>221</v>
      </c>
      <c r="H196" s="47" t="str">
        <f t="shared" si="7"/>
        <v>BUDGAM</v>
      </c>
      <c r="I196" s="47" t="s">
        <v>7120</v>
      </c>
      <c r="J196" s="48">
        <v>46006</v>
      </c>
      <c r="K196" s="47">
        <v>7006159140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7148</v>
      </c>
      <c r="C197" s="47" t="s">
        <v>7149</v>
      </c>
      <c r="D197" s="47" t="s">
        <v>7150</v>
      </c>
      <c r="E197" s="47" t="s">
        <v>4727</v>
      </c>
      <c r="F197" s="47" t="s">
        <v>119</v>
      </c>
      <c r="G197" s="47" t="s">
        <v>175</v>
      </c>
      <c r="H197" s="47" t="str">
        <f t="shared" si="7"/>
        <v>SRINAGAR</v>
      </c>
      <c r="I197" s="47" t="s">
        <v>7187</v>
      </c>
      <c r="J197" s="48">
        <v>46007</v>
      </c>
      <c r="K197" s="47">
        <v>9622347307</v>
      </c>
      <c r="L197" s="47" t="s">
        <v>106</v>
      </c>
      <c r="M197" s="49" t="s">
        <v>7601</v>
      </c>
      <c r="N197" s="48">
        <v>46027</v>
      </c>
      <c r="O197" s="47" t="s">
        <v>23</v>
      </c>
      <c r="P197" s="50">
        <v>46008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7180</v>
      </c>
      <c r="C198" s="47" t="s">
        <v>7177</v>
      </c>
      <c r="D198" s="47" t="s">
        <v>7178</v>
      </c>
      <c r="E198" s="47" t="s">
        <v>7179</v>
      </c>
      <c r="F198" s="47" t="s">
        <v>6420</v>
      </c>
      <c r="G198" s="47" t="s">
        <v>200</v>
      </c>
      <c r="H198" s="47" t="str">
        <f t="shared" si="7"/>
        <v>SRINAGAR</v>
      </c>
      <c r="I198" s="47" t="s">
        <v>7188</v>
      </c>
      <c r="J198" s="48">
        <v>46007</v>
      </c>
      <c r="K198" s="47">
        <v>8825095120</v>
      </c>
      <c r="L198" s="47" t="s">
        <v>43</v>
      </c>
      <c r="M198" s="49" t="s">
        <v>7152</v>
      </c>
      <c r="N198" s="48">
        <v>46010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7165</v>
      </c>
      <c r="C199" s="47" t="s">
        <v>7166</v>
      </c>
      <c r="D199" s="47" t="s">
        <v>7167</v>
      </c>
      <c r="E199" s="47" t="s">
        <v>7168</v>
      </c>
      <c r="F199" s="47" t="s">
        <v>250</v>
      </c>
      <c r="G199" s="47" t="s">
        <v>200</v>
      </c>
      <c r="H199" s="47" t="str">
        <f t="shared" si="7"/>
        <v>SRINAGAR</v>
      </c>
      <c r="I199" s="47" t="s">
        <v>7186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7143</v>
      </c>
      <c r="C200" s="47" t="s">
        <v>7140</v>
      </c>
      <c r="D200" s="47" t="s">
        <v>7141</v>
      </c>
      <c r="E200" s="47" t="s">
        <v>7142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7173</v>
      </c>
      <c r="J200" s="48">
        <v>46007</v>
      </c>
      <c r="K200" s="47">
        <v>9622878211</v>
      </c>
      <c r="L200" s="47" t="s">
        <v>6521</v>
      </c>
      <c r="M200" s="49" t="s">
        <v>7776</v>
      </c>
      <c r="N200" s="48">
        <v>46021</v>
      </c>
      <c r="O200" s="47"/>
      <c r="P200" s="50"/>
      <c r="Q200" s="47"/>
      <c r="R200" s="47" t="s">
        <v>7194</v>
      </c>
    </row>
    <row r="201" spans="1:18" x14ac:dyDescent="0.25">
      <c r="A201" s="47">
        <f t="shared" si="6"/>
        <v>200</v>
      </c>
      <c r="B201" s="47" t="s">
        <v>7163</v>
      </c>
      <c r="C201" s="47" t="s">
        <v>7160</v>
      </c>
      <c r="D201" s="47" t="s">
        <v>7161</v>
      </c>
      <c r="E201" s="47" t="s">
        <v>7162</v>
      </c>
      <c r="F201" s="47" t="s">
        <v>119</v>
      </c>
      <c r="G201" s="47" t="s">
        <v>200</v>
      </c>
      <c r="H201" s="47" t="str">
        <f t="shared" si="7"/>
        <v>BUDGAM</v>
      </c>
      <c r="I201" s="47" t="s">
        <v>7169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7144</v>
      </c>
      <c r="C202" s="47" t="s">
        <v>7145</v>
      </c>
      <c r="D202" s="47" t="s">
        <v>7146</v>
      </c>
      <c r="E202" s="47" t="s">
        <v>7147</v>
      </c>
      <c r="F202" s="47" t="s">
        <v>119</v>
      </c>
      <c r="G202" s="47" t="s">
        <v>175</v>
      </c>
      <c r="H202" s="47" t="str">
        <f t="shared" si="7"/>
        <v>BARAMULLA</v>
      </c>
      <c r="I202" s="47" t="s">
        <v>7172</v>
      </c>
      <c r="J202" s="48">
        <v>46007</v>
      </c>
      <c r="K202" s="47">
        <v>7889821425</v>
      </c>
      <c r="L202" s="47" t="s">
        <v>6832</v>
      </c>
      <c r="M202" s="49" t="s">
        <v>6890</v>
      </c>
      <c r="N202" s="48">
        <v>46008</v>
      </c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6"/>
        <v>203</v>
      </c>
      <c r="B204" s="47" t="s">
        <v>7159</v>
      </c>
      <c r="C204" s="47" t="s">
        <v>7156</v>
      </c>
      <c r="D204" s="47" t="s">
        <v>7157</v>
      </c>
      <c r="E204" s="47" t="s">
        <v>7158</v>
      </c>
      <c r="F204" s="47" t="s">
        <v>119</v>
      </c>
      <c r="G204" s="47" t="s">
        <v>175</v>
      </c>
      <c r="H204" s="47" t="str">
        <f t="shared" si="7"/>
        <v>PULWAMA</v>
      </c>
      <c r="I204" s="47" t="s">
        <v>7170</v>
      </c>
      <c r="J204" s="48">
        <v>46007</v>
      </c>
      <c r="K204" s="47">
        <v>7889354231</v>
      </c>
      <c r="L204" s="47" t="s">
        <v>6521</v>
      </c>
      <c r="M204" s="49" t="s">
        <v>7672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7221</v>
      </c>
      <c r="C206" s="47" t="s">
        <v>7222</v>
      </c>
      <c r="D206" s="47" t="s">
        <v>7223</v>
      </c>
      <c r="E206" s="47" t="s">
        <v>7224</v>
      </c>
      <c r="F206" s="47" t="s">
        <v>31</v>
      </c>
      <c r="G206" s="47" t="s">
        <v>200</v>
      </c>
      <c r="H206" s="47" t="str">
        <f t="shared" si="7"/>
        <v>SRINAGAR</v>
      </c>
      <c r="I206" s="47" t="s">
        <v>7232</v>
      </c>
      <c r="J206" s="48">
        <v>46008</v>
      </c>
      <c r="K206" s="47">
        <v>9419084883</v>
      </c>
      <c r="L206" s="47" t="s">
        <v>43</v>
      </c>
      <c r="M206" s="49" t="s">
        <v>7152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7225</v>
      </c>
      <c r="C207" s="47" t="s">
        <v>7226</v>
      </c>
      <c r="D207" s="47" t="s">
        <v>7227</v>
      </c>
      <c r="E207" s="47" t="s">
        <v>7228</v>
      </c>
      <c r="F207" s="47" t="s">
        <v>102</v>
      </c>
      <c r="G207" s="47" t="s">
        <v>181</v>
      </c>
      <c r="H207" s="47" t="str">
        <f t="shared" si="7"/>
        <v>SRINAGAR</v>
      </c>
      <c r="I207" s="47" t="s">
        <v>7233</v>
      </c>
      <c r="J207" s="48">
        <v>46008</v>
      </c>
      <c r="K207" s="47">
        <v>8825002572</v>
      </c>
      <c r="L207" s="47" t="s">
        <v>70</v>
      </c>
      <c r="M207" s="49" t="s">
        <v>7113</v>
      </c>
      <c r="N207" s="48">
        <v>46010</v>
      </c>
      <c r="O207" s="47" t="s">
        <v>23</v>
      </c>
      <c r="P207" s="50">
        <v>46010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7212</v>
      </c>
      <c r="C208" s="47" t="s">
        <v>7210</v>
      </c>
      <c r="D208" s="47" t="s">
        <v>7211</v>
      </c>
      <c r="E208" s="47" t="s">
        <v>5115</v>
      </c>
      <c r="F208" s="47" t="s">
        <v>119</v>
      </c>
      <c r="G208" s="47" t="s">
        <v>221</v>
      </c>
      <c r="H208" s="47" t="str">
        <f t="shared" si="7"/>
        <v>SRINAGAR</v>
      </c>
      <c r="I208" s="47" t="s">
        <v>7234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7199</v>
      </c>
      <c r="C209" s="47" t="s">
        <v>7196</v>
      </c>
      <c r="D209" s="47" t="s">
        <v>7197</v>
      </c>
      <c r="E209" s="47" t="s">
        <v>7198</v>
      </c>
      <c r="F209" s="47" t="s">
        <v>3130</v>
      </c>
      <c r="G209" s="47" t="s">
        <v>6475</v>
      </c>
      <c r="H209" s="47" t="str">
        <f t="shared" si="7"/>
        <v>SRINAGAR</v>
      </c>
      <c r="I209" s="47" t="s">
        <v>7230</v>
      </c>
      <c r="J209" s="48">
        <v>46008</v>
      </c>
      <c r="K209" s="47">
        <v>9906946331</v>
      </c>
      <c r="L209" s="47" t="s">
        <v>2248</v>
      </c>
      <c r="M209" s="49" t="s">
        <v>7270</v>
      </c>
      <c r="N209" s="48">
        <v>46009</v>
      </c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7207</v>
      </c>
      <c r="C212" s="47" t="s">
        <v>7200</v>
      </c>
      <c r="D212" s="47" t="s">
        <v>7201</v>
      </c>
      <c r="E212" s="47" t="s">
        <v>7202</v>
      </c>
      <c r="F212" s="47" t="s">
        <v>119</v>
      </c>
      <c r="G212" s="47" t="s">
        <v>174</v>
      </c>
      <c r="H212" s="47" t="str">
        <f t="shared" si="7"/>
        <v>BUDGAM</v>
      </c>
      <c r="I212" s="47" t="s">
        <v>7208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7206</v>
      </c>
      <c r="C213" s="47" t="s">
        <v>7204</v>
      </c>
      <c r="D213" s="47" t="s">
        <v>7205</v>
      </c>
      <c r="E213" s="47" t="s">
        <v>7203</v>
      </c>
      <c r="F213" s="47" t="s">
        <v>3130</v>
      </c>
      <c r="G213" s="47" t="s">
        <v>6475</v>
      </c>
      <c r="H213" s="47" t="str">
        <f t="shared" si="7"/>
        <v>BUDGAM</v>
      </c>
      <c r="I213" s="47" t="s">
        <v>7209</v>
      </c>
      <c r="J213" s="48">
        <v>46008</v>
      </c>
      <c r="K213" s="47">
        <v>7006565352</v>
      </c>
      <c r="L213" s="47" t="s">
        <v>70</v>
      </c>
      <c r="M213" s="49" t="s">
        <v>6850</v>
      </c>
      <c r="N213" s="48">
        <v>46009</v>
      </c>
      <c r="O213" s="47" t="s">
        <v>23</v>
      </c>
      <c r="P213" s="50">
        <v>46008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7242</v>
      </c>
      <c r="C215" s="47" t="s">
        <v>7239</v>
      </c>
      <c r="D215" s="47" t="s">
        <v>7240</v>
      </c>
      <c r="E215" s="47" t="s">
        <v>7241</v>
      </c>
      <c r="F215" s="47" t="s">
        <v>119</v>
      </c>
      <c r="G215" s="47" t="s">
        <v>200</v>
      </c>
      <c r="H215" s="47" t="str">
        <f t="shared" si="7"/>
        <v>PULWAMA</v>
      </c>
      <c r="I215" s="47" t="s">
        <v>7259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7265</v>
      </c>
      <c r="C217" s="47" t="s">
        <v>7266</v>
      </c>
      <c r="D217" s="47" t="s">
        <v>7267</v>
      </c>
      <c r="E217" s="47" t="s">
        <v>7268</v>
      </c>
      <c r="F217" s="47" t="s">
        <v>119</v>
      </c>
      <c r="G217" s="47" t="s">
        <v>175</v>
      </c>
      <c r="H217" s="47" t="str">
        <f t="shared" si="7"/>
        <v>SHOPIAN</v>
      </c>
      <c r="I217" s="47" t="s">
        <v>7269</v>
      </c>
      <c r="J217" s="48">
        <v>46009</v>
      </c>
      <c r="K217" s="47">
        <v>9103369022</v>
      </c>
      <c r="L217" s="47" t="s">
        <v>6570</v>
      </c>
      <c r="M217" s="49" t="s">
        <v>7294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7276</v>
      </c>
      <c r="C218" s="47" t="s">
        <v>7273</v>
      </c>
      <c r="D218" s="47" t="s">
        <v>7274</v>
      </c>
      <c r="E218" s="47" t="s">
        <v>7275</v>
      </c>
      <c r="F218" s="47" t="s">
        <v>31</v>
      </c>
      <c r="G218" s="47" t="s">
        <v>200</v>
      </c>
      <c r="H218" s="47" t="str">
        <f t="shared" si="7"/>
        <v>SHOPIAN</v>
      </c>
      <c r="I218" s="47" t="s">
        <v>7277</v>
      </c>
      <c r="J218" s="48">
        <v>46009</v>
      </c>
      <c r="K218" s="47">
        <v>7006865316</v>
      </c>
      <c r="L218" s="47" t="s">
        <v>6521</v>
      </c>
      <c r="M218" s="49" t="s">
        <v>7672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7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 t="shared" si="7"/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7299</v>
      </c>
      <c r="C222" s="47" t="s">
        <v>7295</v>
      </c>
      <c r="D222" s="47" t="s">
        <v>7296</v>
      </c>
      <c r="E222" s="47" t="s">
        <v>7297</v>
      </c>
      <c r="F222" s="47" t="s">
        <v>31</v>
      </c>
      <c r="G222" s="47" t="s">
        <v>200</v>
      </c>
      <c r="H222" s="47" t="str">
        <f t="shared" si="7"/>
        <v>SRINAGAR</v>
      </c>
      <c r="I222" s="47" t="s">
        <v>7298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6"/>
        <v>222</v>
      </c>
      <c r="B223" s="47" t="s">
        <v>7304</v>
      </c>
      <c r="C223" s="47" t="s">
        <v>7301</v>
      </c>
      <c r="D223" s="47" t="s">
        <v>7302</v>
      </c>
      <c r="E223" s="47" t="s">
        <v>7303</v>
      </c>
      <c r="F223" s="47" t="s">
        <v>125</v>
      </c>
      <c r="G223" s="47" t="s">
        <v>200</v>
      </c>
      <c r="H223" s="47" t="str">
        <f t="shared" si="7"/>
        <v>SRINAGAR</v>
      </c>
      <c r="I223" s="47" t="s">
        <v>7300</v>
      </c>
      <c r="J223" s="48">
        <v>46010</v>
      </c>
      <c r="K223" s="47">
        <v>9797271333</v>
      </c>
      <c r="L223" s="47" t="s">
        <v>6451</v>
      </c>
      <c r="M223" s="49" t="s">
        <v>8239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7282</v>
      </c>
      <c r="C224" s="47" t="s">
        <v>7283</v>
      </c>
      <c r="D224" s="47" t="s">
        <v>7284</v>
      </c>
      <c r="E224" s="47" t="s">
        <v>7285</v>
      </c>
      <c r="F224" s="47" t="s">
        <v>67</v>
      </c>
      <c r="G224" s="47" t="s">
        <v>174</v>
      </c>
      <c r="H224" s="47" t="str">
        <f t="shared" si="7"/>
        <v>PULWAMA</v>
      </c>
      <c r="I224" s="47" t="s">
        <v>7291</v>
      </c>
      <c r="J224" s="48">
        <v>46010</v>
      </c>
      <c r="K224" s="47">
        <v>9419032432</v>
      </c>
      <c r="L224" s="47" t="s">
        <v>6521</v>
      </c>
      <c r="M224" s="49" t="s">
        <v>7672</v>
      </c>
      <c r="N224" s="48">
        <v>46021</v>
      </c>
      <c r="O224" s="47"/>
      <c r="P224" s="50"/>
      <c r="Q224" s="47"/>
      <c r="R224" s="47" t="s">
        <v>7293</v>
      </c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7342</v>
      </c>
      <c r="C226" s="47" t="s">
        <v>7343</v>
      </c>
      <c r="D226" s="47" t="s">
        <v>7344</v>
      </c>
      <c r="E226" s="47" t="s">
        <v>7345</v>
      </c>
      <c r="F226" s="47" t="s">
        <v>101</v>
      </c>
      <c r="G226" s="47" t="s">
        <v>200</v>
      </c>
      <c r="H226" s="47" t="str">
        <f t="shared" si="7"/>
        <v>SRINAGAR</v>
      </c>
      <c r="I226" s="47" t="s">
        <v>7347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7313</v>
      </c>
      <c r="C229" s="47" t="s">
        <v>7310</v>
      </c>
      <c r="D229" s="47" t="s">
        <v>7311</v>
      </c>
      <c r="E229" s="47" t="s">
        <v>7312</v>
      </c>
      <c r="F229" s="47" t="s">
        <v>238</v>
      </c>
      <c r="G229" s="47" t="s">
        <v>200</v>
      </c>
      <c r="H229" s="47" t="str">
        <f t="shared" si="7"/>
        <v>PULWAMA</v>
      </c>
      <c r="I229" s="47" t="s">
        <v>7320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7322</v>
      </c>
      <c r="C230" s="47" t="s">
        <v>7323</v>
      </c>
      <c r="D230" s="47" t="s">
        <v>7324</v>
      </c>
      <c r="E230" s="47" t="s">
        <v>7330</v>
      </c>
      <c r="F230" s="47" t="s">
        <v>193</v>
      </c>
      <c r="G230" s="47" t="s">
        <v>200</v>
      </c>
      <c r="H230" s="47" t="str">
        <f t="shared" si="7"/>
        <v>NEW</v>
      </c>
      <c r="I230" s="47" t="s">
        <v>7331</v>
      </c>
      <c r="J230" s="48">
        <v>46011</v>
      </c>
      <c r="K230" s="47">
        <v>9596209114</v>
      </c>
      <c r="L230" s="47" t="s">
        <v>2172</v>
      </c>
      <c r="M230" s="49" t="s">
        <v>7617</v>
      </c>
      <c r="N230" s="48">
        <v>46017</v>
      </c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7357</v>
      </c>
      <c r="C232" s="47" t="s">
        <v>7354</v>
      </c>
      <c r="D232" s="47" t="s">
        <v>7355</v>
      </c>
      <c r="E232" s="47" t="s">
        <v>7356</v>
      </c>
      <c r="F232" s="47" t="s">
        <v>6546</v>
      </c>
      <c r="G232" s="47" t="s">
        <v>6475</v>
      </c>
      <c r="H232" s="47" t="str">
        <f t="shared" si="7"/>
        <v>SRINAGAR</v>
      </c>
      <c r="I232" s="47" t="s">
        <v>7375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7362</v>
      </c>
      <c r="C233" s="47" t="s">
        <v>7363</v>
      </c>
      <c r="D233" s="47" t="s">
        <v>7364</v>
      </c>
      <c r="E233" s="47" t="s">
        <v>7365</v>
      </c>
      <c r="F233" s="47" t="s">
        <v>7366</v>
      </c>
      <c r="G233" s="47" t="s">
        <v>199</v>
      </c>
      <c r="H233" s="47" t="str">
        <f t="shared" si="7"/>
        <v>SRINAGAR</v>
      </c>
      <c r="I233" s="47" t="s">
        <v>7376</v>
      </c>
      <c r="J233" s="48">
        <v>46012</v>
      </c>
      <c r="K233" s="47">
        <v>7780927793</v>
      </c>
      <c r="L233" s="47" t="s">
        <v>551</v>
      </c>
      <c r="M233" s="49" t="s">
        <v>7455</v>
      </c>
      <c r="N233" s="48">
        <v>46015</v>
      </c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7350</v>
      </c>
      <c r="C234" s="47" t="s">
        <v>7351</v>
      </c>
      <c r="D234" s="47" t="s">
        <v>7352</v>
      </c>
      <c r="E234" s="47" t="s">
        <v>7353</v>
      </c>
      <c r="F234" s="47" t="s">
        <v>119</v>
      </c>
      <c r="G234" s="47" t="s">
        <v>200</v>
      </c>
      <c r="H234" s="47" t="str">
        <f t="shared" si="7"/>
        <v>KUPWARA</v>
      </c>
      <c r="I234" s="47" t="s">
        <v>7374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7371</v>
      </c>
      <c r="C235" s="47" t="s">
        <v>7372</v>
      </c>
      <c r="D235" s="47" t="s">
        <v>7373</v>
      </c>
      <c r="E235" s="47" t="s">
        <v>5598</v>
      </c>
      <c r="F235" s="47" t="s">
        <v>3130</v>
      </c>
      <c r="G235" s="47" t="s">
        <v>6475</v>
      </c>
      <c r="H235" s="47" t="str">
        <f t="shared" si="7"/>
        <v>PULWAMA</v>
      </c>
      <c r="I235" s="47" t="s">
        <v>7377</v>
      </c>
      <c r="J235" s="48">
        <v>46012</v>
      </c>
      <c r="K235" s="47">
        <v>6006619660</v>
      </c>
      <c r="L235" s="47" t="s">
        <v>6807</v>
      </c>
      <c r="M235" s="49" t="s">
        <v>8223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7358</v>
      </c>
      <c r="C237" s="47" t="s">
        <v>7359</v>
      </c>
      <c r="D237" s="47" t="s">
        <v>7360</v>
      </c>
      <c r="E237" s="47" t="s">
        <v>7361</v>
      </c>
      <c r="F237" s="47" t="s">
        <v>238</v>
      </c>
      <c r="G237" s="47" t="s">
        <v>200</v>
      </c>
      <c r="H237" s="47" t="str">
        <f t="shared" si="7"/>
        <v>PULWAMA</v>
      </c>
      <c r="I237" s="47" t="s">
        <v>7379</v>
      </c>
      <c r="J237" s="48">
        <v>46012</v>
      </c>
      <c r="K237" s="47">
        <v>6005579912</v>
      </c>
      <c r="L237" s="47" t="s">
        <v>7238</v>
      </c>
      <c r="M237" s="49"/>
      <c r="N237" s="48"/>
      <c r="O237" s="47" t="s">
        <v>23</v>
      </c>
      <c r="P237" s="50">
        <v>46018</v>
      </c>
      <c r="Q237" s="47" t="s">
        <v>6460</v>
      </c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7402</v>
      </c>
      <c r="C239" s="47" t="s">
        <v>7398</v>
      </c>
      <c r="D239" s="47" t="s">
        <v>7399</v>
      </c>
      <c r="E239" s="47" t="s">
        <v>7400</v>
      </c>
      <c r="F239" s="47" t="s">
        <v>7401</v>
      </c>
      <c r="G239" s="47" t="s">
        <v>200</v>
      </c>
      <c r="H239" s="47" t="str">
        <f t="shared" si="7"/>
        <v>SRINAGAR</v>
      </c>
      <c r="I239" s="47" t="s">
        <v>7404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7415</v>
      </c>
      <c r="C240" s="47" t="s">
        <v>7412</v>
      </c>
      <c r="D240" s="47" t="s">
        <v>7413</v>
      </c>
      <c r="E240" s="47" t="s">
        <v>7414</v>
      </c>
      <c r="F240" s="47" t="s">
        <v>101</v>
      </c>
      <c r="G240" s="47" t="s">
        <v>199</v>
      </c>
      <c r="H240" s="47" t="str">
        <f t="shared" si="7"/>
        <v>SRINAGAR</v>
      </c>
      <c r="I240" s="47" t="s">
        <v>7420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7397</v>
      </c>
      <c r="C242" s="47" t="s">
        <v>7393</v>
      </c>
      <c r="D242" s="47" t="s">
        <v>7394</v>
      </c>
      <c r="E242" s="47" t="s">
        <v>7395</v>
      </c>
      <c r="F242" s="47" t="s">
        <v>12</v>
      </c>
      <c r="G242" s="47" t="s">
        <v>200</v>
      </c>
      <c r="H242" s="47" t="str">
        <f t="shared" si="7"/>
        <v>JAMMU</v>
      </c>
      <c r="I242" s="47" t="s">
        <v>7396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6"/>
        <v>242</v>
      </c>
      <c r="B243" s="47" t="s">
        <v>7389</v>
      </c>
      <c r="C243" s="47" t="s">
        <v>7390</v>
      </c>
      <c r="D243" s="47" t="s">
        <v>7391</v>
      </c>
      <c r="E243" s="47" t="s">
        <v>7392</v>
      </c>
      <c r="F243" s="47" t="s">
        <v>12</v>
      </c>
      <c r="G243" s="47" t="s">
        <v>181</v>
      </c>
      <c r="H243" s="47" t="str">
        <f t="shared" si="7"/>
        <v>BUDGAM</v>
      </c>
      <c r="I243" s="47" t="s">
        <v>7403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7411</v>
      </c>
      <c r="C244" s="47" t="s">
        <v>7408</v>
      </c>
      <c r="D244" s="47" t="s">
        <v>7409</v>
      </c>
      <c r="E244" s="47" t="s">
        <v>7410</v>
      </c>
      <c r="F244" s="47" t="s">
        <v>12</v>
      </c>
      <c r="G244" s="47" t="s">
        <v>200</v>
      </c>
      <c r="H244" s="47" t="str">
        <f t="shared" si="7"/>
        <v>KUPWARA</v>
      </c>
      <c r="I244" s="47" t="s">
        <v>7419</v>
      </c>
      <c r="J244" s="48">
        <v>46013</v>
      </c>
      <c r="K244" s="47">
        <v>8899080830</v>
      </c>
      <c r="L244" s="47" t="s">
        <v>307</v>
      </c>
      <c r="M244" s="49"/>
      <c r="N244" s="48"/>
      <c r="O244" s="47" t="s">
        <v>23</v>
      </c>
      <c r="P244" s="50">
        <v>46014</v>
      </c>
      <c r="Q244" s="47" t="s">
        <v>6460</v>
      </c>
      <c r="R244" s="47" t="s">
        <v>8650</v>
      </c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7433</v>
      </c>
      <c r="C246" s="47" t="s">
        <v>7434</v>
      </c>
      <c r="D246" s="47" t="s">
        <v>7435</v>
      </c>
      <c r="E246" s="47" t="s">
        <v>7436</v>
      </c>
      <c r="F246" s="47" t="s">
        <v>12</v>
      </c>
      <c r="G246" s="47" t="s">
        <v>226</v>
      </c>
      <c r="H246" s="47" t="str">
        <f t="shared" si="7"/>
        <v>SRINAGAR</v>
      </c>
      <c r="I246" s="47" t="s">
        <v>7440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7432</v>
      </c>
      <c r="C247" s="47" t="s">
        <v>7429</v>
      </c>
      <c r="D247" s="47" t="s">
        <v>7430</v>
      </c>
      <c r="E247" s="47" t="s">
        <v>7431</v>
      </c>
      <c r="F247" s="47" t="s">
        <v>12</v>
      </c>
      <c r="G247" s="47" t="s">
        <v>181</v>
      </c>
      <c r="H247" s="47" t="str">
        <f t="shared" si="7"/>
        <v>BUDGAM</v>
      </c>
      <c r="I247" s="47" t="s">
        <v>7437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7483</v>
      </c>
      <c r="C250" s="47" t="s">
        <v>7475</v>
      </c>
      <c r="D250" s="47" t="s">
        <v>7497</v>
      </c>
      <c r="E250" s="47" t="s">
        <v>7467</v>
      </c>
      <c r="F250" s="47" t="s">
        <v>5</v>
      </c>
      <c r="G250" s="47" t="s">
        <v>200</v>
      </c>
      <c r="H250" s="47" t="str">
        <f t="shared" si="7"/>
        <v>SRINAGAR</v>
      </c>
      <c r="I250" s="47" t="s">
        <v>7493</v>
      </c>
      <c r="J250" s="48">
        <v>46015</v>
      </c>
      <c r="K250" s="47">
        <v>9541622336</v>
      </c>
      <c r="L250" s="47" t="s">
        <v>18</v>
      </c>
      <c r="M250" s="49" t="s">
        <v>7614</v>
      </c>
      <c r="N250" s="48">
        <v>46024</v>
      </c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7481</v>
      </c>
      <c r="C251" s="47" t="s">
        <v>7473</v>
      </c>
      <c r="D251" s="47" t="s">
        <v>7496</v>
      </c>
      <c r="E251" s="47" t="s">
        <v>7465</v>
      </c>
      <c r="F251" s="47" t="s">
        <v>7485</v>
      </c>
      <c r="G251" s="47" t="s">
        <v>199</v>
      </c>
      <c r="H251" s="47" t="str">
        <f t="shared" si="7"/>
        <v>SRINAGAR</v>
      </c>
      <c r="I251" s="47" t="s">
        <v>7491</v>
      </c>
      <c r="J251" s="48">
        <v>46015</v>
      </c>
      <c r="K251" s="47">
        <v>9149877765</v>
      </c>
      <c r="L251" s="47" t="s">
        <v>6451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7479</v>
      </c>
      <c r="C253" s="47" t="s">
        <v>7471</v>
      </c>
      <c r="D253" s="47" t="s">
        <v>7498</v>
      </c>
      <c r="E253" s="47" t="s">
        <v>7463</v>
      </c>
      <c r="F253" s="47" t="s">
        <v>100</v>
      </c>
      <c r="G253" s="47" t="s">
        <v>200</v>
      </c>
      <c r="H253" s="47" t="str">
        <f t="shared" si="7"/>
        <v>BUDGAM</v>
      </c>
      <c r="I253" s="47" t="s">
        <v>7489</v>
      </c>
      <c r="J253" s="48">
        <v>46015</v>
      </c>
      <c r="K253" s="47">
        <v>7889383674</v>
      </c>
      <c r="L253" s="47" t="s">
        <v>48</v>
      </c>
      <c r="M253" s="49" t="s">
        <v>7775</v>
      </c>
      <c r="N253" s="48">
        <v>46022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7443</v>
      </c>
      <c r="C254" s="47" t="s">
        <v>7444</v>
      </c>
      <c r="D254" s="47" t="s">
        <v>7445</v>
      </c>
      <c r="E254" s="47" t="s">
        <v>7446</v>
      </c>
      <c r="F254" s="47" t="s">
        <v>100</v>
      </c>
      <c r="G254" s="44" t="s">
        <v>174</v>
      </c>
      <c r="H254" s="47" t="str">
        <f t="shared" si="7"/>
        <v>BUDGAM</v>
      </c>
      <c r="I254" s="47" t="s">
        <v>7456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7478</v>
      </c>
      <c r="C255" s="47" t="s">
        <v>7470</v>
      </c>
      <c r="D255" s="47" t="s">
        <v>7520</v>
      </c>
      <c r="E255" s="47" t="s">
        <v>7462</v>
      </c>
      <c r="F255" s="47" t="s">
        <v>125</v>
      </c>
      <c r="G255" s="47" t="s">
        <v>175</v>
      </c>
      <c r="H255" s="47" t="str">
        <f t="shared" si="7"/>
        <v>BUDGAM</v>
      </c>
      <c r="I255" s="47" t="s">
        <v>7488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6460</v>
      </c>
      <c r="R255" s="47"/>
    </row>
    <row r="256" spans="1:18" x14ac:dyDescent="0.25">
      <c r="A256" s="47">
        <f t="shared" si="6"/>
        <v>255</v>
      </c>
      <c r="B256" s="47" t="s">
        <v>7477</v>
      </c>
      <c r="C256" s="47" t="s">
        <v>7469</v>
      </c>
      <c r="D256" s="47" t="s">
        <v>7495</v>
      </c>
      <c r="E256" s="47" t="s">
        <v>7461</v>
      </c>
      <c r="F256" s="47" t="s">
        <v>7484</v>
      </c>
      <c r="G256" s="47" t="s">
        <v>199</v>
      </c>
      <c r="H256" s="47" t="str">
        <f t="shared" si="7"/>
        <v>BARAMULLA</v>
      </c>
      <c r="I256" s="47" t="s">
        <v>7487</v>
      </c>
      <c r="J256" s="48">
        <v>46015</v>
      </c>
      <c r="K256" s="47">
        <v>9906539681</v>
      </c>
      <c r="L256" s="47" t="s">
        <v>106</v>
      </c>
      <c r="M256" s="49" t="s">
        <v>8094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7476</v>
      </c>
      <c r="C257" s="47" t="s">
        <v>7468</v>
      </c>
      <c r="D257" s="47" t="s">
        <v>7515</v>
      </c>
      <c r="E257" s="47" t="s">
        <v>7460</v>
      </c>
      <c r="F257" s="47" t="s">
        <v>67</v>
      </c>
      <c r="G257" s="47" t="s">
        <v>200</v>
      </c>
      <c r="H257" s="47" t="str">
        <f t="shared" si="7"/>
        <v>BARAMULLA</v>
      </c>
      <c r="I257" s="47" t="s">
        <v>7486</v>
      </c>
      <c r="J257" s="48">
        <v>46015</v>
      </c>
      <c r="K257" s="47">
        <v>9596022327</v>
      </c>
      <c r="L257" s="47" t="s">
        <v>6683</v>
      </c>
      <c r="M257" s="49" t="s">
        <v>8017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si="9"/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7527</v>
      </c>
      <c r="C260" s="47" t="s">
        <v>7523</v>
      </c>
      <c r="D260" s="47" t="s">
        <v>7524</v>
      </c>
      <c r="E260" s="47" t="s">
        <v>7525</v>
      </c>
      <c r="F260" s="47" t="s">
        <v>67</v>
      </c>
      <c r="G260" s="47" t="s">
        <v>199</v>
      </c>
      <c r="H260" s="47" t="str">
        <f t="shared" si="9"/>
        <v>SRINAGAR</v>
      </c>
      <c r="I260" s="47" t="s">
        <v>7526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 t="shared" si="8"/>
        <v>260</v>
      </c>
      <c r="B261" s="47" t="s">
        <v>7499</v>
      </c>
      <c r="C261" s="47" t="s">
        <v>7500</v>
      </c>
      <c r="D261" s="47" t="s">
        <v>7501</v>
      </c>
      <c r="E261" s="47" t="s">
        <v>7502</v>
      </c>
      <c r="F261" s="47" t="s">
        <v>119</v>
      </c>
      <c r="G261" s="47" t="s">
        <v>174</v>
      </c>
      <c r="H261" s="47" t="str">
        <f t="shared" si="9"/>
        <v>BUDGAM</v>
      </c>
      <c r="I261" s="47" t="s">
        <v>7516</v>
      </c>
      <c r="J261" s="48">
        <v>46016</v>
      </c>
      <c r="K261" s="47">
        <v>6005068829</v>
      </c>
      <c r="L261" s="47" t="s">
        <v>194</v>
      </c>
      <c r="M261" s="49" t="s">
        <v>7595</v>
      </c>
      <c r="N261" s="48">
        <v>46017</v>
      </c>
      <c r="O261" s="47" t="s">
        <v>23</v>
      </c>
      <c r="P261" s="50">
        <v>46016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7503</v>
      </c>
      <c r="C262" s="47" t="s">
        <v>7504</v>
      </c>
      <c r="D262" s="47" t="s">
        <v>7505</v>
      </c>
      <c r="E262" s="47" t="s">
        <v>7506</v>
      </c>
      <c r="F262" s="47" t="s">
        <v>5</v>
      </c>
      <c r="G262" s="47" t="s">
        <v>200</v>
      </c>
      <c r="H262" s="47" t="str">
        <f t="shared" si="9"/>
        <v>BUDGAM</v>
      </c>
      <c r="I262" s="47" t="s">
        <v>7517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7511</v>
      </c>
      <c r="C264" s="47" t="s">
        <v>7512</v>
      </c>
      <c r="D264" s="47" t="s">
        <v>7513</v>
      </c>
      <c r="E264" s="47" t="s">
        <v>7514</v>
      </c>
      <c r="F264" s="47" t="s">
        <v>12</v>
      </c>
      <c r="G264" s="47" t="s">
        <v>181</v>
      </c>
      <c r="H264" s="47" t="str">
        <f t="shared" si="9"/>
        <v>PULWAMA</v>
      </c>
      <c r="I264" s="47" t="s">
        <v>7519</v>
      </c>
      <c r="J264" s="48">
        <v>46016</v>
      </c>
      <c r="K264" s="47">
        <v>8825024324</v>
      </c>
      <c r="L264" s="47" t="s">
        <v>6521</v>
      </c>
      <c r="M264" s="49" t="s">
        <v>7715</v>
      </c>
      <c r="N264" s="48">
        <v>46042</v>
      </c>
      <c r="O264" s="47"/>
      <c r="P264" s="50"/>
      <c r="Q264" s="47"/>
      <c r="R264" s="47" t="s">
        <v>7521</v>
      </c>
    </row>
    <row r="265" spans="1:18" x14ac:dyDescent="0.25">
      <c r="A265" s="47">
        <f t="shared" si="8"/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9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7573</v>
      </c>
      <c r="C269" s="47" t="s">
        <v>7575</v>
      </c>
      <c r="D269" s="47" t="s">
        <v>7576</v>
      </c>
      <c r="E269" s="47" t="s">
        <v>7574</v>
      </c>
      <c r="F269" s="47" t="s">
        <v>7577</v>
      </c>
      <c r="G269" s="47" t="s">
        <v>6475</v>
      </c>
      <c r="H269" s="47" t="str">
        <f t="shared" si="9"/>
        <v>SRINAGAR</v>
      </c>
      <c r="I269" s="47" t="s">
        <v>7591</v>
      </c>
      <c r="J269" s="48">
        <v>46017</v>
      </c>
      <c r="K269" s="47">
        <v>9419002237</v>
      </c>
      <c r="L269" s="47" t="s">
        <v>106</v>
      </c>
      <c r="M269" s="49" t="s">
        <v>7601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7578</v>
      </c>
      <c r="C270" s="47" t="s">
        <v>7579</v>
      </c>
      <c r="D270" s="47" t="s">
        <v>7580</v>
      </c>
      <c r="E270" s="47" t="s">
        <v>7581</v>
      </c>
      <c r="F270" s="47" t="s">
        <v>290</v>
      </c>
      <c r="G270" s="47" t="s">
        <v>175</v>
      </c>
      <c r="H270" s="47" t="str">
        <f t="shared" si="9"/>
        <v>SRINAGAR</v>
      </c>
      <c r="I270" s="47" t="s">
        <v>7592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7612</v>
      </c>
      <c r="C271" s="47" t="s">
        <v>7606</v>
      </c>
      <c r="D271" s="47" t="s">
        <v>7607</v>
      </c>
      <c r="E271" s="47" t="s">
        <v>7608</v>
      </c>
      <c r="F271" s="47" t="s">
        <v>31</v>
      </c>
      <c r="G271" s="47" t="s">
        <v>200</v>
      </c>
      <c r="H271" s="47" t="str">
        <f t="shared" si="9"/>
        <v>SRINAGAR</v>
      </c>
      <c r="I271" s="47" t="s">
        <v>7609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7561</v>
      </c>
      <c r="C273" s="47" t="s">
        <v>7562</v>
      </c>
      <c r="D273" s="47" t="s">
        <v>7563</v>
      </c>
      <c r="E273" s="47" t="s">
        <v>7564</v>
      </c>
      <c r="F273" s="47" t="s">
        <v>31</v>
      </c>
      <c r="G273" s="47" t="s">
        <v>174</v>
      </c>
      <c r="H273" s="47" t="str">
        <f t="shared" si="9"/>
        <v>BARAMULLA</v>
      </c>
      <c r="I273" s="47" t="s">
        <v>7590</v>
      </c>
      <c r="J273" s="48">
        <v>46017</v>
      </c>
      <c r="K273" s="47">
        <v>9906918176</v>
      </c>
      <c r="L273" s="47" t="s">
        <v>26</v>
      </c>
      <c r="M273" s="49" t="s">
        <v>7616</v>
      </c>
      <c r="N273" s="48">
        <v>46017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7638</v>
      </c>
      <c r="C277" s="47" t="s">
        <v>7639</v>
      </c>
      <c r="D277" s="47" t="s">
        <v>7640</v>
      </c>
      <c r="E277" s="47" t="s">
        <v>7641</v>
      </c>
      <c r="F277" s="47" t="s">
        <v>5104</v>
      </c>
      <c r="G277" s="47" t="s">
        <v>174</v>
      </c>
      <c r="H277" s="47" t="str">
        <f t="shared" si="9"/>
        <v>SRINAGAR</v>
      </c>
      <c r="I277" s="47" t="s">
        <v>7651</v>
      </c>
      <c r="J277" s="48">
        <v>46018</v>
      </c>
      <c r="K277" s="47">
        <v>7006141977</v>
      </c>
      <c r="L277" s="47" t="s">
        <v>1126</v>
      </c>
      <c r="M277" s="49" t="s">
        <v>7700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7645</v>
      </c>
      <c r="C279" s="47" t="s">
        <v>7642</v>
      </c>
      <c r="D279" s="47" t="s">
        <v>7643</v>
      </c>
      <c r="E279" s="47" t="s">
        <v>7644</v>
      </c>
      <c r="F279" s="47" t="s">
        <v>12</v>
      </c>
      <c r="G279" s="47" t="s">
        <v>200</v>
      </c>
      <c r="H279" s="47" t="str">
        <f t="shared" si="9"/>
        <v>SRINAGAR</v>
      </c>
      <c r="I279" s="47" t="s">
        <v>7650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8"/>
        <v>279</v>
      </c>
      <c r="B280" s="47" t="s">
        <v>7646</v>
      </c>
      <c r="C280" s="47" t="s">
        <v>7647</v>
      </c>
      <c r="D280" s="47" t="s">
        <v>7648</v>
      </c>
      <c r="E280" s="47" t="s">
        <v>7649</v>
      </c>
      <c r="F280" s="47" t="s">
        <v>12</v>
      </c>
      <c r="G280" s="47" t="s">
        <v>200</v>
      </c>
      <c r="H280" s="47" t="str">
        <f t="shared" si="9"/>
        <v>BUDGAM</v>
      </c>
      <c r="I280" s="47" t="s">
        <v>7652</v>
      </c>
      <c r="J280" s="48">
        <v>46018</v>
      </c>
      <c r="K280" s="47">
        <v>9622678196</v>
      </c>
      <c r="L280" s="47" t="s">
        <v>3926</v>
      </c>
      <c r="M280" s="49" t="s">
        <v>7454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7667</v>
      </c>
      <c r="C282" s="47" t="s">
        <v>7658</v>
      </c>
      <c r="D282" s="47" t="s">
        <v>7659</v>
      </c>
      <c r="E282" s="47" t="s">
        <v>7660</v>
      </c>
      <c r="F282" s="47" t="s">
        <v>31</v>
      </c>
      <c r="G282" s="47" t="s">
        <v>200</v>
      </c>
      <c r="H282" s="47" t="str">
        <f t="shared" si="9"/>
        <v>PULWAMA</v>
      </c>
      <c r="I282" s="47" t="s">
        <v>7661</v>
      </c>
      <c r="J282" s="48">
        <v>46018</v>
      </c>
      <c r="K282" s="47">
        <v>9622531795</v>
      </c>
      <c r="L282" s="47" t="s">
        <v>26</v>
      </c>
      <c r="M282" s="49" t="s">
        <v>7616</v>
      </c>
      <c r="N282" s="48">
        <v>46032</v>
      </c>
      <c r="O282" s="47" t="s">
        <v>23</v>
      </c>
      <c r="P282" s="50">
        <v>46018</v>
      </c>
      <c r="Q282" s="47" t="s">
        <v>6460</v>
      </c>
      <c r="R282" s="47"/>
    </row>
    <row r="283" spans="1:18" x14ac:dyDescent="0.25">
      <c r="A283" s="47">
        <f t="shared" si="8"/>
        <v>282</v>
      </c>
      <c r="B283" s="47" t="s">
        <v>7666</v>
      </c>
      <c r="C283" s="47" t="s">
        <v>7662</v>
      </c>
      <c r="D283" s="47" t="s">
        <v>7663</v>
      </c>
      <c r="E283" s="47" t="s">
        <v>7665</v>
      </c>
      <c r="F283" s="47" t="s">
        <v>31</v>
      </c>
      <c r="G283" s="47" t="s">
        <v>175</v>
      </c>
      <c r="H283" s="47" t="str">
        <f t="shared" si="9"/>
        <v>PULWAMA</v>
      </c>
      <c r="I283" s="47" t="s">
        <v>7664</v>
      </c>
      <c r="J283" s="48">
        <v>46018</v>
      </c>
      <c r="K283" s="47">
        <v>8715028576</v>
      </c>
      <c r="L283" s="47" t="s">
        <v>6451</v>
      </c>
      <c r="M283" s="49" t="s">
        <v>7453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7628</v>
      </c>
      <c r="C284" s="47" t="s">
        <v>7629</v>
      </c>
      <c r="D284" s="47" t="s">
        <v>7630</v>
      </c>
      <c r="E284" s="47" t="s">
        <v>7631</v>
      </c>
      <c r="F284" s="47" t="s">
        <v>67</v>
      </c>
      <c r="G284" s="47" t="s">
        <v>181</v>
      </c>
      <c r="H284" s="47" t="str">
        <f t="shared" si="9"/>
        <v>PULWAMA</v>
      </c>
      <c r="I284" s="47" t="s">
        <v>7636</v>
      </c>
      <c r="J284" s="48">
        <v>46018</v>
      </c>
      <c r="K284" s="47">
        <v>9906687592</v>
      </c>
      <c r="L284" s="47" t="s">
        <v>26</v>
      </c>
      <c r="M284" s="49" t="s">
        <v>7616</v>
      </c>
      <c r="N284" s="48">
        <v>46023</v>
      </c>
      <c r="O284" s="47" t="s">
        <v>23</v>
      </c>
      <c r="P284" s="50">
        <v>46018</v>
      </c>
      <c r="Q284" s="47" t="s">
        <v>6460</v>
      </c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7713</v>
      </c>
      <c r="C286" s="47" t="s">
        <v>7708</v>
      </c>
      <c r="D286" s="47" t="s">
        <v>7709</v>
      </c>
      <c r="E286" s="47" t="s">
        <v>7710</v>
      </c>
      <c r="F286" s="47" t="s">
        <v>7711</v>
      </c>
      <c r="G286" s="47" t="s">
        <v>200</v>
      </c>
      <c r="H286" s="47" t="str">
        <f t="shared" si="9"/>
        <v>NEW</v>
      </c>
      <c r="I286" s="47" t="s">
        <v>8016</v>
      </c>
      <c r="J286" s="48">
        <v>46020</v>
      </c>
      <c r="K286" s="47">
        <v>9622020576</v>
      </c>
      <c r="L286" s="47" t="s">
        <v>7712</v>
      </c>
      <c r="M286" s="49" t="s">
        <v>8124</v>
      </c>
      <c r="N286" s="48">
        <v>46028</v>
      </c>
      <c r="O286" s="47" t="s">
        <v>23</v>
      </c>
      <c r="P286" s="50">
        <v>46028</v>
      </c>
      <c r="Q286" s="47" t="s">
        <v>6460</v>
      </c>
      <c r="R286" s="47"/>
    </row>
    <row r="287" spans="1:18" x14ac:dyDescent="0.25">
      <c r="A287" s="47">
        <f t="shared" si="8"/>
        <v>286</v>
      </c>
      <c r="B287" s="47" t="s">
        <v>7722</v>
      </c>
      <c r="C287" s="47" t="s">
        <v>7723</v>
      </c>
      <c r="D287" s="47" t="s">
        <v>7724</v>
      </c>
      <c r="E287" s="47" t="s">
        <v>6772</v>
      </c>
      <c r="F287" s="47" t="s">
        <v>119</v>
      </c>
      <c r="G287" s="47" t="s">
        <v>200</v>
      </c>
      <c r="H287" s="47" t="str">
        <f t="shared" si="9"/>
        <v>SRINAGAR</v>
      </c>
      <c r="I287" s="47" t="s">
        <v>7729</v>
      </c>
      <c r="J287" s="48">
        <v>46020</v>
      </c>
      <c r="K287" s="47">
        <v>7006274587</v>
      </c>
      <c r="L287" s="47" t="s">
        <v>6807</v>
      </c>
      <c r="M287" s="49" t="s">
        <v>8173</v>
      </c>
      <c r="N287" s="48">
        <v>46029</v>
      </c>
      <c r="O287" s="47" t="s">
        <v>23</v>
      </c>
      <c r="P287" s="50">
        <v>46029</v>
      </c>
      <c r="Q287" s="47" t="s">
        <v>6460</v>
      </c>
      <c r="R287" s="47" t="s">
        <v>8123</v>
      </c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9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8"/>
        <v>292</v>
      </c>
      <c r="B293" s="47" t="s">
        <v>7739</v>
      </c>
      <c r="C293" s="47" t="s">
        <v>7740</v>
      </c>
      <c r="D293" s="47" t="s">
        <v>7741</v>
      </c>
      <c r="E293" s="47" t="s">
        <v>7742</v>
      </c>
      <c r="F293" s="47" t="s">
        <v>119</v>
      </c>
      <c r="G293" s="47" t="s">
        <v>200</v>
      </c>
      <c r="H293" s="47" t="str">
        <f t="shared" si="9"/>
        <v>BUDGAM</v>
      </c>
      <c r="I293" s="47" t="s">
        <v>7750</v>
      </c>
      <c r="J293" s="48">
        <v>46021</v>
      </c>
      <c r="K293" s="47">
        <v>7006409005</v>
      </c>
      <c r="L293" s="47" t="s">
        <v>70</v>
      </c>
      <c r="M293" s="49" t="s">
        <v>7954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 t="shared" si="8"/>
        <v>293</v>
      </c>
      <c r="B294" s="47" t="s">
        <v>7772</v>
      </c>
      <c r="C294" s="47" t="s">
        <v>7769</v>
      </c>
      <c r="D294" s="47" t="s">
        <v>7770</v>
      </c>
      <c r="E294" s="47" t="s">
        <v>7771</v>
      </c>
      <c r="F294" s="47" t="s">
        <v>633</v>
      </c>
      <c r="G294" s="47" t="s">
        <v>226</v>
      </c>
      <c r="H294" s="47" t="str">
        <f t="shared" si="9"/>
        <v>BARAMULLA</v>
      </c>
      <c r="I294" s="47" t="s">
        <v>7774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8167</v>
      </c>
      <c r="R294" s="47"/>
    </row>
    <row r="295" spans="1:18" x14ac:dyDescent="0.25">
      <c r="A295" s="47">
        <f t="shared" si="8"/>
        <v>294</v>
      </c>
      <c r="B295" s="47" t="s">
        <v>7779</v>
      </c>
      <c r="C295" s="47" t="s">
        <v>7780</v>
      </c>
      <c r="D295" s="47" t="s">
        <v>7781</v>
      </c>
      <c r="E295" s="47" t="s">
        <v>7782</v>
      </c>
      <c r="F295" s="47" t="s">
        <v>119</v>
      </c>
      <c r="G295" s="47" t="s">
        <v>175</v>
      </c>
      <c r="H295" s="47" t="str">
        <f t="shared" si="9"/>
        <v>BARAMULLA</v>
      </c>
      <c r="I295" s="47" t="s">
        <v>7783</v>
      </c>
      <c r="J295" s="48">
        <v>46021</v>
      </c>
      <c r="K295" s="47">
        <v>6006052436</v>
      </c>
      <c r="L295" s="47" t="s">
        <v>6521</v>
      </c>
      <c r="M295" s="49" t="s">
        <v>8218</v>
      </c>
      <c r="N295" s="48">
        <v>46030</v>
      </c>
      <c r="O295" s="47" t="s">
        <v>23</v>
      </c>
      <c r="P295" s="50">
        <v>46030</v>
      </c>
      <c r="Q295" s="47" t="s">
        <v>6460</v>
      </c>
      <c r="R295" s="47" t="s">
        <v>7808</v>
      </c>
    </row>
    <row r="296" spans="1:18" x14ac:dyDescent="0.25">
      <c r="A296" s="47">
        <f t="shared" si="8"/>
        <v>295</v>
      </c>
      <c r="B296" s="47" t="s">
        <v>7752</v>
      </c>
      <c r="C296" s="47" t="s">
        <v>7753</v>
      </c>
      <c r="D296" s="47" t="s">
        <v>7754</v>
      </c>
      <c r="E296" s="47" t="s">
        <v>7755</v>
      </c>
      <c r="F296" s="47" t="s">
        <v>100</v>
      </c>
      <c r="G296" s="47" t="s">
        <v>181</v>
      </c>
      <c r="H296" s="47" t="str">
        <f t="shared" si="9"/>
        <v>BARAMULLA</v>
      </c>
      <c r="I296" s="47" t="s">
        <v>7756</v>
      </c>
      <c r="J296" s="48">
        <v>46021</v>
      </c>
      <c r="K296" s="47">
        <v>9149570567</v>
      </c>
      <c r="L296" s="47" t="s">
        <v>6683</v>
      </c>
      <c r="M296" s="49" t="s">
        <v>7775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 t="shared" si="8"/>
        <v>296</v>
      </c>
      <c r="B297" s="47" t="s">
        <v>7734</v>
      </c>
      <c r="C297" s="47" t="s">
        <v>7732</v>
      </c>
      <c r="D297" s="47" t="s">
        <v>7733</v>
      </c>
      <c r="E297" s="47" t="s">
        <v>2915</v>
      </c>
      <c r="F297" s="47" t="s">
        <v>238</v>
      </c>
      <c r="G297" s="47" t="s">
        <v>6475</v>
      </c>
      <c r="H297" s="47" t="str">
        <f t="shared" si="9"/>
        <v>PULWAMA</v>
      </c>
      <c r="I297" s="47" t="s">
        <v>7748</v>
      </c>
      <c r="J297" s="48">
        <v>46021</v>
      </c>
      <c r="K297" s="47">
        <v>9906625047</v>
      </c>
      <c r="L297" s="47" t="s">
        <v>26</v>
      </c>
      <c r="M297" s="49" t="s">
        <v>7616</v>
      </c>
      <c r="N297" s="48">
        <v>46022</v>
      </c>
      <c r="O297" s="47" t="s">
        <v>23</v>
      </c>
      <c r="P297" s="50">
        <v>46022</v>
      </c>
      <c r="Q297" s="47" t="s">
        <v>6460</v>
      </c>
      <c r="R297" s="47"/>
    </row>
    <row r="298" spans="1:18" x14ac:dyDescent="0.25">
      <c r="A298" s="47">
        <f t="shared" si="8"/>
        <v>297</v>
      </c>
      <c r="B298" s="47" t="s">
        <v>7743</v>
      </c>
      <c r="C298" s="47" t="s">
        <v>7744</v>
      </c>
      <c r="D298" s="47" t="s">
        <v>7746</v>
      </c>
      <c r="E298" s="47" t="s">
        <v>7745</v>
      </c>
      <c r="F298" s="47" t="s">
        <v>67</v>
      </c>
      <c r="G298" s="47" t="s">
        <v>199</v>
      </c>
      <c r="H298" s="47" t="str">
        <f t="shared" si="9"/>
        <v>PULWAMA</v>
      </c>
      <c r="I298" s="47" t="s">
        <v>7751</v>
      </c>
      <c r="J298" s="48">
        <v>46021</v>
      </c>
      <c r="K298" s="47">
        <v>8493950437</v>
      </c>
      <c r="L298" s="47" t="s">
        <v>6521</v>
      </c>
      <c r="M298" s="49" t="s">
        <v>7715</v>
      </c>
      <c r="N298" s="48">
        <v>46046</v>
      </c>
      <c r="O298" s="47"/>
      <c r="P298" s="50"/>
      <c r="Q298" s="47"/>
      <c r="R298" s="47" t="s">
        <v>7768</v>
      </c>
    </row>
    <row r="299" spans="1:18" x14ac:dyDescent="0.25">
      <c r="A299" s="47">
        <f t="shared" si="8"/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 t="shared" si="9"/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7738</v>
      </c>
      <c r="C300" s="47" t="s">
        <v>7735</v>
      </c>
      <c r="D300" s="47" t="s">
        <v>7736</v>
      </c>
      <c r="E300" s="47" t="s">
        <v>7737</v>
      </c>
      <c r="F300" s="47" t="s">
        <v>31</v>
      </c>
      <c r="G300" s="47" t="s">
        <v>200</v>
      </c>
      <c r="H300" s="47" t="str">
        <f t="shared" si="9"/>
        <v>PULWAMA</v>
      </c>
      <c r="I300" s="47" t="s">
        <v>7749</v>
      </c>
      <c r="J300" s="48">
        <v>46021</v>
      </c>
      <c r="K300" s="47">
        <v>7006928931</v>
      </c>
      <c r="L300" s="47" t="s">
        <v>48</v>
      </c>
      <c r="M300" s="49" t="s">
        <v>7773</v>
      </c>
      <c r="N300" s="48">
        <v>46027</v>
      </c>
      <c r="O300" s="47" t="s">
        <v>23</v>
      </c>
      <c r="P300" s="50">
        <v>46029</v>
      </c>
      <c r="Q300" s="47" t="s">
        <v>6460</v>
      </c>
      <c r="R300" s="47"/>
    </row>
    <row r="301" spans="1:18" x14ac:dyDescent="0.25">
      <c r="A301" s="47">
        <f t="shared" si="8"/>
        <v>300</v>
      </c>
      <c r="B301" s="47" t="s">
        <v>7762</v>
      </c>
      <c r="C301" s="47" t="s">
        <v>7763</v>
      </c>
      <c r="D301" s="47" t="s">
        <v>7764</v>
      </c>
      <c r="E301" s="47" t="s">
        <v>7765</v>
      </c>
      <c r="F301" s="47" t="s">
        <v>3130</v>
      </c>
      <c r="G301" s="47" t="s">
        <v>6475</v>
      </c>
      <c r="H301" s="47" t="str">
        <f t="shared" si="9"/>
        <v>KULGAM</v>
      </c>
      <c r="I301" s="47" t="s">
        <v>7767</v>
      </c>
      <c r="J301" s="48">
        <v>46021</v>
      </c>
      <c r="K301" s="47">
        <v>9622775800</v>
      </c>
      <c r="L301" s="47" t="s">
        <v>26</v>
      </c>
      <c r="M301" s="49" t="s">
        <v>7616</v>
      </c>
      <c r="N301" s="48">
        <v>46032</v>
      </c>
      <c r="O301" s="47" t="s">
        <v>23</v>
      </c>
      <c r="P301" s="50">
        <v>46022</v>
      </c>
      <c r="Q301" s="47" t="s">
        <v>6460</v>
      </c>
      <c r="R301" s="47"/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7802</v>
      </c>
      <c r="C303" s="47" t="s">
        <v>7799</v>
      </c>
      <c r="D303" s="47" t="s">
        <v>7801</v>
      </c>
      <c r="E303" s="47" t="s">
        <v>7800</v>
      </c>
      <c r="F303" s="47" t="s">
        <v>119</v>
      </c>
      <c r="G303" s="47" t="s">
        <v>221</v>
      </c>
      <c r="H303" s="47" t="str">
        <f t="shared" si="9"/>
        <v>BUDGAM</v>
      </c>
      <c r="I303" s="47" t="s">
        <v>7810</v>
      </c>
      <c r="J303" s="48">
        <v>46022</v>
      </c>
      <c r="K303" s="47">
        <v>9596102065</v>
      </c>
      <c r="L303" s="47" t="s">
        <v>110</v>
      </c>
      <c r="M303" s="49" t="s">
        <v>8229</v>
      </c>
      <c r="N303" s="48">
        <v>46031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7806</v>
      </c>
      <c r="C304" s="47" t="s">
        <v>7803</v>
      </c>
      <c r="D304" s="47" t="s">
        <v>7804</v>
      </c>
      <c r="E304" s="47" t="s">
        <v>7805</v>
      </c>
      <c r="F304" s="47" t="s">
        <v>6829</v>
      </c>
      <c r="G304" s="47" t="s">
        <v>226</v>
      </c>
      <c r="H304" s="47" t="str">
        <f t="shared" si="9"/>
        <v>BUDGAM</v>
      </c>
      <c r="I304" s="47" t="s">
        <v>7811</v>
      </c>
      <c r="J304" s="48">
        <v>46022</v>
      </c>
      <c r="K304" s="47">
        <v>7889324122</v>
      </c>
      <c r="L304" s="47" t="s">
        <v>110</v>
      </c>
      <c r="M304" s="49" t="s">
        <v>7775</v>
      </c>
      <c r="N304" s="48">
        <v>46022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7793</v>
      </c>
      <c r="C305" s="47" t="s">
        <v>7790</v>
      </c>
      <c r="D305" s="47" t="s">
        <v>7791</v>
      </c>
      <c r="E305" s="47" t="s">
        <v>7792</v>
      </c>
      <c r="F305" s="47" t="s">
        <v>100</v>
      </c>
      <c r="G305" s="47" t="s">
        <v>200</v>
      </c>
      <c r="H305" s="47" t="str">
        <f t="shared" si="9"/>
        <v>BUDGAM</v>
      </c>
      <c r="I305" s="55" t="s">
        <v>7847</v>
      </c>
      <c r="J305" s="48">
        <v>46022</v>
      </c>
      <c r="K305" s="47">
        <v>7780996739</v>
      </c>
      <c r="L305" s="47" t="s">
        <v>70</v>
      </c>
      <c r="M305" s="49" t="s">
        <v>8227</v>
      </c>
      <c r="N305" s="48">
        <v>46063</v>
      </c>
      <c r="O305" s="47" t="s">
        <v>23</v>
      </c>
      <c r="P305" s="50">
        <v>46027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8658</v>
      </c>
    </row>
    <row r="307" spans="1:18" x14ac:dyDescent="0.25">
      <c r="A307" s="47">
        <f t="shared" si="8"/>
        <v>306</v>
      </c>
      <c r="B307" s="47" t="s">
        <v>7825</v>
      </c>
      <c r="C307" s="47" t="s">
        <v>7822</v>
      </c>
      <c r="D307" s="47" t="s">
        <v>7823</v>
      </c>
      <c r="E307" s="47" t="s">
        <v>7824</v>
      </c>
      <c r="F307" s="47" t="s">
        <v>119</v>
      </c>
      <c r="G307" s="47" t="s">
        <v>200</v>
      </c>
      <c r="H307" s="47" t="str">
        <f t="shared" si="9"/>
        <v>SRINAGAR</v>
      </c>
      <c r="I307" s="55" t="s">
        <v>7848</v>
      </c>
      <c r="J307" s="48">
        <v>46023</v>
      </c>
      <c r="K307" s="47">
        <v>9469001234</v>
      </c>
      <c r="L307" s="47" t="s">
        <v>110</v>
      </c>
      <c r="M307" s="49" t="s">
        <v>8371</v>
      </c>
      <c r="N307" s="48"/>
      <c r="O307" s="47" t="s">
        <v>23</v>
      </c>
      <c r="P307" s="50">
        <v>46044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7842</v>
      </c>
      <c r="C308" s="47" t="s">
        <v>7843</v>
      </c>
      <c r="D308" s="47" t="s">
        <v>7844</v>
      </c>
      <c r="E308" s="47" t="s">
        <v>2915</v>
      </c>
      <c r="F308" s="47" t="s">
        <v>193</v>
      </c>
      <c r="G308" s="47" t="s">
        <v>6440</v>
      </c>
      <c r="H308" s="47" t="str">
        <f t="shared" si="9"/>
        <v>SRINAGAR</v>
      </c>
      <c r="I308" s="55" t="s">
        <v>7861</v>
      </c>
      <c r="J308" s="48">
        <v>46023</v>
      </c>
      <c r="K308" s="47">
        <v>9596187640</v>
      </c>
      <c r="L308" s="47" t="s">
        <v>48</v>
      </c>
      <c r="M308" s="49" t="s">
        <v>7773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 t="shared" si="8"/>
        <v>308</v>
      </c>
      <c r="B309" s="47" t="s">
        <v>7833</v>
      </c>
      <c r="C309" s="47" t="s">
        <v>7830</v>
      </c>
      <c r="D309" s="47" t="s">
        <v>7831</v>
      </c>
      <c r="E309" s="47" t="s">
        <v>7832</v>
      </c>
      <c r="F309" s="47" t="s">
        <v>290</v>
      </c>
      <c r="G309" s="47" t="s">
        <v>200</v>
      </c>
      <c r="H309" s="47" t="str">
        <f t="shared" si="9"/>
        <v>SRINAGAR</v>
      </c>
      <c r="I309" s="55" t="s">
        <v>7850</v>
      </c>
      <c r="J309" s="48">
        <v>46023</v>
      </c>
      <c r="K309" s="47">
        <v>9906405123</v>
      </c>
      <c r="L309" s="47" t="s">
        <v>2248</v>
      </c>
      <c r="M309" s="49" t="s">
        <v>8164</v>
      </c>
      <c r="N309" s="48">
        <v>46029</v>
      </c>
      <c r="O309" s="47" t="s">
        <v>6445</v>
      </c>
      <c r="P309" s="50"/>
      <c r="Q309" s="47"/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7886</v>
      </c>
      <c r="C311" s="47" t="s">
        <v>7888</v>
      </c>
      <c r="D311" s="47" t="s">
        <v>7889</v>
      </c>
      <c r="E311" s="47" t="s">
        <v>7890</v>
      </c>
      <c r="F311" s="47" t="s">
        <v>633</v>
      </c>
      <c r="G311" s="47" t="s">
        <v>199</v>
      </c>
      <c r="H311" s="47" t="str">
        <f t="shared" si="9"/>
        <v>SRINAGAR</v>
      </c>
      <c r="I311" s="47" t="s">
        <v>7893</v>
      </c>
      <c r="J311" s="48">
        <v>46023</v>
      </c>
      <c r="K311" s="47">
        <v>7006616090</v>
      </c>
      <c r="L311" s="47" t="s">
        <v>2248</v>
      </c>
      <c r="M311" s="49" t="s">
        <v>8164</v>
      </c>
      <c r="N311" s="48">
        <v>46029</v>
      </c>
      <c r="O311" s="47" t="s">
        <v>23</v>
      </c>
      <c r="P311" s="50">
        <v>46028</v>
      </c>
      <c r="Q311" s="47" t="s">
        <v>6460</v>
      </c>
      <c r="R311" s="47"/>
    </row>
    <row r="312" spans="1:18" x14ac:dyDescent="0.25">
      <c r="A312" s="47">
        <f t="shared" si="8"/>
        <v>311</v>
      </c>
      <c r="B312" s="47" t="s">
        <v>7887</v>
      </c>
      <c r="C312" s="47" t="s">
        <v>7880</v>
      </c>
      <c r="D312" s="47" t="s">
        <v>7881</v>
      </c>
      <c r="E312" s="47" t="s">
        <v>7882</v>
      </c>
      <c r="F312" s="47" t="s">
        <v>290</v>
      </c>
      <c r="G312" s="47" t="s">
        <v>200</v>
      </c>
      <c r="H312" s="47" t="str">
        <f t="shared" si="9"/>
        <v>SRINAGAR</v>
      </c>
      <c r="I312" s="47" t="s">
        <v>7892</v>
      </c>
      <c r="J312" s="48">
        <v>46023</v>
      </c>
      <c r="K312" s="47">
        <v>7006759527</v>
      </c>
      <c r="L312" s="47" t="s">
        <v>8240</v>
      </c>
      <c r="M312" s="49"/>
      <c r="N312" s="48"/>
      <c r="O312" s="47"/>
      <c r="P312" s="50"/>
      <c r="Q312" s="47"/>
      <c r="R312" s="47" t="s">
        <v>7941</v>
      </c>
    </row>
    <row r="313" spans="1:18" x14ac:dyDescent="0.25">
      <c r="A313" s="47">
        <f t="shared" si="8"/>
        <v>312</v>
      </c>
      <c r="B313" s="47" t="s">
        <v>7874</v>
      </c>
      <c r="C313" s="47" t="s">
        <v>7875</v>
      </c>
      <c r="D313" s="47" t="s">
        <v>7876</v>
      </c>
      <c r="E313" s="47" t="s">
        <v>7877</v>
      </c>
      <c r="F313" s="47" t="s">
        <v>12</v>
      </c>
      <c r="G313" s="47" t="s">
        <v>181</v>
      </c>
      <c r="H313" s="47" t="str">
        <f t="shared" si="9"/>
        <v>SRINAGAR</v>
      </c>
      <c r="I313" s="47" t="s">
        <v>7891</v>
      </c>
      <c r="J313" s="48">
        <v>46023</v>
      </c>
      <c r="K313" s="47">
        <v>7889588496</v>
      </c>
      <c r="L313" s="47" t="s">
        <v>8241</v>
      </c>
      <c r="M313" s="49" t="s">
        <v>7773</v>
      </c>
      <c r="N313" s="48">
        <v>46027</v>
      </c>
      <c r="O313" s="47" t="s">
        <v>23</v>
      </c>
      <c r="P313" s="50">
        <v>46024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7826</v>
      </c>
      <c r="C314" s="47" t="s">
        <v>7827</v>
      </c>
      <c r="D314" s="47" t="s">
        <v>7828</v>
      </c>
      <c r="E314" s="47" t="s">
        <v>7829</v>
      </c>
      <c r="F314" s="47" t="s">
        <v>100</v>
      </c>
      <c r="G314" s="47" t="s">
        <v>200</v>
      </c>
      <c r="H314" s="47" t="str">
        <f t="shared" si="9"/>
        <v>SRINAGAR</v>
      </c>
      <c r="I314" s="55" t="s">
        <v>7849</v>
      </c>
      <c r="J314" s="48">
        <v>46023</v>
      </c>
      <c r="K314" s="47">
        <v>7006582052</v>
      </c>
      <c r="L314" s="47" t="s">
        <v>307</v>
      </c>
      <c r="M314" s="49" t="s">
        <v>7775</v>
      </c>
      <c r="N314" s="48">
        <v>46025</v>
      </c>
      <c r="O314" s="47" t="s">
        <v>23</v>
      </c>
      <c r="P314" s="50">
        <v>46027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7820</v>
      </c>
      <c r="C315" s="47" t="s">
        <v>7817</v>
      </c>
      <c r="D315" s="47" t="s">
        <v>7818</v>
      </c>
      <c r="E315" s="47" t="s">
        <v>7819</v>
      </c>
      <c r="F315" s="47" t="s">
        <v>119</v>
      </c>
      <c r="G315" s="47" t="s">
        <v>200</v>
      </c>
      <c r="H315" s="47" t="str">
        <f t="shared" si="9"/>
        <v>BUDGAM</v>
      </c>
      <c r="I315" s="55" t="s">
        <v>7846</v>
      </c>
      <c r="J315" s="48">
        <v>46023</v>
      </c>
      <c r="K315" s="47">
        <v>7006000499</v>
      </c>
      <c r="L315" s="47" t="s">
        <v>106</v>
      </c>
      <c r="M315" s="49" t="s">
        <v>7601</v>
      </c>
      <c r="N315" s="48">
        <v>46027</v>
      </c>
      <c r="O315" s="47" t="s">
        <v>23</v>
      </c>
      <c r="P315" s="50">
        <v>46027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7873</v>
      </c>
      <c r="C316" s="47" t="s">
        <v>7883</v>
      </c>
      <c r="D316" s="47" t="s">
        <v>7884</v>
      </c>
      <c r="E316" s="47" t="s">
        <v>7885</v>
      </c>
      <c r="F316" s="47" t="s">
        <v>31</v>
      </c>
      <c r="G316" s="47" t="s">
        <v>199</v>
      </c>
      <c r="H316" s="47" t="str">
        <f t="shared" si="9"/>
        <v>BUDGAM</v>
      </c>
      <c r="I316" s="47" t="s">
        <v>7878</v>
      </c>
      <c r="J316" s="48">
        <v>46023</v>
      </c>
      <c r="K316" s="47">
        <v>8082623899</v>
      </c>
      <c r="L316" s="47" t="s">
        <v>48</v>
      </c>
      <c r="M316" s="49" t="s">
        <v>7773</v>
      </c>
      <c r="N316" s="48">
        <v>46027</v>
      </c>
      <c r="O316" s="47" t="s">
        <v>23</v>
      </c>
      <c r="P316" s="50">
        <v>46027</v>
      </c>
      <c r="Q316" s="47" t="s">
        <v>6460</v>
      </c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 t="shared" si="8"/>
        <v>317</v>
      </c>
      <c r="B318" s="47" t="s">
        <v>7868</v>
      </c>
      <c r="C318" s="47" t="s">
        <v>7869</v>
      </c>
      <c r="D318" s="47" t="s">
        <v>7870</v>
      </c>
      <c r="E318" s="47" t="s">
        <v>7871</v>
      </c>
      <c r="F318" s="47" t="s">
        <v>119</v>
      </c>
      <c r="G318" s="47" t="s">
        <v>174</v>
      </c>
      <c r="H318" s="47" t="str">
        <f t="shared" si="9"/>
        <v>BUDGAM</v>
      </c>
      <c r="I318" s="55" t="s">
        <v>7879</v>
      </c>
      <c r="J318" s="48">
        <v>46023</v>
      </c>
      <c r="K318" s="47">
        <v>9596167274</v>
      </c>
      <c r="L318" s="47" t="s">
        <v>7872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7862</v>
      </c>
      <c r="C319" s="47" t="s">
        <v>7863</v>
      </c>
      <c r="D319" s="47" t="s">
        <v>7864</v>
      </c>
      <c r="E319" s="47" t="s">
        <v>7865</v>
      </c>
      <c r="F319" s="47" t="s">
        <v>12</v>
      </c>
      <c r="G319" s="47" t="s">
        <v>200</v>
      </c>
      <c r="H319" s="47" t="str">
        <f t="shared" si="9"/>
        <v>BARAMULLA</v>
      </c>
      <c r="I319" s="55" t="s">
        <v>7867</v>
      </c>
      <c r="J319" s="48">
        <v>46023</v>
      </c>
      <c r="K319" s="47">
        <v>9906759399</v>
      </c>
      <c r="L319" s="47" t="s">
        <v>6683</v>
      </c>
      <c r="M319" s="49" t="s">
        <v>8017</v>
      </c>
      <c r="N319" s="48">
        <v>46044</v>
      </c>
      <c r="O319" s="47" t="s">
        <v>23</v>
      </c>
      <c r="P319" s="50">
        <v>46029</v>
      </c>
      <c r="Q319" s="47" t="s">
        <v>6460</v>
      </c>
      <c r="R319" s="47"/>
    </row>
    <row r="320" spans="1:18" x14ac:dyDescent="0.25">
      <c r="A320" s="47">
        <f t="shared" si="8"/>
        <v>319</v>
      </c>
      <c r="B320" s="47" t="s">
        <v>7856</v>
      </c>
      <c r="C320" s="47" t="s">
        <v>7857</v>
      </c>
      <c r="D320" s="47" t="s">
        <v>7858</v>
      </c>
      <c r="E320" s="47" t="s">
        <v>2841</v>
      </c>
      <c r="F320" s="47" t="s">
        <v>119</v>
      </c>
      <c r="G320" s="47" t="s">
        <v>200</v>
      </c>
      <c r="H320" s="47" t="str">
        <f t="shared" si="9"/>
        <v>BARAMULLA</v>
      </c>
      <c r="I320" s="55" t="s">
        <v>7866</v>
      </c>
      <c r="J320" s="48">
        <v>46023</v>
      </c>
      <c r="K320" s="47">
        <v>7006960324</v>
      </c>
      <c r="L320" s="47" t="s">
        <v>6683</v>
      </c>
      <c r="M320" s="49" t="s">
        <v>8017</v>
      </c>
      <c r="N320" s="48">
        <v>46044</v>
      </c>
      <c r="O320" s="47" t="s">
        <v>23</v>
      </c>
      <c r="P320" s="50">
        <v>46029</v>
      </c>
      <c r="Q320" s="51" t="s">
        <v>6460</v>
      </c>
      <c r="R320" s="47"/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 t="shared" ref="A322:A385" si="10">ROW()-1</f>
        <v>321</v>
      </c>
      <c r="B322" s="47" t="s">
        <v>7946</v>
      </c>
      <c r="C322" s="47" t="s">
        <v>7947</v>
      </c>
      <c r="D322" s="47" t="s">
        <v>7948</v>
      </c>
      <c r="E322" s="47" t="s">
        <v>7949</v>
      </c>
      <c r="F322" s="47" t="s">
        <v>31</v>
      </c>
      <c r="G322" s="47" t="s">
        <v>200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8015</v>
      </c>
      <c r="J322" s="48">
        <v>46024</v>
      </c>
      <c r="K322" s="47">
        <v>9419004025</v>
      </c>
      <c r="L322" s="47" t="s">
        <v>6832</v>
      </c>
      <c r="M322" s="49" t="s">
        <v>8236</v>
      </c>
      <c r="N322" s="48">
        <v>46034</v>
      </c>
      <c r="O322" s="47" t="s">
        <v>23</v>
      </c>
      <c r="P322" s="50">
        <v>46026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7907</v>
      </c>
      <c r="C323" s="47" t="s">
        <v>7908</v>
      </c>
      <c r="D323" s="47" t="s">
        <v>7909</v>
      </c>
      <c r="E323" s="47" t="s">
        <v>7910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7924</v>
      </c>
      <c r="J323" s="48">
        <v>46024</v>
      </c>
      <c r="K323" s="47">
        <v>9906786675</v>
      </c>
      <c r="L323" s="47" t="s">
        <v>70</v>
      </c>
      <c r="M323" s="49" t="s">
        <v>7617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 t="shared" si="10"/>
        <v>323</v>
      </c>
      <c r="B324" s="47" t="s">
        <v>7935</v>
      </c>
      <c r="C324" s="47" t="s">
        <v>7927</v>
      </c>
      <c r="D324" s="47" t="s">
        <v>7928</v>
      </c>
      <c r="E324" s="47" t="s">
        <v>7929</v>
      </c>
      <c r="F324" s="47" t="s">
        <v>31</v>
      </c>
      <c r="G324" s="47" t="s">
        <v>199</v>
      </c>
      <c r="H324" s="47" t="str">
        <f t="shared" si="11"/>
        <v>SRINAGAR</v>
      </c>
      <c r="I324" s="47" t="s">
        <v>7936</v>
      </c>
      <c r="J324" s="48">
        <v>46024</v>
      </c>
      <c r="K324" s="47">
        <v>9149695812</v>
      </c>
      <c r="L324" s="47" t="s">
        <v>6521</v>
      </c>
      <c r="M324" s="49" t="s">
        <v>7715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7901</v>
      </c>
      <c r="C326" s="47" t="s">
        <v>7898</v>
      </c>
      <c r="D326" s="47" t="s">
        <v>7899</v>
      </c>
      <c r="E326" s="47" t="s">
        <v>7900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7923</v>
      </c>
      <c r="J326" s="48">
        <v>46024</v>
      </c>
      <c r="K326" s="47">
        <v>9149638830</v>
      </c>
      <c r="L326" s="47" t="s">
        <v>2248</v>
      </c>
      <c r="M326" s="49" t="s">
        <v>8164</v>
      </c>
      <c r="N326" s="48">
        <v>46029</v>
      </c>
      <c r="O326" s="47" t="s">
        <v>23</v>
      </c>
      <c r="P326" s="50">
        <v>46029</v>
      </c>
      <c r="Q326" s="47" t="s">
        <v>8167</v>
      </c>
      <c r="R326" s="47"/>
    </row>
    <row r="327" spans="1:18" x14ac:dyDescent="0.25">
      <c r="A327" s="47">
        <f t="shared" si="10"/>
        <v>326</v>
      </c>
      <c r="B327" s="47" t="s">
        <v>7934</v>
      </c>
      <c r="C327" s="47" t="s">
        <v>7930</v>
      </c>
      <c r="D327" s="47" t="s">
        <v>7931</v>
      </c>
      <c r="E327" s="47" t="s">
        <v>7932</v>
      </c>
      <c r="F327" s="47" t="s">
        <v>5</v>
      </c>
      <c r="G327" s="47" t="s">
        <v>200</v>
      </c>
      <c r="H327" s="47" t="str">
        <f t="shared" si="11"/>
        <v>SRINAGAR</v>
      </c>
      <c r="I327" s="47" t="s">
        <v>7933</v>
      </c>
      <c r="J327" s="48">
        <v>46024</v>
      </c>
      <c r="K327" s="47">
        <v>7006197341</v>
      </c>
      <c r="L327" s="47" t="s">
        <v>1126</v>
      </c>
      <c r="M327" s="49" t="s">
        <v>7775</v>
      </c>
      <c r="N327" s="48">
        <v>46028</v>
      </c>
      <c r="O327" s="47" t="s">
        <v>23</v>
      </c>
      <c r="P327" s="50">
        <v>46027</v>
      </c>
      <c r="Q327" s="47" t="s">
        <v>6460</v>
      </c>
      <c r="R327" s="47"/>
    </row>
    <row r="328" spans="1:18" x14ac:dyDescent="0.25">
      <c r="A328" s="47">
        <f t="shared" si="10"/>
        <v>327</v>
      </c>
      <c r="B328" s="47" t="s">
        <v>7942</v>
      </c>
      <c r="C328" s="47" t="s">
        <v>7943</v>
      </c>
      <c r="D328" s="47" t="s">
        <v>7944</v>
      </c>
      <c r="E328" s="47" t="s">
        <v>7945</v>
      </c>
      <c r="F328" s="47" t="s">
        <v>12</v>
      </c>
      <c r="G328" s="47" t="s">
        <v>181</v>
      </c>
      <c r="H328" s="47" t="str">
        <f t="shared" si="11"/>
        <v>SRINAGAR</v>
      </c>
      <c r="I328" s="47" t="s">
        <v>7998</v>
      </c>
      <c r="J328" s="48">
        <v>46024</v>
      </c>
      <c r="K328" s="47">
        <v>9906730950</v>
      </c>
      <c r="L328" s="47" t="s">
        <v>194</v>
      </c>
      <c r="M328" s="49" t="s">
        <v>7595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7897</v>
      </c>
      <c r="C330" s="47" t="s">
        <v>7895</v>
      </c>
      <c r="D330" s="47" t="s">
        <v>7896</v>
      </c>
      <c r="E330" s="47" t="s">
        <v>658</v>
      </c>
      <c r="F330" s="47" t="s">
        <v>119</v>
      </c>
      <c r="G330" s="47" t="s">
        <v>174</v>
      </c>
      <c r="H330" s="47" t="str">
        <f t="shared" si="11"/>
        <v>BARAMULLA</v>
      </c>
      <c r="I330" s="47" t="s">
        <v>7926</v>
      </c>
      <c r="J330" s="48">
        <v>46024</v>
      </c>
      <c r="K330" s="47">
        <v>7006898324</v>
      </c>
      <c r="L330" s="47" t="s">
        <v>2172</v>
      </c>
      <c r="M330" s="49" t="s">
        <v>7716</v>
      </c>
      <c r="N330" s="48">
        <v>46032</v>
      </c>
      <c r="O330" s="47" t="s">
        <v>23</v>
      </c>
      <c r="P330" s="50">
        <v>46029</v>
      </c>
      <c r="Q330" s="47" t="s">
        <v>6460</v>
      </c>
      <c r="R330" s="47"/>
    </row>
    <row r="331" spans="1:18" x14ac:dyDescent="0.25">
      <c r="A331" s="47">
        <f t="shared" si="10"/>
        <v>330</v>
      </c>
      <c r="B331" s="47" t="s">
        <v>7902</v>
      </c>
      <c r="C331" s="47" t="s">
        <v>7919</v>
      </c>
      <c r="D331" s="47" t="s">
        <v>7920</v>
      </c>
      <c r="E331" s="47" t="s">
        <v>7921</v>
      </c>
      <c r="F331" s="47" t="s">
        <v>5</v>
      </c>
      <c r="G331" s="47" t="s">
        <v>199</v>
      </c>
      <c r="H331" s="47" t="str">
        <f t="shared" si="11"/>
        <v>BANDIPORA</v>
      </c>
      <c r="I331" s="47" t="s">
        <v>7922</v>
      </c>
      <c r="J331" s="48">
        <v>46024</v>
      </c>
      <c r="K331" s="47">
        <v>9906605048</v>
      </c>
      <c r="L331" s="47" t="s">
        <v>307</v>
      </c>
      <c r="M331" s="49" t="s">
        <v>8093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7911</v>
      </c>
      <c r="C332" s="47" t="s">
        <v>7912</v>
      </c>
      <c r="D332" s="47" t="s">
        <v>7913</v>
      </c>
      <c r="E332" s="47" t="s">
        <v>7914</v>
      </c>
      <c r="F332" s="47" t="s">
        <v>486</v>
      </c>
      <c r="G332" s="47" t="s">
        <v>199</v>
      </c>
      <c r="H332" s="47" t="str">
        <f t="shared" si="11"/>
        <v>SHOPIAN</v>
      </c>
      <c r="I332" s="47" t="s">
        <v>7955</v>
      </c>
      <c r="J332" s="48">
        <v>46024</v>
      </c>
      <c r="K332" s="47">
        <v>7780943149</v>
      </c>
      <c r="L332" s="47" t="s">
        <v>6570</v>
      </c>
      <c r="M332" s="49" t="s">
        <v>7294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7997</v>
      </c>
      <c r="C333" s="47" t="s">
        <v>7999</v>
      </c>
      <c r="D333" s="47" t="s">
        <v>8000</v>
      </c>
      <c r="E333" s="47" t="s">
        <v>8001</v>
      </c>
      <c r="F333" s="47" t="s">
        <v>125</v>
      </c>
      <c r="G333" s="47" t="s">
        <v>174</v>
      </c>
      <c r="H333" s="47" t="str">
        <f t="shared" si="11"/>
        <v>SRINAGAR</v>
      </c>
      <c r="I333" s="47" t="s">
        <v>8002</v>
      </c>
      <c r="J333" s="48">
        <v>46025</v>
      </c>
      <c r="K333" s="47">
        <v>9419004044</v>
      </c>
      <c r="L333" s="47" t="s">
        <v>48</v>
      </c>
      <c r="M333" s="49" t="s">
        <v>7775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7985</v>
      </c>
      <c r="C334" s="47" t="s">
        <v>7983</v>
      </c>
      <c r="D334" s="47" t="s">
        <v>7984</v>
      </c>
      <c r="E334" s="47" t="s">
        <v>4284</v>
      </c>
      <c r="F334" s="47" t="s">
        <v>193</v>
      </c>
      <c r="G334" s="47" t="s">
        <v>199</v>
      </c>
      <c r="H334" s="47" t="str">
        <f t="shared" si="11"/>
        <v>SRINAGAR</v>
      </c>
      <c r="I334" s="47" t="s">
        <v>7986</v>
      </c>
      <c r="J334" s="48">
        <v>46025</v>
      </c>
      <c r="K334" s="47">
        <v>8899926488</v>
      </c>
      <c r="L334" s="47" t="s">
        <v>106</v>
      </c>
      <c r="M334" s="49" t="s">
        <v>7601</v>
      </c>
      <c r="N334" s="48">
        <v>46027</v>
      </c>
      <c r="O334" s="47" t="s">
        <v>23</v>
      </c>
      <c r="P334" s="50">
        <v>46029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8003</v>
      </c>
      <c r="C335" s="47" t="s">
        <v>8004</v>
      </c>
      <c r="D335" s="47" t="s">
        <v>8005</v>
      </c>
      <c r="E335" s="47" t="s">
        <v>8006</v>
      </c>
      <c r="F335" s="47" t="s">
        <v>31</v>
      </c>
      <c r="G335" s="47" t="s">
        <v>199</v>
      </c>
      <c r="H335" s="47" t="str">
        <f t="shared" si="11"/>
        <v>SRINAGAR</v>
      </c>
      <c r="I335" s="47" t="s">
        <v>8007</v>
      </c>
      <c r="J335" s="48">
        <v>46025</v>
      </c>
      <c r="K335" s="47">
        <v>7889441591</v>
      </c>
      <c r="L335" s="47" t="s">
        <v>110</v>
      </c>
      <c r="M335" s="49" t="s">
        <v>8227</v>
      </c>
      <c r="N335" s="48">
        <v>46031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7977</v>
      </c>
      <c r="C336" s="47" t="s">
        <v>7971</v>
      </c>
      <c r="D336" s="47" t="s">
        <v>7972</v>
      </c>
      <c r="E336" s="47" t="s">
        <v>7973</v>
      </c>
      <c r="F336" s="47" t="s">
        <v>7974</v>
      </c>
      <c r="G336" s="47" t="s">
        <v>200</v>
      </c>
      <c r="H336" s="47" t="str">
        <f t="shared" si="11"/>
        <v>SRINAGAR</v>
      </c>
      <c r="I336" s="47" t="s">
        <v>7975</v>
      </c>
      <c r="J336" s="48">
        <v>46025</v>
      </c>
      <c r="K336" s="47">
        <v>9149592772</v>
      </c>
      <c r="L336" s="47" t="s">
        <v>194</v>
      </c>
      <c r="M336" s="49" t="s">
        <v>7595</v>
      </c>
      <c r="N336" s="48">
        <v>46028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7996</v>
      </c>
      <c r="C337" s="47" t="s">
        <v>7992</v>
      </c>
      <c r="D337" s="47" t="s">
        <v>7993</v>
      </c>
      <c r="E337" s="47" t="s">
        <v>7994</v>
      </c>
      <c r="F337" s="47" t="s">
        <v>31</v>
      </c>
      <c r="G337" s="47" t="s">
        <v>175</v>
      </c>
      <c r="H337" s="47" t="str">
        <f t="shared" si="11"/>
        <v>SRINAGAR</v>
      </c>
      <c r="I337" s="47" t="s">
        <v>7995</v>
      </c>
      <c r="J337" s="48">
        <v>46025</v>
      </c>
      <c r="K337" s="47">
        <v>9906863125</v>
      </c>
      <c r="L337" s="47" t="s">
        <v>2172</v>
      </c>
      <c r="M337" s="49" t="s">
        <v>7714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0"/>
        <v>337</v>
      </c>
      <c r="B338" s="47" t="s">
        <v>7990</v>
      </c>
      <c r="C338" s="47" t="s">
        <v>7987</v>
      </c>
      <c r="D338" s="47" t="s">
        <v>7988</v>
      </c>
      <c r="E338" s="47" t="s">
        <v>7989</v>
      </c>
      <c r="F338" s="47" t="s">
        <v>31</v>
      </c>
      <c r="G338" s="47" t="s">
        <v>175</v>
      </c>
      <c r="H338" s="47" t="str">
        <f t="shared" si="11"/>
        <v>SRINAGAR</v>
      </c>
      <c r="I338" s="47" t="s">
        <v>7991</v>
      </c>
      <c r="J338" s="48">
        <v>46025</v>
      </c>
      <c r="K338" s="47">
        <v>9596382727</v>
      </c>
      <c r="L338" s="47" t="s">
        <v>106</v>
      </c>
      <c r="M338" s="49" t="s">
        <v>7601</v>
      </c>
      <c r="N338" s="48">
        <v>46027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7981</v>
      </c>
      <c r="C339" s="47" t="s">
        <v>7978</v>
      </c>
      <c r="D339" s="47" t="s">
        <v>7979</v>
      </c>
      <c r="E339" s="47" t="s">
        <v>7980</v>
      </c>
      <c r="F339" s="47" t="s">
        <v>290</v>
      </c>
      <c r="G339" s="47" t="s">
        <v>200</v>
      </c>
      <c r="H339" s="47" t="str">
        <f t="shared" si="11"/>
        <v>SRINAGAR</v>
      </c>
      <c r="I339" s="47" t="s">
        <v>7982</v>
      </c>
      <c r="J339" s="48">
        <v>46025</v>
      </c>
      <c r="K339" s="47">
        <v>9149592772</v>
      </c>
      <c r="L339" s="47" t="s">
        <v>48</v>
      </c>
      <c r="M339" s="49" t="s">
        <v>7773</v>
      </c>
      <c r="N339" s="48">
        <v>46027</v>
      </c>
      <c r="O339" s="47" t="s">
        <v>23</v>
      </c>
      <c r="P339" s="50">
        <v>46055</v>
      </c>
      <c r="Q339" s="47" t="s">
        <v>6460</v>
      </c>
      <c r="R339" s="47"/>
    </row>
    <row r="340" spans="1:18" x14ac:dyDescent="0.25">
      <c r="A340" s="47">
        <f t="shared" si="10"/>
        <v>339</v>
      </c>
      <c r="B340" s="47" t="s">
        <v>8008</v>
      </c>
      <c r="C340" s="47" t="s">
        <v>8009</v>
      </c>
      <c r="D340" s="47" t="s">
        <v>8011</v>
      </c>
      <c r="E340" s="47" t="s">
        <v>8010</v>
      </c>
      <c r="F340" s="47" t="s">
        <v>119</v>
      </c>
      <c r="G340" s="47" t="s">
        <v>174</v>
      </c>
      <c r="H340" s="47" t="str">
        <f t="shared" si="11"/>
        <v>SRINAGAR</v>
      </c>
      <c r="I340" s="47" t="s">
        <v>8012</v>
      </c>
      <c r="J340" s="48">
        <v>46025</v>
      </c>
      <c r="K340" s="47">
        <v>7006441266</v>
      </c>
      <c r="L340" s="47" t="s">
        <v>43</v>
      </c>
      <c r="M340" s="49" t="s">
        <v>7617</v>
      </c>
      <c r="N340" s="48">
        <v>46029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0"/>
        <v>340</v>
      </c>
      <c r="B341" s="47" t="s">
        <v>8026</v>
      </c>
      <c r="C341" s="47" t="s">
        <v>8027</v>
      </c>
      <c r="D341" s="47" t="s">
        <v>8028</v>
      </c>
      <c r="E341" s="47" t="s">
        <v>8029</v>
      </c>
      <c r="F341" s="47" t="s">
        <v>1686</v>
      </c>
      <c r="G341" s="47" t="s">
        <v>199</v>
      </c>
      <c r="H341" s="47" t="str">
        <f t="shared" si="11"/>
        <v>SRINAGAR</v>
      </c>
      <c r="I341" s="47" t="s">
        <v>8031</v>
      </c>
      <c r="J341" s="48">
        <v>46025</v>
      </c>
      <c r="K341" s="47">
        <v>7051417712</v>
      </c>
      <c r="L341" s="47" t="s">
        <v>6451</v>
      </c>
      <c r="M341" s="49" t="s">
        <v>8239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8018</v>
      </c>
      <c r="C342" s="47" t="s">
        <v>8019</v>
      </c>
      <c r="D342" s="47" t="s">
        <v>8020</v>
      </c>
      <c r="E342" s="47" t="s">
        <v>5417</v>
      </c>
      <c r="F342" s="47" t="s">
        <v>12</v>
      </c>
      <c r="G342" s="47" t="s">
        <v>181</v>
      </c>
      <c r="H342" s="47" t="str">
        <f t="shared" si="11"/>
        <v>ANANTNAG</v>
      </c>
      <c r="I342" s="47" t="s">
        <v>8030</v>
      </c>
      <c r="J342" s="48">
        <v>46025</v>
      </c>
      <c r="K342" s="47">
        <v>7889730611</v>
      </c>
      <c r="L342" s="47" t="s">
        <v>6540</v>
      </c>
      <c r="M342" s="49" t="s">
        <v>7616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8024</v>
      </c>
      <c r="C343" s="47" t="s">
        <v>8021</v>
      </c>
      <c r="D343" s="47" t="s">
        <v>8022</v>
      </c>
      <c r="E343" s="47" t="s">
        <v>8023</v>
      </c>
      <c r="F343" s="47" t="s">
        <v>12</v>
      </c>
      <c r="G343" s="47" t="s">
        <v>200</v>
      </c>
      <c r="H343" s="47" t="str">
        <f t="shared" si="11"/>
        <v>KUPWARA</v>
      </c>
      <c r="I343" s="47" t="s">
        <v>8025</v>
      </c>
      <c r="J343" s="48">
        <v>46025</v>
      </c>
      <c r="K343" s="47">
        <v>6005210447</v>
      </c>
      <c r="L343" s="47" t="s">
        <v>2248</v>
      </c>
      <c r="M343" s="49" t="s">
        <v>7617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7965</v>
      </c>
      <c r="C344" s="47" t="s">
        <v>7962</v>
      </c>
      <c r="D344" s="47" t="s">
        <v>7963</v>
      </c>
      <c r="E344" s="47" t="s">
        <v>7964</v>
      </c>
      <c r="F344" s="47" t="s">
        <v>119</v>
      </c>
      <c r="G344" s="47" t="s">
        <v>200</v>
      </c>
      <c r="H344" s="47" t="str">
        <f t="shared" si="11"/>
        <v>PULWAMA</v>
      </c>
      <c r="I344" s="47" t="s">
        <v>7966</v>
      </c>
      <c r="J344" s="48">
        <v>46025</v>
      </c>
      <c r="K344" s="47">
        <v>7006861153</v>
      </c>
      <c r="L344" s="47" t="s">
        <v>6521</v>
      </c>
      <c r="M344" s="49" t="s">
        <v>7672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7961</v>
      </c>
      <c r="C345" s="47" t="s">
        <v>7956</v>
      </c>
      <c r="D345" s="47" t="s">
        <v>7957</v>
      </c>
      <c r="E345" s="47" t="s">
        <v>7958</v>
      </c>
      <c r="F345" s="47" t="s">
        <v>119</v>
      </c>
      <c r="G345" s="47" t="s">
        <v>200</v>
      </c>
      <c r="H345" s="47" t="str">
        <f t="shared" si="11"/>
        <v>PULWAMA</v>
      </c>
      <c r="I345" s="47" t="s">
        <v>7960</v>
      </c>
      <c r="J345" s="48">
        <v>46025</v>
      </c>
      <c r="K345" s="47">
        <v>9682505719</v>
      </c>
      <c r="L345" s="47" t="s">
        <v>7959</v>
      </c>
      <c r="M345" s="49" t="s">
        <v>7294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7970</v>
      </c>
      <c r="C346" s="47" t="s">
        <v>7967</v>
      </c>
      <c r="D346" s="47" t="s">
        <v>7968</v>
      </c>
      <c r="E346" s="47" t="s">
        <v>7969</v>
      </c>
      <c r="F346" s="47" t="s">
        <v>5</v>
      </c>
      <c r="G346" s="47" t="s">
        <v>199</v>
      </c>
      <c r="H346" s="47" t="str">
        <f t="shared" si="11"/>
        <v>SHOPIAN</v>
      </c>
      <c r="I346" s="47" t="s">
        <v>7976</v>
      </c>
      <c r="J346" s="48">
        <v>46025</v>
      </c>
      <c r="K346" s="47">
        <v>9103275011</v>
      </c>
      <c r="L346" s="47" t="s">
        <v>6570</v>
      </c>
      <c r="M346" s="49" t="s">
        <v>7294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8721</v>
      </c>
      <c r="C348" s="47" t="s">
        <v>8716</v>
      </c>
      <c r="D348" s="47" t="s">
        <v>8717</v>
      </c>
      <c r="E348" s="47" t="s">
        <v>8718</v>
      </c>
      <c r="F348" s="47" t="s">
        <v>238</v>
      </c>
      <c r="G348" s="47" t="s">
        <v>200</v>
      </c>
      <c r="H348" s="47" t="str">
        <f t="shared" si="11"/>
        <v>KARGIL</v>
      </c>
      <c r="I348" s="47" t="s">
        <v>8719</v>
      </c>
      <c r="J348" s="48">
        <v>46026</v>
      </c>
      <c r="K348" s="47">
        <v>9622719060</v>
      </c>
      <c r="L348" s="47" t="s">
        <v>8720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8079</v>
      </c>
      <c r="C349" s="47" t="s">
        <v>8076</v>
      </c>
      <c r="D349" s="47" t="s">
        <v>8077</v>
      </c>
      <c r="E349" s="47" t="s">
        <v>8078</v>
      </c>
      <c r="F349" s="47" t="s">
        <v>37</v>
      </c>
      <c r="G349" s="47" t="s">
        <v>199</v>
      </c>
      <c r="H349" s="47" t="str">
        <f t="shared" si="11"/>
        <v>BHARAT</v>
      </c>
      <c r="I349" s="47" t="s">
        <v>8131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8050</v>
      </c>
      <c r="C350" s="47" t="s">
        <v>8051</v>
      </c>
      <c r="D350" s="47" t="s">
        <v>8052</v>
      </c>
      <c r="E350" s="47" t="s">
        <v>8053</v>
      </c>
      <c r="F350" s="47" t="s">
        <v>8054</v>
      </c>
      <c r="G350" s="47" t="s">
        <v>226</v>
      </c>
      <c r="H350" s="47" t="str">
        <f t="shared" si="11"/>
        <v>SRINAGAR</v>
      </c>
      <c r="I350" s="47" t="s">
        <v>8089</v>
      </c>
      <c r="J350" s="48">
        <v>46027</v>
      </c>
      <c r="K350" s="47">
        <v>9797897619</v>
      </c>
      <c r="L350" s="47" t="s">
        <v>26</v>
      </c>
      <c r="M350" s="49" t="s">
        <v>7455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1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0"/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8034</v>
      </c>
      <c r="C354" s="47" t="s">
        <v>8032</v>
      </c>
      <c r="D354" s="47" t="s">
        <v>8033</v>
      </c>
      <c r="E354" s="47" t="s">
        <v>6433</v>
      </c>
      <c r="F354" s="47" t="s">
        <v>7401</v>
      </c>
      <c r="G354" s="47" t="s">
        <v>200</v>
      </c>
      <c r="H354" s="47" t="str">
        <f t="shared" si="11"/>
        <v>BARAMULLA</v>
      </c>
      <c r="I354" s="47" t="s">
        <v>8080</v>
      </c>
      <c r="J354" s="48">
        <v>46027</v>
      </c>
      <c r="K354" s="47">
        <v>7298545112</v>
      </c>
      <c r="L354" s="47" t="s">
        <v>26</v>
      </c>
      <c r="M354" s="49" t="s">
        <v>7616</v>
      </c>
      <c r="N354" s="48">
        <v>46036</v>
      </c>
      <c r="O354" s="47" t="s">
        <v>23</v>
      </c>
      <c r="P354" s="50">
        <v>46036</v>
      </c>
      <c r="Q354" s="47" t="s">
        <v>6460</v>
      </c>
      <c r="R354" s="47"/>
    </row>
    <row r="355" spans="1:18" x14ac:dyDescent="0.25">
      <c r="A355" s="47">
        <f t="shared" si="10"/>
        <v>354</v>
      </c>
      <c r="B355" s="47" t="s">
        <v>8041</v>
      </c>
      <c r="C355" s="47" t="s">
        <v>8039</v>
      </c>
      <c r="D355" s="47" t="s">
        <v>8040</v>
      </c>
      <c r="E355" s="47" t="s">
        <v>556</v>
      </c>
      <c r="F355" s="47" t="s">
        <v>119</v>
      </c>
      <c r="G355" s="47" t="s">
        <v>200</v>
      </c>
      <c r="H355" s="47" t="str">
        <f t="shared" si="11"/>
        <v>PULWAMA</v>
      </c>
      <c r="I355" s="47" t="s">
        <v>8082</v>
      </c>
      <c r="J355" s="48">
        <v>46027</v>
      </c>
      <c r="K355" s="47">
        <v>7780961447</v>
      </c>
      <c r="L355" s="47" t="s">
        <v>6521</v>
      </c>
      <c r="M355" s="49" t="s">
        <v>7715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8067</v>
      </c>
      <c r="C356" s="47" t="s">
        <v>8068</v>
      </c>
      <c r="D356" s="47" t="s">
        <v>8069</v>
      </c>
      <c r="E356" s="47" t="s">
        <v>8070</v>
      </c>
      <c r="F356" s="47" t="s">
        <v>5</v>
      </c>
      <c r="G356" s="47" t="s">
        <v>200</v>
      </c>
      <c r="H356" s="47" t="str">
        <f t="shared" si="11"/>
        <v>PULWAMA</v>
      </c>
      <c r="I356" s="47" t="s">
        <v>8084</v>
      </c>
      <c r="J356" s="48">
        <v>46027</v>
      </c>
      <c r="K356" s="47">
        <v>9419278824</v>
      </c>
      <c r="L356" s="47" t="s">
        <v>6521</v>
      </c>
      <c r="M356" s="49" t="s">
        <v>8618</v>
      </c>
      <c r="N356" s="48">
        <v>46057</v>
      </c>
      <c r="O356" s="47"/>
      <c r="P356" s="50"/>
      <c r="Q356" s="47"/>
      <c r="R356" s="47" t="s">
        <v>8092</v>
      </c>
    </row>
    <row r="357" spans="1:18" x14ac:dyDescent="0.25">
      <c r="A357" s="47">
        <f t="shared" si="10"/>
        <v>356</v>
      </c>
      <c r="B357" s="47" t="s">
        <v>8058</v>
      </c>
      <c r="C357" s="47" t="s">
        <v>8055</v>
      </c>
      <c r="D357" s="47" t="s">
        <v>8056</v>
      </c>
      <c r="E357" s="47" t="s">
        <v>8057</v>
      </c>
      <c r="F357" s="47" t="s">
        <v>12</v>
      </c>
      <c r="G357" s="47" t="s">
        <v>200</v>
      </c>
      <c r="H357" s="47" t="str">
        <f t="shared" si="11"/>
        <v>PULWAMA</v>
      </c>
      <c r="I357" s="47" t="s">
        <v>8083</v>
      </c>
      <c r="J357" s="48">
        <v>46027</v>
      </c>
      <c r="K357" s="47">
        <v>7298487838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0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0"/>
        <v>358</v>
      </c>
      <c r="B359" s="47" t="s">
        <v>8063</v>
      </c>
      <c r="C359" s="47" t="s">
        <v>8064</v>
      </c>
      <c r="D359" s="47" t="s">
        <v>8065</v>
      </c>
      <c r="E359" s="47" t="s">
        <v>8066</v>
      </c>
      <c r="F359" s="47" t="s">
        <v>119</v>
      </c>
      <c r="G359" s="47" t="s">
        <v>200</v>
      </c>
      <c r="H359" s="47" t="str">
        <f t="shared" si="11"/>
        <v>SHOPIAN</v>
      </c>
      <c r="I359" s="47" t="s">
        <v>8088</v>
      </c>
      <c r="J359" s="48">
        <v>46027</v>
      </c>
      <c r="K359" s="47">
        <v>9797071432</v>
      </c>
      <c r="L359" s="47" t="s">
        <v>6540</v>
      </c>
      <c r="M359" s="49" t="s">
        <v>7616</v>
      </c>
      <c r="N359" s="48">
        <v>46034</v>
      </c>
      <c r="O359" s="47" t="s">
        <v>23</v>
      </c>
      <c r="P359" s="50">
        <v>46028</v>
      </c>
      <c r="Q359" s="47" t="s">
        <v>6460</v>
      </c>
      <c r="R359" s="47" t="s">
        <v>8123</v>
      </c>
    </row>
    <row r="360" spans="1:18" x14ac:dyDescent="0.25">
      <c r="A360" s="47">
        <f t="shared" si="10"/>
        <v>359</v>
      </c>
      <c r="B360" s="47" t="s">
        <v>8038</v>
      </c>
      <c r="C360" s="47" t="s">
        <v>8035</v>
      </c>
      <c r="D360" s="47" t="s">
        <v>8036</v>
      </c>
      <c r="E360" s="47" t="s">
        <v>8037</v>
      </c>
      <c r="F360" s="47" t="s">
        <v>102</v>
      </c>
      <c r="G360" s="47" t="s">
        <v>181</v>
      </c>
      <c r="H360" s="47" t="str">
        <f t="shared" si="11"/>
        <v>TEMP</v>
      </c>
      <c r="I360" s="47" t="s">
        <v>8081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8104</v>
      </c>
      <c r="C361" s="47" t="s">
        <v>8105</v>
      </c>
      <c r="D361" s="47" t="s">
        <v>8106</v>
      </c>
      <c r="E361" s="47" t="s">
        <v>8107</v>
      </c>
      <c r="F361" s="47" t="s">
        <v>238</v>
      </c>
      <c r="G361" s="47" t="s">
        <v>200</v>
      </c>
      <c r="H361" s="47" t="str">
        <f t="shared" si="11"/>
        <v>SRINAGAR</v>
      </c>
      <c r="I361" s="47" t="s">
        <v>8119</v>
      </c>
      <c r="J361" s="48">
        <v>46028</v>
      </c>
      <c r="K361" s="47">
        <v>8899110779</v>
      </c>
      <c r="L361" s="47" t="s">
        <v>48</v>
      </c>
      <c r="M361" s="49" t="s">
        <v>7775</v>
      </c>
      <c r="N361" s="48">
        <v>46030</v>
      </c>
      <c r="O361" s="47" t="s">
        <v>23</v>
      </c>
      <c r="P361" s="50">
        <v>46030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8038</v>
      </c>
      <c r="C362" s="47" t="s">
        <v>8125</v>
      </c>
      <c r="D362" s="47" t="s">
        <v>8126</v>
      </c>
      <c r="E362" s="47" t="s">
        <v>3192</v>
      </c>
      <c r="F362" s="47" t="s">
        <v>119</v>
      </c>
      <c r="G362" s="47" t="s">
        <v>221</v>
      </c>
      <c r="H362" s="47" t="str">
        <f t="shared" si="11"/>
        <v>SRINAGAR</v>
      </c>
      <c r="I362" s="47" t="s">
        <v>8165</v>
      </c>
      <c r="J362" s="48">
        <v>46028</v>
      </c>
      <c r="K362" s="47">
        <v>9906796717</v>
      </c>
      <c r="L362" s="47" t="s">
        <v>75</v>
      </c>
      <c r="M362" s="49" t="s">
        <v>7894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 t="shared" si="10"/>
        <v>362</v>
      </c>
      <c r="B363" s="47" t="s">
        <v>8098</v>
      </c>
      <c r="C363" s="47" t="s">
        <v>8095</v>
      </c>
      <c r="D363" s="47" t="s">
        <v>8096</v>
      </c>
      <c r="E363" s="47" t="s">
        <v>8097</v>
      </c>
      <c r="F363" s="47" t="s">
        <v>31</v>
      </c>
      <c r="G363" s="47" t="s">
        <v>200</v>
      </c>
      <c r="H363" s="47" t="str">
        <f t="shared" si="11"/>
        <v>BUDGAM</v>
      </c>
      <c r="I363" s="47" t="s">
        <v>8118</v>
      </c>
      <c r="J363" s="48">
        <v>46028</v>
      </c>
      <c r="K363" s="47">
        <v>7780804850</v>
      </c>
      <c r="L363" s="47" t="s">
        <v>2172</v>
      </c>
      <c r="M363" s="49" t="s">
        <v>7716</v>
      </c>
      <c r="N363" s="48">
        <v>46030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8099</v>
      </c>
      <c r="C364" s="47" t="s">
        <v>8100</v>
      </c>
      <c r="D364" s="47" t="s">
        <v>8101</v>
      </c>
      <c r="E364" s="47" t="s">
        <v>8102</v>
      </c>
      <c r="F364" s="47" t="s">
        <v>31</v>
      </c>
      <c r="G364" s="47" t="s">
        <v>200</v>
      </c>
      <c r="H364" s="47" t="str">
        <f t="shared" si="11"/>
        <v>BUDGAM</v>
      </c>
      <c r="I364" s="47" t="s">
        <v>8117</v>
      </c>
      <c r="J364" s="48">
        <v>46028</v>
      </c>
      <c r="K364" s="47">
        <v>9622595048</v>
      </c>
      <c r="L364" s="47" t="s">
        <v>8103</v>
      </c>
      <c r="M364" s="49" t="s">
        <v>8228</v>
      </c>
      <c r="N364" s="48">
        <v>46031</v>
      </c>
      <c r="O364" s="47" t="s">
        <v>23</v>
      </c>
      <c r="P364" s="50">
        <v>46031</v>
      </c>
      <c r="Q364" s="47" t="s">
        <v>6460</v>
      </c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0"/>
        <v>366</v>
      </c>
      <c r="B367" s="47" t="s">
        <v>8111</v>
      </c>
      <c r="C367" s="47" t="s">
        <v>8112</v>
      </c>
      <c r="D367" s="47" t="s">
        <v>8113</v>
      </c>
      <c r="E367" s="47" t="s">
        <v>8114</v>
      </c>
      <c r="F367" s="47" t="s">
        <v>102</v>
      </c>
      <c r="G367" s="47" t="s">
        <v>199</v>
      </c>
      <c r="H367" s="47" t="str">
        <f t="shared" si="11"/>
        <v>PULWAMA</v>
      </c>
      <c r="I367" s="47" t="s">
        <v>8115</v>
      </c>
      <c r="J367" s="48">
        <v>46028</v>
      </c>
      <c r="K367" s="47">
        <v>7889385453</v>
      </c>
      <c r="L367" s="47" t="s">
        <v>6451</v>
      </c>
      <c r="M367" s="49" t="s">
        <v>8239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8171</v>
      </c>
      <c r="C369" s="47" t="s">
        <v>8168</v>
      </c>
      <c r="D369" s="47" t="s">
        <v>8169</v>
      </c>
      <c r="E369" s="47" t="s">
        <v>8170</v>
      </c>
      <c r="F369" s="47" t="s">
        <v>3130</v>
      </c>
      <c r="G369" s="47" t="s">
        <v>6475</v>
      </c>
      <c r="H369" s="47" t="str">
        <f t="shared" si="11"/>
        <v>BANDIPORA</v>
      </c>
      <c r="I369" s="47" t="s">
        <v>8172</v>
      </c>
      <c r="J369" s="48">
        <v>46029</v>
      </c>
      <c r="K369" s="47">
        <v>9596443329</v>
      </c>
      <c r="L369" s="47" t="s">
        <v>6832</v>
      </c>
      <c r="M369" s="49" t="s">
        <v>8236</v>
      </c>
      <c r="N369" s="48">
        <v>46032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8183</v>
      </c>
      <c r="C370" s="47" t="s">
        <v>8185</v>
      </c>
      <c r="D370" s="47" t="s">
        <v>8192</v>
      </c>
      <c r="E370" s="47" t="s">
        <v>8184</v>
      </c>
      <c r="F370" s="47" t="s">
        <v>5</v>
      </c>
      <c r="G370" s="47" t="s">
        <v>200</v>
      </c>
      <c r="H370" s="47" t="str">
        <f t="shared" si="11"/>
        <v>SRINAGAR</v>
      </c>
      <c r="I370" s="47" t="s">
        <v>8186</v>
      </c>
      <c r="J370" s="48">
        <v>46030</v>
      </c>
      <c r="K370" s="47">
        <v>7889664350</v>
      </c>
      <c r="L370" s="47" t="s">
        <v>18</v>
      </c>
      <c r="M370" s="49" t="s">
        <v>7775</v>
      </c>
      <c r="N370" s="48">
        <v>46034</v>
      </c>
      <c r="O370" s="47" t="s">
        <v>23</v>
      </c>
      <c r="P370" s="50">
        <v>46030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0"/>
        <v>372</v>
      </c>
      <c r="B373" s="47" t="s">
        <v>8213</v>
      </c>
      <c r="C373" s="47" t="s">
        <v>8214</v>
      </c>
      <c r="D373" s="47" t="s">
        <v>8215</v>
      </c>
      <c r="E373" s="47" t="s">
        <v>8216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8221</v>
      </c>
      <c r="J373" s="48">
        <v>46030</v>
      </c>
      <c r="K373" s="47">
        <v>6005379500</v>
      </c>
      <c r="L373" s="47" t="s">
        <v>8217</v>
      </c>
      <c r="M373" s="49" t="s">
        <v>8326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 t="shared" si="10"/>
        <v>373</v>
      </c>
      <c r="B374" s="47" t="s">
        <v>8190</v>
      </c>
      <c r="C374" s="47" t="s">
        <v>8187</v>
      </c>
      <c r="D374" s="47" t="s">
        <v>8188</v>
      </c>
      <c r="E374" s="47" t="s">
        <v>8189</v>
      </c>
      <c r="F374" s="47" t="s">
        <v>6546</v>
      </c>
      <c r="G374" s="47" t="s">
        <v>200</v>
      </c>
      <c r="H374" s="47" t="str">
        <f t="shared" si="11"/>
        <v>KULGAM</v>
      </c>
      <c r="I374" s="47" t="s">
        <v>8197</v>
      </c>
      <c r="J374" s="48">
        <v>46030</v>
      </c>
      <c r="K374" s="47">
        <v>9541822070</v>
      </c>
      <c r="L374" s="47" t="s">
        <v>6570</v>
      </c>
      <c r="M374" s="49" t="s">
        <v>8227</v>
      </c>
      <c r="N374" s="48">
        <v>46034</v>
      </c>
      <c r="O374" s="47"/>
      <c r="P374" s="50"/>
      <c r="Q374" s="47"/>
      <c r="R374" s="47" t="s">
        <v>8211</v>
      </c>
    </row>
    <row r="375" spans="1:18" x14ac:dyDescent="0.25">
      <c r="A375" s="47">
        <f t="shared" si="10"/>
        <v>374</v>
      </c>
      <c r="B375" s="47" t="s">
        <v>8191</v>
      </c>
      <c r="C375" s="47" t="s">
        <v>8194</v>
      </c>
      <c r="D375" s="47" t="s">
        <v>8195</v>
      </c>
      <c r="E375" s="47" t="s">
        <v>8196</v>
      </c>
      <c r="F375" s="47" t="s">
        <v>5</v>
      </c>
      <c r="G375" s="47" t="s">
        <v>181</v>
      </c>
      <c r="H375" s="47" t="str">
        <f t="shared" si="11"/>
        <v>SHOPIAN</v>
      </c>
      <c r="I375" s="47" t="s">
        <v>8206</v>
      </c>
      <c r="J375" s="48">
        <v>46030</v>
      </c>
      <c r="K375" s="47">
        <v>9906656754</v>
      </c>
      <c r="L375" s="47" t="s">
        <v>6451</v>
      </c>
      <c r="M375" s="49" t="s">
        <v>8239</v>
      </c>
      <c r="N375" s="48">
        <v>46032</v>
      </c>
      <c r="O375" s="47"/>
      <c r="P375" s="50"/>
      <c r="Q375" s="47"/>
      <c r="R375" s="47" t="s">
        <v>7176</v>
      </c>
    </row>
    <row r="376" spans="1:18" x14ac:dyDescent="0.25">
      <c r="A376" s="47">
        <f t="shared" si="10"/>
        <v>375</v>
      </c>
      <c r="B376" s="47" t="s">
        <v>8234</v>
      </c>
      <c r="C376" s="47" t="s">
        <v>8232</v>
      </c>
      <c r="D376" s="47" t="s">
        <v>8233</v>
      </c>
      <c r="E376" s="47" t="s">
        <v>3775</v>
      </c>
      <c r="F376" s="47" t="s">
        <v>31</v>
      </c>
      <c r="G376" s="47" t="s">
        <v>200</v>
      </c>
      <c r="H376" s="47" t="str">
        <f t="shared" si="11"/>
        <v>PULWAMA</v>
      </c>
      <c r="I376" s="47" t="s">
        <v>8235</v>
      </c>
      <c r="J376" s="48">
        <v>46032</v>
      </c>
      <c r="K376" s="47">
        <v>7006077313</v>
      </c>
      <c r="L376" s="47" t="s">
        <v>6521</v>
      </c>
      <c r="M376" s="49"/>
      <c r="N376" s="48"/>
      <c r="O376" s="47"/>
      <c r="P376" s="50"/>
      <c r="Q376" s="47"/>
      <c r="R376" s="47" t="s">
        <v>8238</v>
      </c>
    </row>
    <row r="377" spans="1:18" x14ac:dyDescent="0.25">
      <c r="A377" s="47">
        <f t="shared" si="10"/>
        <v>376</v>
      </c>
      <c r="B377" s="47" t="s">
        <v>8274</v>
      </c>
      <c r="C377" s="47" t="s">
        <v>8276</v>
      </c>
      <c r="D377" s="47" t="s">
        <v>8277</v>
      </c>
      <c r="E377" s="47" t="s">
        <v>8275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8278</v>
      </c>
      <c r="J377" s="48">
        <v>46038</v>
      </c>
      <c r="K377" s="47">
        <v>9622544857</v>
      </c>
      <c r="L377" s="47" t="s">
        <v>551</v>
      </c>
      <c r="M377" s="49"/>
      <c r="N377" s="48"/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 t="shared" si="10"/>
        <v>377</v>
      </c>
      <c r="B378" s="47" t="s">
        <v>8268</v>
      </c>
      <c r="C378" s="47" t="s">
        <v>8269</v>
      </c>
      <c r="D378" s="47" t="s">
        <v>8271</v>
      </c>
      <c r="E378" s="47" t="s">
        <v>8270</v>
      </c>
      <c r="F378" s="47" t="s">
        <v>8272</v>
      </c>
      <c r="G378" s="47" t="s">
        <v>200</v>
      </c>
      <c r="H378" s="47" t="str">
        <f t="shared" si="11"/>
        <v>SHOPIAN</v>
      </c>
      <c r="I378" s="47" t="s">
        <v>8273</v>
      </c>
      <c r="J378" s="48">
        <v>46038</v>
      </c>
      <c r="K378" s="47">
        <v>7006595403</v>
      </c>
      <c r="L378" s="47" t="s">
        <v>6570</v>
      </c>
      <c r="M378" s="49" t="s">
        <v>8315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 t="shared" si="10"/>
        <v>378</v>
      </c>
      <c r="B379" s="47" t="s">
        <v>8287</v>
      </c>
      <c r="C379" s="47" t="s">
        <v>8284</v>
      </c>
      <c r="D379" s="47" t="s">
        <v>8285</v>
      </c>
      <c r="E379" s="47" t="s">
        <v>8286</v>
      </c>
      <c r="F379" s="47" t="s">
        <v>31</v>
      </c>
      <c r="G379" s="47" t="s">
        <v>200</v>
      </c>
      <c r="H379" s="47" t="str">
        <f t="shared" si="11"/>
        <v>BUDGAM</v>
      </c>
      <c r="I379" s="47" t="s">
        <v>8294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8299</v>
      </c>
      <c r="C380" s="47" t="s">
        <v>8300</v>
      </c>
      <c r="D380" s="47" t="s">
        <v>8301</v>
      </c>
      <c r="E380" s="47" t="s">
        <v>8302</v>
      </c>
      <c r="F380" s="47" t="s">
        <v>31</v>
      </c>
      <c r="G380" s="47" t="s">
        <v>200</v>
      </c>
      <c r="H380" s="47" t="str">
        <f t="shared" si="11"/>
        <v>SRINAGAR</v>
      </c>
      <c r="I380" s="47" t="s">
        <v>8304</v>
      </c>
      <c r="J380" s="48">
        <v>46041</v>
      </c>
      <c r="K380" s="47">
        <v>9797865646</v>
      </c>
      <c r="L380" s="47" t="s">
        <v>26</v>
      </c>
      <c r="M380" s="49" t="s">
        <v>8094</v>
      </c>
      <c r="N380" s="48">
        <v>46043</v>
      </c>
      <c r="O380" s="47" t="s">
        <v>23</v>
      </c>
      <c r="P380" s="50">
        <v>46042</v>
      </c>
      <c r="Q380" s="47" t="s">
        <v>6460</v>
      </c>
      <c r="R380" s="47"/>
    </row>
    <row r="381" spans="1:18" x14ac:dyDescent="0.25">
      <c r="A381" s="47">
        <f t="shared" si="10"/>
        <v>380</v>
      </c>
      <c r="B381" s="47" t="s">
        <v>8295</v>
      </c>
      <c r="C381" s="47" t="s">
        <v>8296</v>
      </c>
      <c r="D381" s="47" t="s">
        <v>8297</v>
      </c>
      <c r="E381" s="47" t="s">
        <v>8298</v>
      </c>
      <c r="F381" s="47" t="s">
        <v>3130</v>
      </c>
      <c r="G381" s="47" t="s">
        <v>6475</v>
      </c>
      <c r="H381" s="47" t="str">
        <f t="shared" si="11"/>
        <v>SRINAGAR</v>
      </c>
      <c r="I381" s="47" t="s">
        <v>8303</v>
      </c>
      <c r="J381" s="48">
        <v>46041</v>
      </c>
      <c r="K381" s="47">
        <v>9906774785</v>
      </c>
      <c r="L381" s="47" t="s">
        <v>484</v>
      </c>
      <c r="M381" s="49"/>
      <c r="N381" s="48"/>
      <c r="O381" s="47" t="s">
        <v>23</v>
      </c>
      <c r="P381" s="50">
        <v>46043</v>
      </c>
      <c r="Q381" s="47" t="s">
        <v>6460</v>
      </c>
      <c r="R381" s="47" t="s">
        <v>8354</v>
      </c>
    </row>
    <row r="382" spans="1:18" x14ac:dyDescent="0.25">
      <c r="A382" s="47">
        <f t="shared" si="10"/>
        <v>381</v>
      </c>
      <c r="B382" s="47" t="s">
        <v>8291</v>
      </c>
      <c r="C382" s="47" t="s">
        <v>8289</v>
      </c>
      <c r="D382" s="47" t="s">
        <v>8290</v>
      </c>
      <c r="E382" s="47" t="s">
        <v>3244</v>
      </c>
      <c r="F382" s="47" t="s">
        <v>31</v>
      </c>
      <c r="G382" s="47" t="s">
        <v>200</v>
      </c>
      <c r="H382" s="47" t="str">
        <f t="shared" si="11"/>
        <v>SRINAGAR</v>
      </c>
      <c r="I382" s="47" t="s">
        <v>8292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6460</v>
      </c>
      <c r="R382" s="47"/>
    </row>
    <row r="383" spans="1:18" x14ac:dyDescent="0.25">
      <c r="A383" s="47">
        <f t="shared" si="10"/>
        <v>382</v>
      </c>
      <c r="B383" s="47" t="s">
        <v>8281</v>
      </c>
      <c r="C383" s="47" t="s">
        <v>8279</v>
      </c>
      <c r="D383" s="47" t="s">
        <v>8288</v>
      </c>
      <c r="E383" s="47" t="s">
        <v>8280</v>
      </c>
      <c r="F383" s="47" t="s">
        <v>31</v>
      </c>
      <c r="G383" s="47" t="s">
        <v>175</v>
      </c>
      <c r="H383" s="47" t="str">
        <f t="shared" si="11"/>
        <v>SRINAGAR</v>
      </c>
      <c r="I383" s="47" t="s">
        <v>8307</v>
      </c>
      <c r="J383" s="48">
        <v>46042</v>
      </c>
      <c r="K383" s="47">
        <v>7022282286</v>
      </c>
      <c r="L383" s="47" t="s">
        <v>2172</v>
      </c>
      <c r="M383" s="49" t="s">
        <v>7714</v>
      </c>
      <c r="N383" s="48">
        <v>46044</v>
      </c>
      <c r="O383" s="47" t="s">
        <v>23</v>
      </c>
      <c r="P383" s="50">
        <v>46042</v>
      </c>
      <c r="Q383" s="47" t="s">
        <v>8167</v>
      </c>
      <c r="R383" s="47"/>
    </row>
    <row r="384" spans="1:18" x14ac:dyDescent="0.25">
      <c r="A384" s="47">
        <f t="shared" si="10"/>
        <v>383</v>
      </c>
      <c r="B384" s="47" t="s">
        <v>8314</v>
      </c>
      <c r="C384" s="47" t="s">
        <v>8311</v>
      </c>
      <c r="D384" s="47" t="s">
        <v>8312</v>
      </c>
      <c r="E384" s="47" t="s">
        <v>8313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8321</v>
      </c>
      <c r="J384" s="48">
        <v>46042</v>
      </c>
      <c r="K384" s="47">
        <v>8899068335</v>
      </c>
      <c r="L384" s="47" t="s">
        <v>6521</v>
      </c>
      <c r="M384" s="49" t="s">
        <v>8618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8310</v>
      </c>
      <c r="C385" s="47" t="s">
        <v>8308</v>
      </c>
      <c r="D385" s="47" t="s">
        <v>8309</v>
      </c>
      <c r="E385" s="47" t="s">
        <v>3155</v>
      </c>
      <c r="F385" s="47" t="s">
        <v>12</v>
      </c>
      <c r="G385" s="47" t="s">
        <v>181</v>
      </c>
      <c r="H385" s="47" t="str">
        <f t="shared" si="11"/>
        <v>BUDGAM</v>
      </c>
      <c r="I385" s="47" t="s">
        <v>8320</v>
      </c>
      <c r="J385" s="48">
        <v>46042</v>
      </c>
      <c r="K385" s="47">
        <v>9906655656</v>
      </c>
      <c r="L385" s="47" t="s">
        <v>484</v>
      </c>
      <c r="M385" s="49" t="s">
        <v>7455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 t="shared" ref="A386:A452" si="12">ROW()-1</f>
        <v>385</v>
      </c>
      <c r="B386" s="47" t="s">
        <v>8319</v>
      </c>
      <c r="C386" s="47" t="s">
        <v>8316</v>
      </c>
      <c r="D386" s="47" t="s">
        <v>8317</v>
      </c>
      <c r="E386" s="47" t="s">
        <v>8318</v>
      </c>
      <c r="F386" s="47" t="s">
        <v>119</v>
      </c>
      <c r="G386" s="47" t="s">
        <v>175</v>
      </c>
      <c r="H386" s="47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8322</v>
      </c>
      <c r="J386" s="48">
        <v>46042</v>
      </c>
      <c r="K386" s="47">
        <v>7006739253</v>
      </c>
      <c r="L386" s="47" t="s">
        <v>6570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8330</v>
      </c>
      <c r="C387" s="47" t="s">
        <v>8327</v>
      </c>
      <c r="D387" s="47" t="s">
        <v>8328</v>
      </c>
      <c r="E387" s="47" t="s">
        <v>8329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8349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8347</v>
      </c>
      <c r="C389" s="47" t="s">
        <v>8344</v>
      </c>
      <c r="D389" s="47" t="s">
        <v>8345</v>
      </c>
      <c r="E389" s="47" t="s">
        <v>8346</v>
      </c>
      <c r="F389" s="47" t="s">
        <v>8343</v>
      </c>
      <c r="G389" s="47" t="s">
        <v>200</v>
      </c>
      <c r="H389" s="47" t="str">
        <f t="shared" si="13"/>
        <v>SRINAGAR</v>
      </c>
      <c r="I389" s="47" t="s">
        <v>8348</v>
      </c>
      <c r="J389" s="48">
        <v>46043</v>
      </c>
      <c r="K389" s="47">
        <v>8899953394</v>
      </c>
      <c r="L389" s="47" t="s">
        <v>75</v>
      </c>
      <c r="M389" s="49" t="s">
        <v>7455</v>
      </c>
      <c r="N389" s="48">
        <v>46043</v>
      </c>
      <c r="O389" s="47" t="s">
        <v>23</v>
      </c>
      <c r="P389" s="50">
        <v>46043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8267</v>
      </c>
      <c r="C390" s="47" t="s">
        <v>8264</v>
      </c>
      <c r="D390" s="47" t="s">
        <v>8265</v>
      </c>
      <c r="E390" s="47" t="s">
        <v>6338</v>
      </c>
      <c r="F390" s="47" t="s">
        <v>8266</v>
      </c>
      <c r="G390" s="47" t="s">
        <v>174</v>
      </c>
      <c r="H390" s="47" t="str">
        <f t="shared" si="13"/>
        <v>SRINAGAR</v>
      </c>
      <c r="I390" s="47" t="s">
        <v>8370</v>
      </c>
      <c r="J390" s="48">
        <v>46043</v>
      </c>
      <c r="K390" s="47">
        <v>9797454728</v>
      </c>
      <c r="L390" s="47" t="s">
        <v>1592</v>
      </c>
      <c r="M390" s="49"/>
      <c r="N390" s="48"/>
      <c r="O390" s="47" t="s">
        <v>23</v>
      </c>
      <c r="P390" s="50">
        <v>46058</v>
      </c>
      <c r="Q390" s="47" t="s">
        <v>6460</v>
      </c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8339</v>
      </c>
      <c r="C393" s="47" t="s">
        <v>8340</v>
      </c>
      <c r="D393" s="47" t="s">
        <v>8341</v>
      </c>
      <c r="E393" s="47" t="s">
        <v>8342</v>
      </c>
      <c r="F393" s="47" t="s">
        <v>8343</v>
      </c>
      <c r="G393" s="47" t="s">
        <v>200</v>
      </c>
      <c r="H393" s="47" t="str">
        <f t="shared" si="13"/>
        <v>SHOPIAN</v>
      </c>
      <c r="I393" s="47" t="s">
        <v>8350</v>
      </c>
      <c r="J393" s="48">
        <v>46043</v>
      </c>
      <c r="K393" s="47">
        <v>9906439950</v>
      </c>
      <c r="L393" s="47" t="s">
        <v>7959</v>
      </c>
      <c r="M393" s="49" t="s">
        <v>8315</v>
      </c>
      <c r="N393" s="48">
        <v>46059</v>
      </c>
      <c r="O393" s="47" t="s">
        <v>23</v>
      </c>
      <c r="P393" s="50">
        <v>46043</v>
      </c>
      <c r="Q393" s="47" t="s">
        <v>8167</v>
      </c>
      <c r="R393" s="47" t="s">
        <v>8353</v>
      </c>
    </row>
    <row r="394" spans="1:18" x14ac:dyDescent="0.25">
      <c r="A394" s="47">
        <f t="shared" si="12"/>
        <v>393</v>
      </c>
      <c r="B394" s="47" t="s">
        <v>8375</v>
      </c>
      <c r="C394" s="47" t="s">
        <v>8372</v>
      </c>
      <c r="D394" s="47" t="s">
        <v>8373</v>
      </c>
      <c r="E394" s="47" t="s">
        <v>8374</v>
      </c>
      <c r="F394" s="47" t="s">
        <v>125</v>
      </c>
      <c r="G394" s="47" t="s">
        <v>174</v>
      </c>
      <c r="H394" s="47" t="str">
        <f t="shared" si="13"/>
        <v>PULWAMA</v>
      </c>
      <c r="I394" s="47" t="s">
        <v>8376</v>
      </c>
      <c r="J394" s="48">
        <v>46044</v>
      </c>
      <c r="K394" s="47">
        <v>9622626268</v>
      </c>
      <c r="L394" s="47" t="s">
        <v>6521</v>
      </c>
      <c r="M394" s="49" t="s">
        <v>8618</v>
      </c>
      <c r="N394" s="48">
        <v>46056</v>
      </c>
      <c r="O394" s="47"/>
      <c r="P394" s="50"/>
      <c r="Q394" s="47"/>
      <c r="R394" s="47" t="s">
        <v>8353</v>
      </c>
    </row>
    <row r="395" spans="1:18" x14ac:dyDescent="0.25">
      <c r="A395" s="47">
        <f t="shared" si="12"/>
        <v>394</v>
      </c>
      <c r="B395" s="47" t="s">
        <v>8382</v>
      </c>
      <c r="C395" s="47" t="s">
        <v>8378</v>
      </c>
      <c r="D395" s="47" t="s">
        <v>8379</v>
      </c>
      <c r="E395" s="47" t="s">
        <v>8380</v>
      </c>
      <c r="F395" s="47" t="s">
        <v>849</v>
      </c>
      <c r="G395" s="47" t="s">
        <v>200</v>
      </c>
      <c r="H395" s="47" t="str">
        <f t="shared" si="13"/>
        <v>SRINAGAR</v>
      </c>
      <c r="I395" s="47" t="s">
        <v>8381</v>
      </c>
      <c r="J395" s="48">
        <v>46049</v>
      </c>
      <c r="K395" s="47">
        <v>7889538703</v>
      </c>
      <c r="L395" s="47" t="s">
        <v>26</v>
      </c>
      <c r="M395" s="49" t="s">
        <v>7775</v>
      </c>
      <c r="N395" s="48">
        <v>46049</v>
      </c>
      <c r="O395" s="47" t="s">
        <v>23</v>
      </c>
      <c r="P395" s="50">
        <v>46049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 t="s">
        <v>7616</v>
      </c>
      <c r="N396" s="48">
        <v>46062</v>
      </c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8387</v>
      </c>
      <c r="C397" s="47" t="s">
        <v>8384</v>
      </c>
      <c r="D397" s="47" t="s">
        <v>8385</v>
      </c>
      <c r="E397" s="47" t="s">
        <v>8386</v>
      </c>
      <c r="F397" s="47" t="s">
        <v>31</v>
      </c>
      <c r="G397" s="47" t="s">
        <v>175</v>
      </c>
      <c r="H397" s="47" t="str">
        <f t="shared" si="13"/>
        <v>BUDGAM</v>
      </c>
      <c r="I397" s="47" t="s">
        <v>8395</v>
      </c>
      <c r="J397" s="48">
        <v>46050</v>
      </c>
      <c r="K397" s="47">
        <v>6006516082</v>
      </c>
      <c r="L397" s="47" t="s">
        <v>61</v>
      </c>
      <c r="M397" s="49" t="s">
        <v>8595</v>
      </c>
      <c r="N397" s="48">
        <v>46056</v>
      </c>
      <c r="O397" s="47" t="s">
        <v>23</v>
      </c>
      <c r="P397" s="50">
        <v>46055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8618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 t="shared" si="12"/>
        <v>398</v>
      </c>
      <c r="B399" s="47" t="s">
        <v>8394</v>
      </c>
      <c r="C399" s="47" t="s">
        <v>8392</v>
      </c>
      <c r="D399" s="47" t="s">
        <v>8393</v>
      </c>
      <c r="E399" s="47" t="s">
        <v>8176</v>
      </c>
      <c r="F399" s="47" t="s">
        <v>37</v>
      </c>
      <c r="G399" s="47" t="s">
        <v>181</v>
      </c>
      <c r="H399" s="47" t="str">
        <f t="shared" si="13"/>
        <v>PULWAMA</v>
      </c>
      <c r="I399" s="47" t="s">
        <v>8397</v>
      </c>
      <c r="J399" s="48">
        <v>46050</v>
      </c>
      <c r="K399" s="47">
        <v>7006154741</v>
      </c>
      <c r="L399" s="47" t="s">
        <v>26</v>
      </c>
      <c r="M399" s="49" t="s">
        <v>8531</v>
      </c>
      <c r="N399" s="48">
        <v>46053</v>
      </c>
      <c r="O399" s="47" t="s">
        <v>23</v>
      </c>
      <c r="P399" s="50">
        <v>46050</v>
      </c>
      <c r="Q399" s="47" t="s">
        <v>6460</v>
      </c>
      <c r="R399" s="47"/>
    </row>
    <row r="400" spans="1:18" x14ac:dyDescent="0.25">
      <c r="A400" s="47">
        <f t="shared" si="12"/>
        <v>399</v>
      </c>
      <c r="B400" s="47" t="s">
        <v>8405</v>
      </c>
      <c r="C400" s="47" t="s">
        <v>8402</v>
      </c>
      <c r="D400" s="47" t="s">
        <v>8403</v>
      </c>
      <c r="E400" s="47" t="s">
        <v>8404</v>
      </c>
      <c r="F400" s="47" t="s">
        <v>290</v>
      </c>
      <c r="G400" s="47" t="s">
        <v>200</v>
      </c>
      <c r="H400" s="47" t="str">
        <f t="shared" si="13"/>
        <v>SHOPIAN</v>
      </c>
      <c r="I400" s="47" t="s">
        <v>8406</v>
      </c>
      <c r="J400" s="48">
        <v>46050</v>
      </c>
      <c r="K400" s="47">
        <v>6005048054</v>
      </c>
      <c r="L400" s="47" t="s">
        <v>7959</v>
      </c>
      <c r="M400" s="49" t="s">
        <v>8696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 t="shared" si="12"/>
        <v>400</v>
      </c>
      <c r="B401" s="47" t="s">
        <v>8450</v>
      </c>
      <c r="C401" s="47" t="s">
        <v>8451</v>
      </c>
      <c r="D401" s="47" t="s">
        <v>8452</v>
      </c>
      <c r="E401" s="47" t="s">
        <v>8453</v>
      </c>
      <c r="F401" s="47" t="s">
        <v>67</v>
      </c>
      <c r="G401" s="47" t="s">
        <v>200</v>
      </c>
      <c r="H401" s="47" t="str">
        <f t="shared" si="13"/>
        <v>SRINAGAR</v>
      </c>
      <c r="I401" s="47" t="s">
        <v>8462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8440</v>
      </c>
      <c r="C402" s="47" t="s">
        <v>8441</v>
      </c>
      <c r="D402" s="47" t="s">
        <v>8442</v>
      </c>
      <c r="E402" s="47" t="s">
        <v>4781</v>
      </c>
      <c r="F402" s="47" t="s">
        <v>125</v>
      </c>
      <c r="G402" s="47" t="s">
        <v>175</v>
      </c>
      <c r="H402" s="47" t="str">
        <f t="shared" si="13"/>
        <v>SRINAGAR</v>
      </c>
      <c r="I402" s="47" t="s">
        <v>8448</v>
      </c>
      <c r="J402" s="48">
        <v>46051</v>
      </c>
      <c r="K402" s="47">
        <v>7006788825</v>
      </c>
      <c r="L402" s="47" t="s">
        <v>307</v>
      </c>
      <c r="M402" s="49" t="s">
        <v>8093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8454</v>
      </c>
      <c r="C403" s="47" t="s">
        <v>8455</v>
      </c>
      <c r="D403" s="47" t="s">
        <v>8456</v>
      </c>
      <c r="E403" s="47" t="s">
        <v>8457</v>
      </c>
      <c r="F403" s="47" t="s">
        <v>31</v>
      </c>
      <c r="G403" s="47" t="s">
        <v>175</v>
      </c>
      <c r="H403" s="47" t="str">
        <f t="shared" si="13"/>
        <v>SRINAGAR</v>
      </c>
      <c r="I403" s="47" t="s">
        <v>8463</v>
      </c>
      <c r="J403" s="48">
        <v>46051</v>
      </c>
      <c r="K403" s="47">
        <v>7006896658</v>
      </c>
      <c r="L403" s="47" t="s">
        <v>75</v>
      </c>
      <c r="M403" s="49" t="s">
        <v>7775</v>
      </c>
      <c r="N403" s="48">
        <v>46053</v>
      </c>
      <c r="O403" s="47" t="s">
        <v>23</v>
      </c>
      <c r="P403" s="50">
        <v>46053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8411</v>
      </c>
      <c r="C404" s="47" t="s">
        <v>8412</v>
      </c>
      <c r="D404" s="47" t="s">
        <v>8413</v>
      </c>
      <c r="E404" s="47" t="s">
        <v>8414</v>
      </c>
      <c r="F404" s="47" t="s">
        <v>8415</v>
      </c>
      <c r="G404" s="47" t="s">
        <v>199</v>
      </c>
      <c r="H404" s="47" t="str">
        <f t="shared" si="13"/>
        <v>SRINAGAR</v>
      </c>
      <c r="I404" s="47" t="s">
        <v>8434</v>
      </c>
      <c r="J404" s="48">
        <v>46051</v>
      </c>
      <c r="K404" s="47">
        <v>9596194280</v>
      </c>
      <c r="L404" s="47" t="s">
        <v>26</v>
      </c>
      <c r="M404" s="49" t="s">
        <v>7616</v>
      </c>
      <c r="N404" s="48">
        <v>46052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8419</v>
      </c>
      <c r="C405" s="47" t="s">
        <v>8418</v>
      </c>
      <c r="D405" s="47" t="s">
        <v>8417</v>
      </c>
      <c r="E405" s="47" t="s">
        <v>3561</v>
      </c>
      <c r="F405" s="47" t="s">
        <v>8415</v>
      </c>
      <c r="G405" s="47" t="s">
        <v>199</v>
      </c>
      <c r="H405" s="47" t="str">
        <f t="shared" si="13"/>
        <v>SRINAGAR</v>
      </c>
      <c r="I405" s="47" t="s">
        <v>8416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8425</v>
      </c>
      <c r="C406" s="47" t="s">
        <v>8426</v>
      </c>
      <c r="D406" s="47" t="s">
        <v>8427</v>
      </c>
      <c r="E406" s="47" t="s">
        <v>8428</v>
      </c>
      <c r="F406" s="47" t="s">
        <v>8424</v>
      </c>
      <c r="G406" s="47" t="s">
        <v>181</v>
      </c>
      <c r="H406" s="47" t="str">
        <f t="shared" si="13"/>
        <v>BUDGAM</v>
      </c>
      <c r="I406" s="47" t="s">
        <v>8433</v>
      </c>
      <c r="J406" s="48">
        <v>46051</v>
      </c>
      <c r="K406" s="47">
        <v>7006260958</v>
      </c>
      <c r="L406" s="47" t="s">
        <v>75</v>
      </c>
      <c r="M406" s="49" t="s">
        <v>7894</v>
      </c>
      <c r="N406" s="48">
        <v>46060</v>
      </c>
      <c r="O406" s="47" t="s">
        <v>23</v>
      </c>
      <c r="P406" s="48">
        <v>46060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8443</v>
      </c>
      <c r="C407" s="47" t="s">
        <v>8444</v>
      </c>
      <c r="D407" s="47" t="s">
        <v>8445</v>
      </c>
      <c r="E407" s="47" t="s">
        <v>8446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8449</v>
      </c>
      <c r="J407" s="48">
        <v>46051</v>
      </c>
      <c r="K407" s="47">
        <v>9055007706</v>
      </c>
      <c r="L407" s="47" t="s">
        <v>194</v>
      </c>
      <c r="M407" s="49" t="s">
        <v>7595</v>
      </c>
      <c r="N407" s="48">
        <v>46057</v>
      </c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2"/>
        <v>407</v>
      </c>
      <c r="B408" s="47" t="s">
        <v>8420</v>
      </c>
      <c r="C408" s="47" t="s">
        <v>8421</v>
      </c>
      <c r="D408" s="47" t="s">
        <v>8422</v>
      </c>
      <c r="E408" s="47" t="s">
        <v>8423</v>
      </c>
      <c r="F408" s="47" t="s">
        <v>8424</v>
      </c>
      <c r="G408" s="47" t="s">
        <v>226</v>
      </c>
      <c r="H408" s="47" t="str">
        <f t="shared" si="13"/>
        <v>BUDGAM</v>
      </c>
      <c r="I408" s="47" t="s">
        <v>8432</v>
      </c>
      <c r="J408" s="48">
        <v>46051</v>
      </c>
      <c r="K408" s="47">
        <v>8491887577</v>
      </c>
      <c r="L408" s="47" t="s">
        <v>75</v>
      </c>
      <c r="M408" s="49" t="s">
        <v>7894</v>
      </c>
      <c r="N408" s="48">
        <v>46060</v>
      </c>
      <c r="O408" s="47" t="s">
        <v>23</v>
      </c>
      <c r="P408" s="48">
        <v>46060</v>
      </c>
      <c r="Q408" s="47" t="s">
        <v>6460</v>
      </c>
      <c r="R408" s="47"/>
    </row>
    <row r="409" spans="1:18" x14ac:dyDescent="0.25">
      <c r="A409" s="47">
        <f t="shared" si="12"/>
        <v>408</v>
      </c>
      <c r="B409" s="47" t="s">
        <v>8439</v>
      </c>
      <c r="C409" s="47" t="s">
        <v>8436</v>
      </c>
      <c r="D409" s="47" t="s">
        <v>8437</v>
      </c>
      <c r="E409" s="47" t="s">
        <v>8438</v>
      </c>
      <c r="F409" s="47" t="s">
        <v>67</v>
      </c>
      <c r="G409" s="47" t="s">
        <v>199</v>
      </c>
      <c r="H409" s="47" t="str">
        <f t="shared" si="13"/>
        <v>BARAMULLA</v>
      </c>
      <c r="I409" s="47" t="s">
        <v>8447</v>
      </c>
      <c r="J409" s="48">
        <v>46051</v>
      </c>
      <c r="K409" s="47">
        <v>9149943016</v>
      </c>
      <c r="L409" s="47" t="s">
        <v>75</v>
      </c>
      <c r="M409" s="49" t="s">
        <v>7894</v>
      </c>
      <c r="N409" s="48">
        <v>46052</v>
      </c>
      <c r="O409" s="47" t="s">
        <v>23</v>
      </c>
      <c r="P409" s="50">
        <v>46052</v>
      </c>
      <c r="Q409" s="47" t="s">
        <v>6460</v>
      </c>
      <c r="R409" s="47"/>
    </row>
    <row r="410" spans="1:18" x14ac:dyDescent="0.25">
      <c r="A410" s="47">
        <f t="shared" si="12"/>
        <v>409</v>
      </c>
      <c r="B410" s="47" t="s">
        <v>8429</v>
      </c>
      <c r="C410" s="47" t="s">
        <v>8430</v>
      </c>
      <c r="D410" s="47" t="s">
        <v>8431</v>
      </c>
      <c r="E410" s="47" t="s">
        <v>5451</v>
      </c>
      <c r="F410" s="47" t="s">
        <v>31</v>
      </c>
      <c r="G410" s="47" t="s">
        <v>199</v>
      </c>
      <c r="H410" s="47" t="str">
        <f t="shared" si="13"/>
        <v>PULWAMA</v>
      </c>
      <c r="I410" s="47" t="s">
        <v>8435</v>
      </c>
      <c r="J410" s="48">
        <v>46051</v>
      </c>
      <c r="K410" s="47">
        <v>9622820824</v>
      </c>
      <c r="L410" s="47" t="s">
        <v>6521</v>
      </c>
      <c r="M410" s="49" t="s">
        <v>8618</v>
      </c>
      <c r="N410" s="48">
        <v>46056</v>
      </c>
      <c r="O410" s="47"/>
      <c r="P410" s="50"/>
      <c r="Q410" s="47"/>
      <c r="R410" s="47" t="s">
        <v>8458</v>
      </c>
    </row>
    <row r="411" spans="1:18" x14ac:dyDescent="0.25">
      <c r="A411" s="47">
        <f t="shared" si="12"/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8531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8503</v>
      </c>
      <c r="C412" s="47" t="s">
        <v>8504</v>
      </c>
      <c r="D412" s="47" t="s">
        <v>8505</v>
      </c>
      <c r="E412" s="47" t="s">
        <v>8506</v>
      </c>
      <c r="F412" s="47" t="s">
        <v>100</v>
      </c>
      <c r="G412" s="47" t="s">
        <v>174</v>
      </c>
      <c r="H412" s="47" t="str">
        <f t="shared" si="13"/>
        <v>SRINAGAR</v>
      </c>
      <c r="I412" s="47" t="s">
        <v>8511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8477</v>
      </c>
      <c r="C413" s="47" t="s">
        <v>8478</v>
      </c>
      <c r="D413" s="47" t="s">
        <v>8479</v>
      </c>
      <c r="E413" s="47" t="s">
        <v>3610</v>
      </c>
      <c r="F413" s="47" t="s">
        <v>31</v>
      </c>
      <c r="G413" s="47" t="s">
        <v>199</v>
      </c>
      <c r="H413" s="47" t="str">
        <f t="shared" si="13"/>
        <v>ANANTNAG</v>
      </c>
      <c r="I413" s="47" t="s">
        <v>8488</v>
      </c>
      <c r="J413" s="48">
        <v>46052</v>
      </c>
      <c r="K413" s="47">
        <v>9596498016</v>
      </c>
      <c r="L413" s="47" t="s">
        <v>6832</v>
      </c>
      <c r="M413" s="49"/>
      <c r="N413" s="48"/>
      <c r="O413" s="47" t="s">
        <v>23</v>
      </c>
      <c r="P413" s="50">
        <v>46053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8494</v>
      </c>
      <c r="C415" s="47" t="s">
        <v>8490</v>
      </c>
      <c r="D415" s="47" t="s">
        <v>8491</v>
      </c>
      <c r="E415" s="47" t="s">
        <v>8492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8514</v>
      </c>
      <c r="J415" s="48">
        <v>46052</v>
      </c>
      <c r="K415" s="47">
        <v>9541509928</v>
      </c>
      <c r="L415" s="47" t="s">
        <v>176</v>
      </c>
      <c r="M415" s="49" t="s">
        <v>8228</v>
      </c>
      <c r="N415" s="48">
        <v>46058</v>
      </c>
      <c r="O415" s="47" t="s">
        <v>23</v>
      </c>
      <c r="P415" s="50">
        <v>46058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8484</v>
      </c>
      <c r="C416" s="47" t="s">
        <v>8485</v>
      </c>
      <c r="D416" s="47" t="s">
        <v>8486</v>
      </c>
      <c r="E416" s="47" t="s">
        <v>8487</v>
      </c>
      <c r="F416" s="47" t="s">
        <v>486</v>
      </c>
      <c r="G416" s="47" t="s">
        <v>199</v>
      </c>
      <c r="H416" s="47" t="str">
        <f t="shared" si="13"/>
        <v>BARAMULLA</v>
      </c>
      <c r="I416" s="47" t="s">
        <v>8489</v>
      </c>
      <c r="J416" s="48">
        <v>46052</v>
      </c>
      <c r="K416" s="47">
        <v>7006407965</v>
      </c>
      <c r="L416" s="47" t="s">
        <v>6683</v>
      </c>
      <c r="M416" s="49" t="s">
        <v>8094</v>
      </c>
      <c r="N416" s="48">
        <v>46055</v>
      </c>
      <c r="O416" s="47" t="s">
        <v>23</v>
      </c>
      <c r="P416" s="50">
        <v>46055</v>
      </c>
      <c r="Q416" s="47" t="s">
        <v>6460</v>
      </c>
      <c r="R416" s="47"/>
    </row>
    <row r="417" spans="1:18" x14ac:dyDescent="0.25">
      <c r="A417" s="47">
        <f t="shared" si="12"/>
        <v>416</v>
      </c>
      <c r="B417" s="47" t="s">
        <v>8468</v>
      </c>
      <c r="C417" s="47" t="s">
        <v>8465</v>
      </c>
      <c r="D417" s="47" t="s">
        <v>8466</v>
      </c>
      <c r="E417" s="47" t="s">
        <v>8467</v>
      </c>
      <c r="F417" s="47" t="s">
        <v>119</v>
      </c>
      <c r="G417" s="47" t="s">
        <v>174</v>
      </c>
      <c r="H417" s="47" t="str">
        <f t="shared" si="13"/>
        <v>SHOPIAN</v>
      </c>
      <c r="I417" s="47" t="s">
        <v>8474</v>
      </c>
      <c r="J417" s="48">
        <v>46052</v>
      </c>
      <c r="K417" s="47">
        <v>8899524496</v>
      </c>
      <c r="L417" s="47" t="s">
        <v>7699</v>
      </c>
      <c r="M417" s="49"/>
      <c r="N417" s="48"/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8480</v>
      </c>
      <c r="C419" s="47" t="s">
        <v>8481</v>
      </c>
      <c r="D419" s="47" t="s">
        <v>8482</v>
      </c>
      <c r="E419" s="47" t="s">
        <v>8483</v>
      </c>
      <c r="F419" s="47" t="s">
        <v>6919</v>
      </c>
      <c r="G419" s="47" t="s">
        <v>200</v>
      </c>
      <c r="H419" s="47" t="str">
        <f t="shared" si="13"/>
        <v>TEMP</v>
      </c>
      <c r="I419" s="47" t="s">
        <v>8701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 t="shared" si="12"/>
        <v>419</v>
      </c>
      <c r="B420" s="47" t="s">
        <v>8510</v>
      </c>
      <c r="C420" s="47" t="s">
        <v>8507</v>
      </c>
      <c r="D420" s="47" t="s">
        <v>8508</v>
      </c>
      <c r="E420" s="47" t="s">
        <v>8509</v>
      </c>
      <c r="F420" s="47" t="s">
        <v>31</v>
      </c>
      <c r="G420" s="47" t="s">
        <v>175</v>
      </c>
      <c r="H420" s="47" t="str">
        <f t="shared" si="13"/>
        <v>SRINAGAR</v>
      </c>
      <c r="I420" s="47" t="s">
        <v>8518</v>
      </c>
      <c r="J420" s="48">
        <v>46053</v>
      </c>
      <c r="K420" s="47">
        <v>9541399468</v>
      </c>
      <c r="L420" s="47" t="s">
        <v>43</v>
      </c>
      <c r="M420" s="49" t="s">
        <v>8545</v>
      </c>
      <c r="N420" s="48">
        <v>46053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8553</v>
      </c>
      <c r="C421" s="47" t="s">
        <v>8550</v>
      </c>
      <c r="D421" s="47" t="s">
        <v>8551</v>
      </c>
      <c r="E421" s="47" t="s">
        <v>8552</v>
      </c>
      <c r="F421" s="47" t="s">
        <v>67</v>
      </c>
      <c r="G421" s="47" t="s">
        <v>226</v>
      </c>
      <c r="H421" s="47" t="str">
        <f t="shared" si="13"/>
        <v>SRINAGAR</v>
      </c>
      <c r="I421" s="47" t="s">
        <v>8555</v>
      </c>
      <c r="J421" s="48">
        <v>46053</v>
      </c>
      <c r="K421" s="47">
        <v>7006454352</v>
      </c>
      <c r="L421" s="47" t="s">
        <v>307</v>
      </c>
      <c r="M421" s="49" t="s">
        <v>8093</v>
      </c>
      <c r="N421" s="48">
        <v>46059</v>
      </c>
      <c r="O421" s="47" t="s">
        <v>23</v>
      </c>
      <c r="P421" s="50">
        <v>46056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8515</v>
      </c>
      <c r="C422" s="47" t="s">
        <v>8516</v>
      </c>
      <c r="D422" s="47" t="s">
        <v>8517</v>
      </c>
      <c r="E422" s="47" t="s">
        <v>4947</v>
      </c>
      <c r="F422" s="47" t="s">
        <v>100</v>
      </c>
      <c r="G422" s="47" t="s">
        <v>174</v>
      </c>
      <c r="H422" s="47" t="str">
        <f t="shared" si="13"/>
        <v>BUDGAM</v>
      </c>
      <c r="I422" s="47" t="s">
        <v>8519</v>
      </c>
      <c r="J422" s="48">
        <v>46053</v>
      </c>
      <c r="K422" s="47">
        <v>6006480663</v>
      </c>
      <c r="L422" s="47" t="s">
        <v>70</v>
      </c>
      <c r="M422" s="49" t="s">
        <v>7954</v>
      </c>
      <c r="N422" s="48">
        <v>46055</v>
      </c>
      <c r="O422" s="47" t="s">
        <v>23</v>
      </c>
      <c r="P422" s="50">
        <v>46053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8540</v>
      </c>
      <c r="C423" s="47" t="s">
        <v>8541</v>
      </c>
      <c r="D423" s="47" t="s">
        <v>8542</v>
      </c>
      <c r="E423" s="47" t="s">
        <v>8543</v>
      </c>
      <c r="F423" s="47" t="s">
        <v>12</v>
      </c>
      <c r="G423" s="47" t="s">
        <v>200</v>
      </c>
      <c r="H423" s="47" t="str">
        <f t="shared" si="13"/>
        <v>KUPWARA</v>
      </c>
      <c r="I423" s="47" t="s">
        <v>8544</v>
      </c>
      <c r="J423" s="48">
        <v>46053</v>
      </c>
      <c r="K423" s="47">
        <v>7006565735</v>
      </c>
      <c r="L423" s="47" t="s">
        <v>26</v>
      </c>
      <c r="M423" s="49" t="s">
        <v>8667</v>
      </c>
      <c r="N423" s="48">
        <v>46057</v>
      </c>
      <c r="O423" s="47" t="s">
        <v>23</v>
      </c>
      <c r="P423" s="50">
        <v>46055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8528</v>
      </c>
      <c r="C424" s="47" t="s">
        <v>8525</v>
      </c>
      <c r="D424" s="47" t="s">
        <v>8526</v>
      </c>
      <c r="E424" s="47" t="s">
        <v>8527</v>
      </c>
      <c r="F424" s="47" t="s">
        <v>67</v>
      </c>
      <c r="G424" s="47" t="s">
        <v>199</v>
      </c>
      <c r="H424" s="47" t="str">
        <f t="shared" si="13"/>
        <v>PULWAMA</v>
      </c>
      <c r="I424" s="47" t="s">
        <v>8529</v>
      </c>
      <c r="J424" s="48">
        <v>46053</v>
      </c>
      <c r="K424" s="47">
        <v>7006019277</v>
      </c>
      <c r="L424" s="47" t="s">
        <v>6451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2"/>
        <v>424</v>
      </c>
      <c r="B425" s="47" t="s">
        <v>8535</v>
      </c>
      <c r="C425" s="47" t="s">
        <v>8536</v>
      </c>
      <c r="D425" s="47" t="s">
        <v>8537</v>
      </c>
      <c r="E425" s="47" t="s">
        <v>8538</v>
      </c>
      <c r="F425" s="47" t="s">
        <v>31</v>
      </c>
      <c r="G425" s="47" t="s">
        <v>175</v>
      </c>
      <c r="H425" s="47" t="str">
        <f t="shared" si="13"/>
        <v>BANDIPORA</v>
      </c>
      <c r="I425" s="47" t="s">
        <v>8539</v>
      </c>
      <c r="J425" s="48">
        <v>46053</v>
      </c>
      <c r="K425" s="47">
        <v>8082560332</v>
      </c>
      <c r="L425" s="47" t="s">
        <v>307</v>
      </c>
      <c r="M425" s="49"/>
      <c r="N425" s="48"/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8546</v>
      </c>
      <c r="C426" s="47" t="s">
        <v>8547</v>
      </c>
      <c r="D426" s="47" t="s">
        <v>8548</v>
      </c>
      <c r="E426" s="47" t="s">
        <v>8549</v>
      </c>
      <c r="F426" s="47" t="s">
        <v>100</v>
      </c>
      <c r="G426" s="47" t="s">
        <v>200</v>
      </c>
      <c r="H426" s="47" t="str">
        <f t="shared" si="13"/>
        <v>BANDIPORA</v>
      </c>
      <c r="I426" s="47" t="s">
        <v>8554</v>
      </c>
      <c r="J426" s="48">
        <v>46053</v>
      </c>
      <c r="K426" s="47">
        <v>8491846904</v>
      </c>
      <c r="L426" s="47" t="s">
        <v>1228</v>
      </c>
      <c r="M426" s="49" t="s">
        <v>8639</v>
      </c>
      <c r="N426" s="48">
        <v>46056</v>
      </c>
      <c r="O426" s="47" t="s">
        <v>23</v>
      </c>
      <c r="P426" s="50">
        <v>46055</v>
      </c>
      <c r="Q426" s="47" t="s">
        <v>6460</v>
      </c>
      <c r="R426" s="47"/>
    </row>
    <row r="427" spans="1:18" x14ac:dyDescent="0.25">
      <c r="A427" s="47">
        <f t="shared" si="12"/>
        <v>426</v>
      </c>
      <c r="B427" s="47" t="s">
        <v>8521</v>
      </c>
      <c r="C427" s="47" t="s">
        <v>8522</v>
      </c>
      <c r="D427" s="47" t="s">
        <v>8523</v>
      </c>
      <c r="E427" s="47" t="s">
        <v>8524</v>
      </c>
      <c r="F427" s="47" t="s">
        <v>12</v>
      </c>
      <c r="G427" s="47" t="s">
        <v>200</v>
      </c>
      <c r="H427" s="47" t="str">
        <f t="shared" si="13"/>
        <v>SHOPIAN</v>
      </c>
      <c r="I427" s="47" t="s">
        <v>8530</v>
      </c>
      <c r="J427" s="48">
        <v>46053</v>
      </c>
      <c r="K427" s="47">
        <v>7006268218</v>
      </c>
      <c r="L427" s="47" t="s">
        <v>6521</v>
      </c>
      <c r="M427" s="49" t="s">
        <v>8618</v>
      </c>
      <c r="N427" s="48">
        <v>46057</v>
      </c>
      <c r="O427" s="47"/>
      <c r="P427" s="50"/>
      <c r="Q427" s="47"/>
      <c r="R427" s="47" t="s">
        <v>8623</v>
      </c>
    </row>
    <row r="428" spans="1:18" x14ac:dyDescent="0.25">
      <c r="A428" s="47">
        <f t="shared" si="12"/>
        <v>427</v>
      </c>
      <c r="B428" s="47" t="s">
        <v>8577</v>
      </c>
      <c r="C428" s="47" t="s">
        <v>8578</v>
      </c>
      <c r="D428" s="47" t="s">
        <v>8579</v>
      </c>
      <c r="E428" s="47" t="s">
        <v>8580</v>
      </c>
      <c r="F428" s="47" t="s">
        <v>12</v>
      </c>
      <c r="G428" s="47" t="s">
        <v>181</v>
      </c>
      <c r="H428" s="47" t="str">
        <f t="shared" si="13"/>
        <v>SRINAGAR</v>
      </c>
      <c r="I428" s="47" t="s">
        <v>8591</v>
      </c>
      <c r="J428" s="48">
        <v>46055</v>
      </c>
      <c r="K428" s="47">
        <v>9596163347</v>
      </c>
      <c r="L428" s="47" t="s">
        <v>484</v>
      </c>
      <c r="M428" s="49" t="s">
        <v>7773</v>
      </c>
      <c r="N428" s="48">
        <v>46058</v>
      </c>
      <c r="O428" s="47" t="s">
        <v>23</v>
      </c>
      <c r="P428" s="50">
        <v>46056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8584</v>
      </c>
      <c r="C429" s="47" t="s">
        <v>8581</v>
      </c>
      <c r="D429" s="47" t="s">
        <v>8583</v>
      </c>
      <c r="E429" s="47" t="s">
        <v>8582</v>
      </c>
      <c r="F429" s="47" t="s">
        <v>12</v>
      </c>
      <c r="G429" s="47" t="s">
        <v>200</v>
      </c>
      <c r="H429" s="47" t="str">
        <f t="shared" si="13"/>
        <v>BUDGAM</v>
      </c>
      <c r="I429" s="47" t="s">
        <v>8590</v>
      </c>
      <c r="J429" s="48">
        <v>46055</v>
      </c>
      <c r="K429" s="47">
        <v>9149805099</v>
      </c>
      <c r="L429" s="47" t="s">
        <v>70</v>
      </c>
      <c r="M429" s="49" t="s">
        <v>7954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8567</v>
      </c>
      <c r="C430" s="47" t="s">
        <v>8568</v>
      </c>
      <c r="D430" s="47" t="s">
        <v>8569</v>
      </c>
      <c r="E430" s="47" t="s">
        <v>8570</v>
      </c>
      <c r="F430" s="47" t="s">
        <v>193</v>
      </c>
      <c r="G430" s="47" t="s">
        <v>200</v>
      </c>
      <c r="H430" s="47" t="str">
        <f t="shared" si="13"/>
        <v>BARAMULLA</v>
      </c>
      <c r="I430" s="47" t="s">
        <v>8571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8562</v>
      </c>
      <c r="C431" s="47" t="s">
        <v>8563</v>
      </c>
      <c r="D431" s="47" t="s">
        <v>8564</v>
      </c>
      <c r="E431" s="47" t="s">
        <v>1535</v>
      </c>
      <c r="F431" s="47" t="s">
        <v>12</v>
      </c>
      <c r="G431" s="47" t="s">
        <v>200</v>
      </c>
      <c r="H431" s="47" t="str">
        <f t="shared" si="13"/>
        <v>BANDIPORA</v>
      </c>
      <c r="I431" s="47" t="s">
        <v>8572</v>
      </c>
      <c r="J431" s="48">
        <v>46055</v>
      </c>
      <c r="K431" s="47">
        <v>7006437389</v>
      </c>
      <c r="L431" s="47" t="s">
        <v>307</v>
      </c>
      <c r="M431" s="49" t="s">
        <v>8093</v>
      </c>
      <c r="N431" s="48">
        <v>46056</v>
      </c>
      <c r="O431" s="47" t="s">
        <v>23</v>
      </c>
      <c r="P431" s="50">
        <v>46055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8622</v>
      </c>
      <c r="C432" s="47" t="s">
        <v>8619</v>
      </c>
      <c r="D432" s="47" t="s">
        <v>8620</v>
      </c>
      <c r="E432" s="47" t="s">
        <v>8621</v>
      </c>
      <c r="F432" s="47" t="s">
        <v>12</v>
      </c>
      <c r="G432" s="47" t="s">
        <v>200</v>
      </c>
      <c r="H432" s="47" t="str">
        <f t="shared" si="13"/>
        <v>SRINAGAR</v>
      </c>
      <c r="I432" s="47" t="s">
        <v>8629</v>
      </c>
      <c r="J432" s="48">
        <v>46056</v>
      </c>
      <c r="K432" s="47">
        <v>9419066721</v>
      </c>
      <c r="L432" s="47" t="s">
        <v>7872</v>
      </c>
      <c r="M432" s="49" t="s">
        <v>8660</v>
      </c>
      <c r="N432" s="48">
        <v>46057</v>
      </c>
      <c r="O432" s="47" t="s">
        <v>23</v>
      </c>
      <c r="P432" s="50">
        <v>46056</v>
      </c>
      <c r="Q432" s="47" t="s">
        <v>8167</v>
      </c>
      <c r="R432" s="47"/>
    </row>
    <row r="433" spans="1:18" x14ac:dyDescent="0.25">
      <c r="A433" s="47">
        <f t="shared" si="12"/>
        <v>432</v>
      </c>
      <c r="B433" s="47" t="s">
        <v>8597</v>
      </c>
      <c r="C433" s="47" t="s">
        <v>8598</v>
      </c>
      <c r="D433" s="47" t="s">
        <v>8599</v>
      </c>
      <c r="E433" s="47" t="s">
        <v>8600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8601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8589</v>
      </c>
      <c r="C434" s="47" t="s">
        <v>8585</v>
      </c>
      <c r="D434" s="47" t="s">
        <v>8586</v>
      </c>
      <c r="E434" s="47" t="s">
        <v>8587</v>
      </c>
      <c r="F434" s="47" t="s">
        <v>119</v>
      </c>
      <c r="G434" s="47" t="s">
        <v>175</v>
      </c>
      <c r="H434" s="47" t="str">
        <f t="shared" si="13"/>
        <v>SRINAGAR</v>
      </c>
      <c r="I434" s="47" t="s">
        <v>8588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8628</v>
      </c>
      <c r="C435" s="47" t="s">
        <v>8625</v>
      </c>
      <c r="D435" s="47" t="s">
        <v>8626</v>
      </c>
      <c r="E435" s="47" t="s">
        <v>8627</v>
      </c>
      <c r="F435" s="47" t="s">
        <v>5</v>
      </c>
      <c r="G435" s="47" t="s">
        <v>200</v>
      </c>
      <c r="H435" s="47" t="str">
        <f t="shared" si="13"/>
        <v>BUDGAM</v>
      </c>
      <c r="I435" s="47" t="s">
        <v>8630</v>
      </c>
      <c r="J435" s="48">
        <v>46056</v>
      </c>
      <c r="K435" s="47">
        <v>9682506898</v>
      </c>
      <c r="L435" s="47" t="s">
        <v>43</v>
      </c>
      <c r="M435" s="49" t="s">
        <v>8659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8614</v>
      </c>
      <c r="C436" s="47" t="s">
        <v>8612</v>
      </c>
      <c r="D436" s="47" t="s">
        <v>8613</v>
      </c>
      <c r="E436" s="47" t="s">
        <v>7147</v>
      </c>
      <c r="F436" s="47" t="s">
        <v>31</v>
      </c>
      <c r="G436" s="47" t="s">
        <v>221</v>
      </c>
      <c r="H436" s="47" t="str">
        <f t="shared" si="13"/>
        <v>BUDGAM</v>
      </c>
      <c r="I436" s="47" t="s">
        <v>8617</v>
      </c>
      <c r="J436" s="48">
        <v>46056</v>
      </c>
      <c r="K436" s="47">
        <v>7006035930</v>
      </c>
      <c r="L436" s="47" t="s">
        <v>26</v>
      </c>
      <c r="M436" s="49" t="s">
        <v>7775</v>
      </c>
      <c r="N436" s="48">
        <v>46064</v>
      </c>
      <c r="O436" s="47" t="s">
        <v>23</v>
      </c>
      <c r="P436" s="50">
        <v>46056</v>
      </c>
      <c r="Q436" s="47" t="s">
        <v>6460</v>
      </c>
      <c r="R436" s="47"/>
    </row>
    <row r="437" spans="1:18" x14ac:dyDescent="0.25">
      <c r="A437" s="47">
        <f t="shared" si="12"/>
        <v>436</v>
      </c>
      <c r="B437" s="47" t="s">
        <v>8609</v>
      </c>
      <c r="C437" s="47" t="s">
        <v>8610</v>
      </c>
      <c r="D437" s="47" t="s">
        <v>8611</v>
      </c>
      <c r="E437" s="47" t="s">
        <v>1959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8616</v>
      </c>
      <c r="J437" s="48">
        <v>46056</v>
      </c>
      <c r="K437" s="47">
        <v>7780875890</v>
      </c>
      <c r="L437" s="47" t="s">
        <v>110</v>
      </c>
      <c r="M437" s="49" t="s">
        <v>8669</v>
      </c>
      <c r="N437" s="48">
        <v>46057</v>
      </c>
      <c r="O437" s="47" t="s">
        <v>23</v>
      </c>
      <c r="P437" s="50">
        <v>46057</v>
      </c>
      <c r="Q437" s="47" t="s">
        <v>8675</v>
      </c>
      <c r="R437" s="47"/>
    </row>
    <row r="438" spans="1:18" x14ac:dyDescent="0.25">
      <c r="A438" s="47">
        <f t="shared" si="12"/>
        <v>437</v>
      </c>
      <c r="B438" s="47" t="s">
        <v>8606</v>
      </c>
      <c r="C438" s="47" t="s">
        <v>8602</v>
      </c>
      <c r="D438" s="47" t="s">
        <v>8603</v>
      </c>
      <c r="E438" s="47" t="s">
        <v>8604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8608</v>
      </c>
      <c r="J438" s="48">
        <v>46056</v>
      </c>
      <c r="K438" s="47">
        <v>7051726656</v>
      </c>
      <c r="L438" s="47" t="s">
        <v>8605</v>
      </c>
      <c r="M438" s="49" t="s">
        <v>8618</v>
      </c>
      <c r="N438" s="48">
        <v>46057</v>
      </c>
      <c r="O438" s="47" t="s">
        <v>23</v>
      </c>
      <c r="P438" s="50">
        <v>46057</v>
      </c>
      <c r="Q438" s="47" t="s">
        <v>6460</v>
      </c>
      <c r="R438" s="47" t="s">
        <v>8624</v>
      </c>
    </row>
    <row r="439" spans="1:18" x14ac:dyDescent="0.25">
      <c r="A439" s="47">
        <f t="shared" si="12"/>
        <v>438</v>
      </c>
      <c r="B439" s="47" t="s">
        <v>8596</v>
      </c>
      <c r="C439" s="47" t="s">
        <v>8592</v>
      </c>
      <c r="D439" s="47" t="s">
        <v>8593</v>
      </c>
      <c r="E439" s="47" t="s">
        <v>8594</v>
      </c>
      <c r="F439" s="47" t="s">
        <v>12</v>
      </c>
      <c r="G439" s="47" t="s">
        <v>200</v>
      </c>
      <c r="H439" s="47" t="str">
        <f t="shared" si="13"/>
        <v>BUDGAM</v>
      </c>
      <c r="I439" s="47" t="s">
        <v>8607</v>
      </c>
      <c r="J439" s="48">
        <v>46056</v>
      </c>
      <c r="K439" s="47">
        <v>9596131756</v>
      </c>
      <c r="L439" s="47" t="s">
        <v>2172</v>
      </c>
      <c r="M439" s="49" t="s">
        <v>7714</v>
      </c>
      <c r="N439" s="48">
        <v>46057</v>
      </c>
      <c r="O439" s="47" t="s">
        <v>23</v>
      </c>
      <c r="P439" s="50">
        <v>46056</v>
      </c>
      <c r="Q439" s="47" t="s">
        <v>6460</v>
      </c>
      <c r="R439" s="47"/>
    </row>
    <row r="440" spans="1:18" x14ac:dyDescent="0.25">
      <c r="A440" s="47">
        <f t="shared" si="12"/>
        <v>439</v>
      </c>
      <c r="B440" s="47" t="s">
        <v>8646</v>
      </c>
      <c r="C440" s="47" t="s">
        <v>8643</v>
      </c>
      <c r="D440" s="47" t="s">
        <v>8644</v>
      </c>
      <c r="E440" s="47" t="s">
        <v>8645</v>
      </c>
      <c r="F440" s="47" t="s">
        <v>100</v>
      </c>
      <c r="G440" s="47" t="s">
        <v>200</v>
      </c>
      <c r="H440" s="47" t="str">
        <f t="shared" si="13"/>
        <v>BARAMULLA</v>
      </c>
      <c r="I440" s="47" t="s">
        <v>8649</v>
      </c>
      <c r="J440" s="48">
        <v>46056</v>
      </c>
      <c r="K440" s="47">
        <v>7889568261</v>
      </c>
      <c r="L440" s="47" t="s">
        <v>484</v>
      </c>
      <c r="M440" s="49"/>
      <c r="N440" s="48"/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 t="s">
        <v>8640</v>
      </c>
      <c r="C441" s="47" t="s">
        <v>8641</v>
      </c>
      <c r="D441" s="47" t="s">
        <v>8642</v>
      </c>
      <c r="E441" s="47" t="s">
        <v>1635</v>
      </c>
      <c r="F441" s="47" t="s">
        <v>67</v>
      </c>
      <c r="G441" s="47" t="s">
        <v>199</v>
      </c>
      <c r="H441" s="47" t="str">
        <f t="shared" si="13"/>
        <v>PULWAMA</v>
      </c>
      <c r="I441" s="47" t="s">
        <v>8651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6460</v>
      </c>
      <c r="R441" s="47"/>
    </row>
    <row r="442" spans="1:18" x14ac:dyDescent="0.25">
      <c r="A442" s="47">
        <f t="shared" si="12"/>
        <v>441</v>
      </c>
      <c r="B442" s="47" t="s">
        <v>8653</v>
      </c>
      <c r="C442" s="47" t="s">
        <v>8654</v>
      </c>
      <c r="D442" s="47" t="s">
        <v>8655</v>
      </c>
      <c r="E442" s="47" t="s">
        <v>8176</v>
      </c>
      <c r="F442" s="47" t="s">
        <v>5</v>
      </c>
      <c r="G442" s="47" t="s">
        <v>174</v>
      </c>
      <c r="H442" s="47" t="str">
        <f t="shared" si="13"/>
        <v>PULWAMA</v>
      </c>
      <c r="I442" s="47" t="s">
        <v>8656</v>
      </c>
      <c r="J442" s="48">
        <v>46057</v>
      </c>
      <c r="K442" s="47">
        <v>8803618337</v>
      </c>
      <c r="L442" s="47" t="s">
        <v>26</v>
      </c>
      <c r="M442" s="49"/>
      <c r="N442" s="48"/>
      <c r="O442" s="47"/>
      <c r="P442" s="50"/>
      <c r="Q442" s="47"/>
      <c r="R442" s="47"/>
    </row>
    <row r="443" spans="1:18" x14ac:dyDescent="0.25">
      <c r="A443" s="47">
        <f t="shared" si="12"/>
        <v>442</v>
      </c>
      <c r="B443" s="47" t="s">
        <v>8685</v>
      </c>
      <c r="C443" s="47" t="s">
        <v>8686</v>
      </c>
      <c r="D443" s="47" t="s">
        <v>8687</v>
      </c>
      <c r="E443" s="47" t="s">
        <v>8688</v>
      </c>
      <c r="F443" s="47" t="s">
        <v>119</v>
      </c>
      <c r="G443" s="47" t="s">
        <v>175</v>
      </c>
      <c r="H443" s="47" t="str">
        <f t="shared" si="13"/>
        <v>PULWAMA</v>
      </c>
      <c r="I443" s="47" t="s">
        <v>8694</v>
      </c>
      <c r="J443" s="48">
        <v>46058</v>
      </c>
      <c r="K443" s="47">
        <v>9541415056</v>
      </c>
      <c r="L443" s="47" t="s">
        <v>6451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8681</v>
      </c>
      <c r="C444" s="47" t="s">
        <v>8678</v>
      </c>
      <c r="D444" s="47" t="s">
        <v>8679</v>
      </c>
      <c r="E444" s="47" t="s">
        <v>4004</v>
      </c>
      <c r="F444" s="47" t="s">
        <v>281</v>
      </c>
      <c r="G444" s="47" t="s">
        <v>199</v>
      </c>
      <c r="H444" s="47" t="str">
        <f t="shared" si="13"/>
        <v>PULWAMA</v>
      </c>
      <c r="I444" s="47" t="s">
        <v>8683</v>
      </c>
      <c r="J444" s="48">
        <v>46058</v>
      </c>
      <c r="K444" s="47">
        <v>9858814104</v>
      </c>
      <c r="L444" s="47" t="s">
        <v>8680</v>
      </c>
      <c r="M444" s="49" t="s">
        <v>8771</v>
      </c>
      <c r="N444" s="48">
        <v>46064</v>
      </c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8689</v>
      </c>
      <c r="C445" s="47" t="s">
        <v>8690</v>
      </c>
      <c r="D445" s="47" t="s">
        <v>8691</v>
      </c>
      <c r="E445" s="47" t="s">
        <v>8692</v>
      </c>
      <c r="F445" s="47" t="s">
        <v>100</v>
      </c>
      <c r="G445" s="47" t="s">
        <v>174</v>
      </c>
      <c r="H445" s="47" t="str">
        <f t="shared" si="13"/>
        <v>SHOPIAN</v>
      </c>
      <c r="I445" s="47" t="s">
        <v>8693</v>
      </c>
      <c r="J445" s="48">
        <v>46058</v>
      </c>
      <c r="K445" s="47">
        <v>8825090520</v>
      </c>
      <c r="L445" s="47" t="s">
        <v>6761</v>
      </c>
      <c r="M445" s="49" t="s">
        <v>8772</v>
      </c>
      <c r="N445" s="48">
        <v>46064</v>
      </c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8671</v>
      </c>
      <c r="C446" s="47" t="s">
        <v>8672</v>
      </c>
      <c r="D446" s="47" t="s">
        <v>8673</v>
      </c>
      <c r="E446" s="47" t="s">
        <v>8674</v>
      </c>
      <c r="F446" s="47" t="s">
        <v>100</v>
      </c>
      <c r="G446" s="47" t="s">
        <v>181</v>
      </c>
      <c r="H446" s="47" t="str">
        <f t="shared" si="13"/>
        <v>SHOPIAN</v>
      </c>
      <c r="I446" s="47" t="s">
        <v>8682</v>
      </c>
      <c r="J446" s="48">
        <v>46058</v>
      </c>
      <c r="K446" s="47">
        <v>9419783314</v>
      </c>
      <c r="L446" s="47" t="s">
        <v>7699</v>
      </c>
      <c r="M446" s="49" t="s">
        <v>8772</v>
      </c>
      <c r="N446" s="48">
        <v>46064</v>
      </c>
      <c r="O446" s="47" t="s">
        <v>23</v>
      </c>
      <c r="P446" s="50">
        <v>46059</v>
      </c>
      <c r="Q446" s="47" t="s">
        <v>8707</v>
      </c>
      <c r="R446" s="47"/>
    </row>
    <row r="447" spans="1:18" x14ac:dyDescent="0.25">
      <c r="A447" s="47">
        <f t="shared" si="12"/>
        <v>446</v>
      </c>
      <c r="B447" s="47" t="s">
        <v>8705</v>
      </c>
      <c r="C447" s="47" t="s">
        <v>8702</v>
      </c>
      <c r="D447" s="47" t="s">
        <v>8703</v>
      </c>
      <c r="E447" s="47" t="s">
        <v>8704</v>
      </c>
      <c r="F447" s="47" t="s">
        <v>31</v>
      </c>
      <c r="G447" s="47" t="s">
        <v>200</v>
      </c>
      <c r="H447" s="47" t="str">
        <f t="shared" si="13"/>
        <v>PULWAMA</v>
      </c>
      <c r="I447" s="47" t="s">
        <v>8706</v>
      </c>
      <c r="J447" s="48">
        <v>46059</v>
      </c>
      <c r="K447" s="47">
        <v>7006790581</v>
      </c>
      <c r="L447" s="47" t="s">
        <v>7872</v>
      </c>
      <c r="M447" s="49"/>
      <c r="N447" s="48"/>
      <c r="O447" s="47" t="s">
        <v>23</v>
      </c>
      <c r="P447" s="50">
        <v>46059</v>
      </c>
      <c r="Q447" s="47" t="s">
        <v>6460</v>
      </c>
      <c r="R447" s="47"/>
    </row>
    <row r="448" spans="1:18" x14ac:dyDescent="0.25">
      <c r="A448" s="47">
        <f t="shared" si="12"/>
        <v>447</v>
      </c>
      <c r="B448" s="47" t="s">
        <v>8725</v>
      </c>
      <c r="C448" s="47" t="s">
        <v>8722</v>
      </c>
      <c r="D448" s="47" t="s">
        <v>8723</v>
      </c>
      <c r="E448" s="47" t="s">
        <v>8724</v>
      </c>
      <c r="F448" s="47" t="s">
        <v>100</v>
      </c>
      <c r="G448" s="47" t="s">
        <v>200</v>
      </c>
      <c r="H448" s="47" t="str">
        <f t="shared" si="13"/>
        <v>SRINAGAR</v>
      </c>
      <c r="I448" s="47" t="s">
        <v>8726</v>
      </c>
      <c r="J448" s="48">
        <v>46062</v>
      </c>
      <c r="K448" s="47">
        <v>9622550465</v>
      </c>
      <c r="L448" s="47" t="s">
        <v>307</v>
      </c>
      <c r="M448" s="49" t="s">
        <v>8754</v>
      </c>
      <c r="N448" s="48">
        <v>46063</v>
      </c>
      <c r="O448" s="47" t="s">
        <v>23</v>
      </c>
      <c r="P448" s="50">
        <v>46062</v>
      </c>
      <c r="Q448" s="47" t="s">
        <v>6460</v>
      </c>
      <c r="R448" s="47"/>
    </row>
    <row r="449" spans="1:18" x14ac:dyDescent="0.25">
      <c r="A449" s="47">
        <f t="shared" si="12"/>
        <v>448</v>
      </c>
      <c r="B449" s="47" t="s">
        <v>8715</v>
      </c>
      <c r="C449" s="47" t="s">
        <v>8711</v>
      </c>
      <c r="D449" s="47" t="s">
        <v>8712</v>
      </c>
      <c r="E449" s="47" t="s">
        <v>8713</v>
      </c>
      <c r="F449" s="47" t="s">
        <v>101</v>
      </c>
      <c r="G449" s="47" t="s">
        <v>200</v>
      </c>
      <c r="H449" s="47" t="str">
        <f t="shared" si="13"/>
        <v>BHARAT</v>
      </c>
      <c r="I449" s="47" t="s">
        <v>8769</v>
      </c>
      <c r="J449" s="48">
        <v>46062</v>
      </c>
      <c r="K449" s="47">
        <v>9458289998</v>
      </c>
      <c r="L449" s="47" t="s">
        <v>8714</v>
      </c>
      <c r="M449" s="49"/>
      <c r="N449" s="48"/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 t="s">
        <v>8727</v>
      </c>
      <c r="C450" s="47" t="s">
        <v>8728</v>
      </c>
      <c r="D450" s="47" t="s">
        <v>8729</v>
      </c>
      <c r="E450" s="47" t="s">
        <v>8730</v>
      </c>
      <c r="F450" s="47" t="s">
        <v>5</v>
      </c>
      <c r="G450" s="47" t="s">
        <v>200</v>
      </c>
      <c r="H450" s="47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7" t="s">
        <v>8731</v>
      </c>
      <c r="J450" s="48">
        <v>46063</v>
      </c>
      <c r="K450" s="47">
        <v>7006685583</v>
      </c>
      <c r="L450" s="47" t="s">
        <v>26</v>
      </c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 t="s">
        <v>8732</v>
      </c>
      <c r="C451" s="47" t="s">
        <v>8733</v>
      </c>
      <c r="D451" s="47" t="s">
        <v>8734</v>
      </c>
      <c r="E451" s="47" t="s">
        <v>8735</v>
      </c>
      <c r="F451" s="47" t="s">
        <v>5</v>
      </c>
      <c r="G451" s="47" t="s">
        <v>199</v>
      </c>
      <c r="H451" s="47" t="str">
        <f t="shared" si="14"/>
        <v>ANANTNAG</v>
      </c>
      <c r="I451" s="47" t="s">
        <v>8742</v>
      </c>
      <c r="J451" s="48">
        <v>46063</v>
      </c>
      <c r="K451" s="47">
        <v>9906434871</v>
      </c>
      <c r="L451" s="47" t="s">
        <v>8680</v>
      </c>
      <c r="M451" s="49" t="s">
        <v>8771</v>
      </c>
      <c r="N451" s="48">
        <v>46064</v>
      </c>
      <c r="O451" s="47"/>
      <c r="P451" s="50"/>
      <c r="Q451" s="47"/>
      <c r="R451" s="47"/>
    </row>
    <row r="452" spans="1:18" x14ac:dyDescent="0.25">
      <c r="A452" s="47">
        <f t="shared" si="12"/>
        <v>451</v>
      </c>
      <c r="B452" s="47" t="s">
        <v>8741</v>
      </c>
      <c r="C452" s="47" t="s">
        <v>8736</v>
      </c>
      <c r="D452" s="47" t="s">
        <v>8737</v>
      </c>
      <c r="E452" s="47" t="s">
        <v>8738</v>
      </c>
      <c r="F452" s="47" t="s">
        <v>8739</v>
      </c>
      <c r="G452" s="47" t="s">
        <v>181</v>
      </c>
      <c r="H452" s="47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7" t="s">
        <v>8752</v>
      </c>
      <c r="J452" s="48">
        <v>46063</v>
      </c>
      <c r="K452" s="47">
        <v>7006481204</v>
      </c>
      <c r="L452" s="47" t="s">
        <v>8740</v>
      </c>
      <c r="M452" s="49"/>
      <c r="N452" s="48"/>
      <c r="O452" s="47"/>
      <c r="P452" s="50"/>
      <c r="Q452" s="47"/>
      <c r="R452" s="47"/>
    </row>
    <row r="453" spans="1:18" x14ac:dyDescent="0.25">
      <c r="A453" s="47">
        <f t="shared" ref="A453:A516" si="16">ROW()-1</f>
        <v>452</v>
      </c>
      <c r="B453" s="47" t="s">
        <v>8743</v>
      </c>
      <c r="C453" s="47" t="s">
        <v>8744</v>
      </c>
      <c r="D453" s="47" t="s">
        <v>8745</v>
      </c>
      <c r="E453" s="47" t="s">
        <v>8746</v>
      </c>
      <c r="F453" s="47" t="s">
        <v>100</v>
      </c>
      <c r="G453" s="47" t="s">
        <v>226</v>
      </c>
      <c r="H453" s="47" t="str">
        <f t="shared" si="15"/>
        <v>POONCH</v>
      </c>
      <c r="I453" s="47" t="s">
        <v>8753</v>
      </c>
      <c r="J453" s="48">
        <v>46063</v>
      </c>
      <c r="K453" s="47">
        <v>7051905718</v>
      </c>
      <c r="L453" s="47" t="s">
        <v>195</v>
      </c>
      <c r="M453" s="49"/>
      <c r="N453" s="48"/>
      <c r="O453" s="47"/>
      <c r="P453" s="50"/>
      <c r="Q453" s="47"/>
      <c r="R453" s="47"/>
    </row>
    <row r="454" spans="1:18" x14ac:dyDescent="0.25">
      <c r="A454" s="47">
        <f t="shared" si="16"/>
        <v>453</v>
      </c>
      <c r="B454" s="47" t="s">
        <v>8750</v>
      </c>
      <c r="C454" s="47" t="s">
        <v>8747</v>
      </c>
      <c r="D454" s="47" t="s">
        <v>8748</v>
      </c>
      <c r="E454" s="47" t="s">
        <v>8749</v>
      </c>
      <c r="F454" s="47" t="s">
        <v>125</v>
      </c>
      <c r="G454" s="47" t="s">
        <v>200</v>
      </c>
      <c r="H454" s="47" t="str">
        <f t="shared" si="15"/>
        <v>PULWAMA</v>
      </c>
      <c r="I454" s="47" t="s">
        <v>8751</v>
      </c>
      <c r="J454" s="48">
        <v>46063</v>
      </c>
      <c r="K454" s="47">
        <v>7006401476</v>
      </c>
      <c r="L454" s="47" t="s">
        <v>8740</v>
      </c>
      <c r="M454" s="49" t="s">
        <v>8771</v>
      </c>
      <c r="N454" s="48">
        <v>46064</v>
      </c>
      <c r="O454" s="47"/>
      <c r="P454" s="50"/>
      <c r="Q454" s="47"/>
      <c r="R454" s="47"/>
    </row>
    <row r="455" spans="1:18" x14ac:dyDescent="0.25">
      <c r="A455" s="47">
        <f t="shared" si="16"/>
        <v>454</v>
      </c>
      <c r="B455" s="47" t="s">
        <v>8758</v>
      </c>
      <c r="C455" s="47" t="s">
        <v>8755</v>
      </c>
      <c r="D455" s="47" t="s">
        <v>8756</v>
      </c>
      <c r="E455" s="47" t="s">
        <v>8757</v>
      </c>
      <c r="F455" s="47" t="s">
        <v>100</v>
      </c>
      <c r="G455" s="47" t="s">
        <v>200</v>
      </c>
      <c r="H455" s="47" t="str">
        <f t="shared" si="15"/>
        <v>SRINAGAR</v>
      </c>
      <c r="I455" s="47" t="s">
        <v>8759</v>
      </c>
      <c r="J455" s="48">
        <v>46064</v>
      </c>
      <c r="K455" s="47">
        <v>7006077188</v>
      </c>
      <c r="L455" s="51" t="s">
        <v>194</v>
      </c>
      <c r="M455" s="49"/>
      <c r="N455" s="48"/>
      <c r="O455" s="47"/>
      <c r="P455" s="50"/>
      <c r="Q455" s="47"/>
      <c r="R455" s="47"/>
    </row>
    <row r="456" spans="1:18" x14ac:dyDescent="0.25">
      <c r="A456" s="47">
        <f t="shared" si="16"/>
        <v>455</v>
      </c>
      <c r="B456" s="47" t="s">
        <v>8760</v>
      </c>
      <c r="C456" s="47" t="s">
        <v>8761</v>
      </c>
      <c r="D456" s="47" t="s">
        <v>8762</v>
      </c>
      <c r="E456" s="47" t="s">
        <v>8763</v>
      </c>
      <c r="F456" s="47" t="s">
        <v>944</v>
      </c>
      <c r="G456" s="47" t="s">
        <v>200</v>
      </c>
      <c r="H456" s="47" t="str">
        <f t="shared" si="15"/>
        <v>BUDGAM</v>
      </c>
      <c r="I456" s="47" t="s">
        <v>8764</v>
      </c>
      <c r="J456" s="48">
        <v>46064</v>
      </c>
      <c r="K456" s="47">
        <v>6006405010</v>
      </c>
      <c r="L456" s="47" t="s">
        <v>176</v>
      </c>
      <c r="M456" s="49"/>
      <c r="N456" s="48"/>
      <c r="O456" s="47"/>
      <c r="P456" s="50"/>
      <c r="Q456" s="47"/>
      <c r="R456" s="47"/>
    </row>
    <row r="457" spans="1:18" x14ac:dyDescent="0.25">
      <c r="A457" s="47">
        <f t="shared" si="16"/>
        <v>456</v>
      </c>
      <c r="B457" s="47" t="s">
        <v>8765</v>
      </c>
      <c r="C457" s="47" t="s">
        <v>8766</v>
      </c>
      <c r="D457" s="47" t="s">
        <v>8767</v>
      </c>
      <c r="E457" s="47" t="s">
        <v>8768</v>
      </c>
      <c r="F457" s="47" t="s">
        <v>100</v>
      </c>
      <c r="G457" s="47" t="s">
        <v>181</v>
      </c>
      <c r="H457" s="58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57" t="s">
        <v>8770</v>
      </c>
      <c r="J457" s="59">
        <v>46064</v>
      </c>
      <c r="K457" s="47">
        <v>9797992962</v>
      </c>
      <c r="L457" s="57" t="s">
        <v>138</v>
      </c>
      <c r="M457" s="61"/>
      <c r="N457" s="59"/>
      <c r="O457" s="57"/>
      <c r="P457" s="62"/>
      <c r="Q457" s="57"/>
      <c r="R457" s="57"/>
    </row>
    <row r="458" spans="1:18" x14ac:dyDescent="0.25">
      <c r="A458" s="47">
        <f t="shared" si="16"/>
        <v>457</v>
      </c>
      <c r="B458" s="47"/>
      <c r="C458" s="47"/>
      <c r="D458" s="47"/>
      <c r="E458" s="47"/>
      <c r="F458" s="47"/>
      <c r="G458" s="47"/>
      <c r="H458" s="58" t="str">
        <f t="shared" si="17"/>
        <v>NEW</v>
      </c>
      <c r="I458" s="57"/>
      <c r="J458" s="59"/>
      <c r="K458" s="47"/>
      <c r="L458" s="57"/>
      <c r="M458" s="61"/>
      <c r="N458" s="59"/>
      <c r="O458" s="57"/>
      <c r="P458" s="62"/>
      <c r="Q458" s="57"/>
      <c r="R458" s="57"/>
    </row>
    <row r="459" spans="1:18" x14ac:dyDescent="0.25">
      <c r="A459" s="47">
        <f t="shared" si="16"/>
        <v>458</v>
      </c>
      <c r="B459" s="47"/>
      <c r="C459" s="47"/>
      <c r="D459" s="47"/>
      <c r="E459" s="47"/>
      <c r="F459" s="47"/>
      <c r="G459" s="47"/>
      <c r="H459" s="58" t="str">
        <f t="shared" si="17"/>
        <v>NEW</v>
      </c>
      <c r="I459" s="57"/>
      <c r="J459" s="59"/>
      <c r="K459" s="60"/>
      <c r="L459" s="57"/>
      <c r="M459" s="61"/>
      <c r="N459" s="59"/>
      <c r="O459" s="57"/>
      <c r="P459" s="62"/>
      <c r="Q459" s="57"/>
      <c r="R459" s="57"/>
    </row>
    <row r="460" spans="1:18" x14ac:dyDescent="0.25">
      <c r="A460" s="47">
        <f t="shared" si="16"/>
        <v>459</v>
      </c>
      <c r="B460" s="47"/>
      <c r="C460" s="47"/>
      <c r="D460" s="47"/>
      <c r="E460" s="47"/>
      <c r="F460" s="47"/>
      <c r="G460" s="47"/>
      <c r="H460" s="58" t="str">
        <f t="shared" si="17"/>
        <v>NEW</v>
      </c>
      <c r="I460" s="57"/>
      <c r="J460" s="59"/>
      <c r="K460" s="60"/>
      <c r="L460" s="57"/>
      <c r="M460" s="61"/>
      <c r="N460" s="59"/>
      <c r="O460" s="57"/>
      <c r="P460" s="62"/>
      <c r="Q460" s="57"/>
      <c r="R460" s="57"/>
    </row>
    <row r="461" spans="1:18" x14ac:dyDescent="0.25">
      <c r="A461" s="47">
        <f t="shared" si="16"/>
        <v>460</v>
      </c>
      <c r="B461" s="47"/>
      <c r="C461" s="47"/>
      <c r="D461" s="47"/>
      <c r="E461" s="47"/>
      <c r="F461" s="47"/>
      <c r="G461" s="47"/>
      <c r="H461" s="58" t="str">
        <f t="shared" si="17"/>
        <v>NEW</v>
      </c>
      <c r="I461" s="57"/>
      <c r="J461" s="59"/>
      <c r="K461" s="60"/>
      <c r="L461" s="57"/>
      <c r="M461" s="61"/>
      <c r="N461" s="59"/>
      <c r="O461" s="57"/>
      <c r="P461" s="62"/>
      <c r="Q461" s="57"/>
      <c r="R461" s="57"/>
    </row>
    <row r="462" spans="1:18" x14ac:dyDescent="0.25">
      <c r="A462" s="47">
        <f t="shared" si="16"/>
        <v>461</v>
      </c>
      <c r="B462" s="47"/>
      <c r="C462" s="47"/>
      <c r="D462" s="47"/>
      <c r="E462" s="47"/>
      <c r="F462" s="47"/>
      <c r="G462" s="47"/>
      <c r="H462" s="58" t="str">
        <f t="shared" si="17"/>
        <v>NEW</v>
      </c>
      <c r="I462" s="57"/>
      <c r="J462" s="59"/>
      <c r="K462" s="60"/>
      <c r="L462" s="57"/>
      <c r="M462" s="61"/>
      <c r="N462" s="59"/>
      <c r="O462" s="57"/>
      <c r="P462" s="62"/>
      <c r="Q462" s="57"/>
      <c r="R462" s="57"/>
    </row>
    <row r="463" spans="1:18" x14ac:dyDescent="0.25">
      <c r="A463" s="47">
        <f t="shared" si="16"/>
        <v>462</v>
      </c>
      <c r="B463" s="47"/>
      <c r="C463" s="47"/>
      <c r="D463" s="47"/>
      <c r="E463" s="47"/>
      <c r="F463" s="47"/>
      <c r="G463" s="47"/>
      <c r="H463" s="58" t="str">
        <f t="shared" si="17"/>
        <v>NEW</v>
      </c>
      <c r="I463" s="57"/>
      <c r="J463" s="59"/>
      <c r="K463" s="60"/>
      <c r="L463" s="57"/>
      <c r="M463" s="61"/>
      <c r="N463" s="59"/>
      <c r="O463" s="57"/>
      <c r="P463" s="62"/>
      <c r="Q463" s="57"/>
      <c r="R463" s="57"/>
    </row>
    <row r="464" spans="1:18" x14ac:dyDescent="0.25">
      <c r="A464" s="47">
        <f t="shared" si="16"/>
        <v>463</v>
      </c>
      <c r="B464" s="47"/>
      <c r="C464" s="47"/>
      <c r="D464" s="47"/>
      <c r="E464" s="47"/>
      <c r="F464" s="47"/>
      <c r="G464" s="47"/>
      <c r="H464" s="58" t="str">
        <f t="shared" si="17"/>
        <v>NEW</v>
      </c>
      <c r="I464" s="57"/>
      <c r="J464" s="59"/>
      <c r="K464" s="60"/>
      <c r="L464" s="57"/>
      <c r="M464" s="61"/>
      <c r="N464" s="59"/>
      <c r="O464" s="57"/>
      <c r="P464" s="62"/>
      <c r="Q464" s="57"/>
      <c r="R464" s="57"/>
    </row>
    <row r="465" spans="1:18" x14ac:dyDescent="0.25">
      <c r="A465" s="47">
        <f t="shared" si="16"/>
        <v>464</v>
      </c>
      <c r="B465" s="47"/>
      <c r="C465" s="47"/>
      <c r="D465" s="47"/>
      <c r="E465" s="47"/>
      <c r="F465" s="47"/>
      <c r="G465" s="47"/>
      <c r="H465" s="58" t="str">
        <f t="shared" si="17"/>
        <v>NEW</v>
      </c>
      <c r="I465" s="57"/>
      <c r="J465" s="59"/>
      <c r="K465" s="60"/>
      <c r="L465" s="57"/>
      <c r="M465" s="61"/>
      <c r="N465" s="59"/>
      <c r="O465" s="57"/>
      <c r="P465" s="62"/>
      <c r="Q465" s="57"/>
      <c r="R465" s="57"/>
    </row>
    <row r="466" spans="1:18" x14ac:dyDescent="0.25">
      <c r="A466" s="47">
        <f t="shared" si="16"/>
        <v>465</v>
      </c>
      <c r="B466" s="47"/>
      <c r="C466" s="47"/>
      <c r="D466" s="47"/>
      <c r="E466" s="47"/>
      <c r="F466" s="47"/>
      <c r="G466" s="47"/>
      <c r="H466" s="58" t="str">
        <f t="shared" si="17"/>
        <v>NEW</v>
      </c>
      <c r="I466" s="57"/>
      <c r="J466" s="59"/>
      <c r="K466" s="60"/>
      <c r="L466" s="57"/>
      <c r="M466" s="61"/>
      <c r="N466" s="59"/>
      <c r="O466" s="57"/>
      <c r="P466" s="62"/>
      <c r="Q466" s="57"/>
      <c r="R466" s="57"/>
    </row>
    <row r="467" spans="1:18" x14ac:dyDescent="0.25">
      <c r="A467" s="47">
        <f t="shared" si="16"/>
        <v>466</v>
      </c>
      <c r="B467" s="47"/>
      <c r="C467" s="47"/>
      <c r="D467" s="47"/>
      <c r="E467" s="47"/>
      <c r="F467" s="47"/>
      <c r="G467" s="47"/>
      <c r="H467" s="58" t="str">
        <f t="shared" si="17"/>
        <v>NEW</v>
      </c>
      <c r="I467" s="57"/>
      <c r="J467" s="59"/>
      <c r="K467" s="60"/>
      <c r="L467" s="57"/>
      <c r="M467" s="61"/>
      <c r="N467" s="59"/>
      <c r="O467" s="57"/>
      <c r="P467" s="62"/>
      <c r="Q467" s="57"/>
      <c r="R467" s="57"/>
    </row>
    <row r="468" spans="1:18" x14ac:dyDescent="0.25">
      <c r="A468" s="47">
        <f t="shared" si="16"/>
        <v>467</v>
      </c>
      <c r="B468" s="47"/>
      <c r="C468" s="47"/>
      <c r="D468" s="47"/>
      <c r="E468" s="47"/>
      <c r="F468" s="47"/>
      <c r="G468" s="47"/>
      <c r="H468" s="58" t="str">
        <f t="shared" si="17"/>
        <v>NEW</v>
      </c>
      <c r="I468" s="57"/>
      <c r="J468" s="59"/>
      <c r="K468" s="60"/>
      <c r="L468" s="57"/>
      <c r="M468" s="61"/>
      <c r="N468" s="59"/>
      <c r="O468" s="57"/>
      <c r="P468" s="62"/>
      <c r="Q468" s="57"/>
      <c r="R468" s="57"/>
    </row>
    <row r="469" spans="1:18" x14ac:dyDescent="0.25">
      <c r="A469" s="47">
        <f t="shared" si="16"/>
        <v>468</v>
      </c>
      <c r="B469" s="47"/>
      <c r="C469" s="47"/>
      <c r="D469" s="47"/>
      <c r="E469" s="47"/>
      <c r="F469" s="47"/>
      <c r="G469" s="47"/>
      <c r="H469" s="58" t="str">
        <f t="shared" si="17"/>
        <v>NEW</v>
      </c>
      <c r="I469" s="57"/>
      <c r="J469" s="59"/>
      <c r="K469" s="60"/>
      <c r="L469" s="57"/>
      <c r="M469" s="61"/>
      <c r="N469" s="59"/>
      <c r="O469" s="57"/>
      <c r="P469" s="62"/>
      <c r="Q469" s="57"/>
      <c r="R469" s="57"/>
    </row>
    <row r="470" spans="1:18" x14ac:dyDescent="0.25">
      <c r="A470" s="47">
        <f t="shared" si="16"/>
        <v>469</v>
      </c>
      <c r="B470" s="47"/>
      <c r="C470" s="47"/>
      <c r="D470" s="47"/>
      <c r="E470" s="47"/>
      <c r="F470" s="47"/>
      <c r="G470" s="47"/>
      <c r="H470" s="58" t="str">
        <f t="shared" si="17"/>
        <v>NEW</v>
      </c>
      <c r="I470" s="57"/>
      <c r="J470" s="59"/>
      <c r="K470" s="60"/>
      <c r="L470" s="57"/>
      <c r="M470" s="61"/>
      <c r="N470" s="59"/>
      <c r="O470" s="57"/>
      <c r="P470" s="62"/>
      <c r="Q470" s="57"/>
      <c r="R470" s="57"/>
    </row>
    <row r="471" spans="1:18" x14ac:dyDescent="0.25">
      <c r="A471" s="47">
        <f t="shared" si="16"/>
        <v>470</v>
      </c>
      <c r="B471" s="47"/>
      <c r="C471" s="47"/>
      <c r="D471" s="47"/>
      <c r="E471" s="47"/>
      <c r="F471" s="47"/>
      <c r="G471" s="47"/>
      <c r="H471" s="58" t="str">
        <f t="shared" si="17"/>
        <v>NEW</v>
      </c>
      <c r="I471" s="57"/>
      <c r="J471" s="59"/>
      <c r="K471" s="60"/>
      <c r="L471" s="57"/>
      <c r="M471" s="61"/>
      <c r="N471" s="59"/>
      <c r="O471" s="57"/>
      <c r="P471" s="62"/>
      <c r="Q471" s="57"/>
      <c r="R471" s="57"/>
    </row>
    <row r="472" spans="1:18" x14ac:dyDescent="0.25">
      <c r="A472" s="47">
        <f t="shared" si="16"/>
        <v>471</v>
      </c>
      <c r="B472" s="47"/>
      <c r="C472" s="47"/>
      <c r="D472" s="47"/>
      <c r="E472" s="47"/>
      <c r="F472" s="47"/>
      <c r="G472" s="47"/>
      <c r="H472" s="58" t="str">
        <f t="shared" si="17"/>
        <v>NEW</v>
      </c>
      <c r="I472" s="57"/>
      <c r="J472" s="59"/>
      <c r="K472" s="60"/>
      <c r="L472" s="57"/>
      <c r="M472" s="61"/>
      <c r="N472" s="59"/>
      <c r="O472" s="57"/>
      <c r="P472" s="62"/>
      <c r="Q472" s="57"/>
      <c r="R472" s="57"/>
    </row>
    <row r="473" spans="1:18" x14ac:dyDescent="0.25">
      <c r="A473" s="47">
        <f t="shared" si="16"/>
        <v>472</v>
      </c>
      <c r="B473" s="47"/>
      <c r="C473" s="47"/>
      <c r="D473" s="47"/>
      <c r="E473" s="47"/>
      <c r="F473" s="47"/>
      <c r="G473" s="47"/>
      <c r="H473" s="58" t="str">
        <f t="shared" si="17"/>
        <v>NEW</v>
      </c>
      <c r="I473" s="57"/>
      <c r="J473" s="59"/>
      <c r="K473" s="60"/>
      <c r="L473" s="57"/>
      <c r="M473" s="61"/>
      <c r="N473" s="59"/>
      <c r="O473" s="57"/>
      <c r="P473" s="62"/>
      <c r="Q473" s="57"/>
      <c r="R473" s="57"/>
    </row>
    <row r="474" spans="1:18" x14ac:dyDescent="0.25">
      <c r="A474" s="47">
        <f t="shared" si="16"/>
        <v>473</v>
      </c>
      <c r="B474" s="47"/>
      <c r="C474" s="47"/>
      <c r="D474" s="47"/>
      <c r="E474" s="47"/>
      <c r="F474" s="47"/>
      <c r="G474" s="47"/>
      <c r="H474" s="58" t="str">
        <f t="shared" si="17"/>
        <v>NEW</v>
      </c>
      <c r="I474" s="57"/>
      <c r="J474" s="59"/>
      <c r="K474" s="60"/>
      <c r="L474" s="57"/>
      <c r="M474" s="61"/>
      <c r="N474" s="59"/>
      <c r="O474" s="57"/>
      <c r="P474" s="62"/>
      <c r="Q474" s="57"/>
      <c r="R474" s="57"/>
    </row>
    <row r="475" spans="1:18" x14ac:dyDescent="0.25">
      <c r="A475" s="47">
        <f t="shared" si="16"/>
        <v>474</v>
      </c>
      <c r="B475" s="47"/>
      <c r="C475" s="47"/>
      <c r="D475" s="47"/>
      <c r="E475" s="47"/>
      <c r="F475" s="47"/>
      <c r="G475" s="47"/>
      <c r="H475" s="58" t="str">
        <f t="shared" si="17"/>
        <v>NEW</v>
      </c>
      <c r="I475" s="57"/>
      <c r="J475" s="59"/>
      <c r="K475" s="60"/>
      <c r="L475" s="57"/>
      <c r="M475" s="61"/>
      <c r="N475" s="59"/>
      <c r="O475" s="57"/>
      <c r="P475" s="62"/>
      <c r="Q475" s="57"/>
      <c r="R475" s="57"/>
    </row>
    <row r="476" spans="1:18" x14ac:dyDescent="0.25">
      <c r="A476" s="47">
        <f t="shared" si="16"/>
        <v>475</v>
      </c>
      <c r="B476" s="47"/>
      <c r="C476" s="47"/>
      <c r="D476" s="47"/>
      <c r="E476" s="47"/>
      <c r="F476" s="47"/>
      <c r="G476" s="47"/>
      <c r="H476" s="58" t="str">
        <f t="shared" si="17"/>
        <v>NEW</v>
      </c>
      <c r="I476" s="57"/>
      <c r="J476" s="59"/>
      <c r="K476" s="60"/>
      <c r="L476" s="57"/>
      <c r="M476" s="61"/>
      <c r="N476" s="59"/>
      <c r="O476" s="57"/>
      <c r="P476" s="62"/>
      <c r="Q476" s="57"/>
      <c r="R476" s="57"/>
    </row>
    <row r="477" spans="1:18" x14ac:dyDescent="0.25">
      <c r="A477" s="47">
        <f t="shared" si="16"/>
        <v>476</v>
      </c>
      <c r="B477" s="47"/>
      <c r="C477" s="47"/>
      <c r="D477" s="47"/>
      <c r="E477" s="47"/>
      <c r="F477" s="47"/>
      <c r="G477" s="47"/>
      <c r="H477" s="58" t="str">
        <f t="shared" si="17"/>
        <v>NEW</v>
      </c>
      <c r="I477" s="57"/>
      <c r="J477" s="59"/>
      <c r="K477" s="60"/>
      <c r="L477" s="57"/>
      <c r="M477" s="61"/>
      <c r="N477" s="59"/>
      <c r="O477" s="57"/>
      <c r="P477" s="62"/>
      <c r="Q477" s="57"/>
      <c r="R477" s="57"/>
    </row>
    <row r="478" spans="1:18" x14ac:dyDescent="0.25">
      <c r="A478" s="47">
        <f t="shared" si="16"/>
        <v>477</v>
      </c>
      <c r="B478" s="47"/>
      <c r="C478" s="47"/>
      <c r="D478" s="47"/>
      <c r="E478" s="47"/>
      <c r="F478" s="47"/>
      <c r="G478" s="47"/>
      <c r="H478" s="58" t="str">
        <f t="shared" si="17"/>
        <v>NEW</v>
      </c>
      <c r="I478" s="57"/>
      <c r="J478" s="59"/>
      <c r="K478" s="60"/>
      <c r="L478" s="57"/>
      <c r="M478" s="61"/>
      <c r="N478" s="59"/>
      <c r="O478" s="57"/>
      <c r="P478" s="62"/>
      <c r="Q478" s="57"/>
      <c r="R478" s="57"/>
    </row>
    <row r="479" spans="1:18" x14ac:dyDescent="0.25">
      <c r="A479" s="47">
        <f t="shared" si="16"/>
        <v>478</v>
      </c>
      <c r="B479" s="47"/>
      <c r="C479" s="47"/>
      <c r="D479" s="47"/>
      <c r="E479" s="47"/>
      <c r="F479" s="47"/>
      <c r="G479" s="47"/>
      <c r="H479" s="58" t="str">
        <f t="shared" si="17"/>
        <v>NEW</v>
      </c>
      <c r="I479" s="57"/>
      <c r="J479" s="59"/>
      <c r="K479" s="60"/>
      <c r="L479" s="57"/>
      <c r="M479" s="61"/>
      <c r="N479" s="59"/>
      <c r="O479" s="57"/>
      <c r="P479" s="62"/>
      <c r="Q479" s="57"/>
      <c r="R479" s="57"/>
    </row>
    <row r="480" spans="1:18" x14ac:dyDescent="0.25">
      <c r="A480" s="47">
        <f t="shared" si="16"/>
        <v>479</v>
      </c>
      <c r="B480" s="47"/>
      <c r="C480" s="47"/>
      <c r="D480" s="47"/>
      <c r="E480" s="47"/>
      <c r="F480" s="47"/>
      <c r="G480" s="47"/>
      <c r="H480" s="58" t="str">
        <f t="shared" si="17"/>
        <v>NEW</v>
      </c>
      <c r="I480" s="57"/>
      <c r="J480" s="59"/>
      <c r="K480" s="60"/>
      <c r="L480" s="57"/>
      <c r="M480" s="61"/>
      <c r="N480" s="59"/>
      <c r="O480" s="57"/>
      <c r="P480" s="62"/>
      <c r="Q480" s="57"/>
      <c r="R480" s="57"/>
    </row>
    <row r="481" spans="1:18" x14ac:dyDescent="0.25">
      <c r="A481" s="47">
        <f t="shared" si="16"/>
        <v>480</v>
      </c>
      <c r="B481" s="47"/>
      <c r="C481" s="47"/>
      <c r="D481" s="47"/>
      <c r="E481" s="47"/>
      <c r="F481" s="47"/>
      <c r="G481" s="47"/>
      <c r="H481" s="58" t="str">
        <f t="shared" si="17"/>
        <v>NEW</v>
      </c>
      <c r="I481" s="57"/>
      <c r="J481" s="59"/>
      <c r="K481" s="60"/>
      <c r="L481" s="57"/>
      <c r="M481" s="61"/>
      <c r="N481" s="59"/>
      <c r="O481" s="57"/>
      <c r="P481" s="62"/>
      <c r="Q481" s="57"/>
      <c r="R481" s="57"/>
    </row>
    <row r="482" spans="1:18" x14ac:dyDescent="0.25">
      <c r="A482" s="47">
        <f t="shared" si="16"/>
        <v>481</v>
      </c>
      <c r="B482" s="47"/>
      <c r="C482" s="47"/>
      <c r="D482" s="47"/>
      <c r="E482" s="47"/>
      <c r="F482" s="47"/>
      <c r="G482" s="47"/>
      <c r="H482" s="58" t="str">
        <f t="shared" si="17"/>
        <v>NEW</v>
      </c>
      <c r="I482" s="57"/>
      <c r="J482" s="59"/>
      <c r="K482" s="60"/>
      <c r="L482" s="57"/>
      <c r="M482" s="61"/>
      <c r="N482" s="59"/>
      <c r="O482" s="57"/>
      <c r="P482" s="62"/>
      <c r="Q482" s="57"/>
      <c r="R482" s="57"/>
    </row>
    <row r="483" spans="1:18" x14ac:dyDescent="0.25">
      <c r="A483" s="47">
        <f t="shared" si="16"/>
        <v>482</v>
      </c>
      <c r="B483" s="47"/>
      <c r="C483" s="47"/>
      <c r="D483" s="47"/>
      <c r="E483" s="47"/>
      <c r="F483" s="47"/>
      <c r="G483" s="47"/>
      <c r="H483" s="58" t="str">
        <f t="shared" si="17"/>
        <v>NEW</v>
      </c>
      <c r="I483" s="57"/>
      <c r="J483" s="59"/>
      <c r="K483" s="60"/>
      <c r="L483" s="57"/>
      <c r="M483" s="61"/>
      <c r="N483" s="59"/>
      <c r="O483" s="57"/>
      <c r="P483" s="62"/>
      <c r="Q483" s="57"/>
      <c r="R483" s="57"/>
    </row>
    <row r="484" spans="1:18" x14ac:dyDescent="0.25">
      <c r="A484" s="47">
        <f t="shared" si="16"/>
        <v>483</v>
      </c>
      <c r="B484" s="47"/>
      <c r="C484" s="47"/>
      <c r="D484" s="47"/>
      <c r="E484" s="47"/>
      <c r="F484" s="47"/>
      <c r="G484" s="47"/>
      <c r="H484" s="58" t="str">
        <f t="shared" si="17"/>
        <v>NEW</v>
      </c>
      <c r="I484" s="57"/>
      <c r="J484" s="59"/>
      <c r="K484" s="60"/>
      <c r="L484" s="57"/>
      <c r="M484" s="61"/>
      <c r="N484" s="59"/>
      <c r="O484" s="57"/>
      <c r="P484" s="62"/>
      <c r="Q484" s="57"/>
      <c r="R484" s="57"/>
    </row>
    <row r="485" spans="1:18" x14ac:dyDescent="0.25">
      <c r="A485" s="47">
        <f t="shared" si="16"/>
        <v>484</v>
      </c>
      <c r="B485" s="47"/>
      <c r="C485" s="47"/>
      <c r="D485" s="47"/>
      <c r="E485" s="47"/>
      <c r="F485" s="47"/>
      <c r="G485" s="47"/>
      <c r="H485" s="58" t="str">
        <f t="shared" si="17"/>
        <v>NEW</v>
      </c>
      <c r="I485" s="57"/>
      <c r="J485" s="59"/>
      <c r="K485" s="60"/>
      <c r="L485" s="57"/>
      <c r="M485" s="61"/>
      <c r="N485" s="59"/>
      <c r="O485" s="57"/>
      <c r="P485" s="62"/>
      <c r="Q485" s="57"/>
      <c r="R485" s="57"/>
    </row>
    <row r="486" spans="1:18" x14ac:dyDescent="0.25">
      <c r="A486" s="47">
        <f t="shared" si="16"/>
        <v>485</v>
      </c>
      <c r="B486" s="47"/>
      <c r="C486" s="47"/>
      <c r="D486" s="47"/>
      <c r="E486" s="47"/>
      <c r="F486" s="47"/>
      <c r="G486" s="47"/>
      <c r="H486" s="58" t="str">
        <f t="shared" si="17"/>
        <v>NEW</v>
      </c>
      <c r="I486" s="57"/>
      <c r="J486" s="59"/>
      <c r="K486" s="60"/>
      <c r="L486" s="57"/>
      <c r="M486" s="61"/>
      <c r="N486" s="59"/>
      <c r="O486" s="57"/>
      <c r="P486" s="62"/>
      <c r="Q486" s="57"/>
      <c r="R486" s="57"/>
    </row>
    <row r="487" spans="1:18" x14ac:dyDescent="0.25">
      <c r="A487" s="47">
        <f t="shared" si="16"/>
        <v>486</v>
      </c>
      <c r="B487" s="47"/>
      <c r="C487" s="47"/>
      <c r="D487" s="47"/>
      <c r="E487" s="47"/>
      <c r="F487" s="47"/>
      <c r="G487" s="47"/>
      <c r="H487" s="58" t="str">
        <f t="shared" si="17"/>
        <v>NEW</v>
      </c>
      <c r="I487" s="57"/>
      <c r="J487" s="59"/>
      <c r="K487" s="60"/>
      <c r="L487" s="57"/>
      <c r="M487" s="61"/>
      <c r="N487" s="59"/>
      <c r="O487" s="57"/>
      <c r="P487" s="62"/>
      <c r="Q487" s="57"/>
      <c r="R487" s="57"/>
    </row>
    <row r="488" spans="1:18" x14ac:dyDescent="0.25">
      <c r="A488" s="47">
        <f t="shared" si="16"/>
        <v>487</v>
      </c>
      <c r="B488" s="47"/>
      <c r="C488" s="47"/>
      <c r="D488" s="47"/>
      <c r="E488" s="47"/>
      <c r="F488" s="47"/>
      <c r="G488" s="47"/>
      <c r="H488" s="58" t="str">
        <f t="shared" si="17"/>
        <v>NEW</v>
      </c>
      <c r="I488" s="57"/>
      <c r="J488" s="59"/>
      <c r="K488" s="60"/>
      <c r="L488" s="57"/>
      <c r="M488" s="61"/>
      <c r="N488" s="59"/>
      <c r="O488" s="57"/>
      <c r="P488" s="62"/>
      <c r="Q488" s="57"/>
      <c r="R488" s="57"/>
    </row>
    <row r="489" spans="1:18" x14ac:dyDescent="0.25">
      <c r="A489" s="47">
        <f t="shared" si="16"/>
        <v>488</v>
      </c>
      <c r="B489" s="47"/>
      <c r="C489" s="47"/>
      <c r="D489" s="47"/>
      <c r="E489" s="47"/>
      <c r="F489" s="47"/>
      <c r="G489" s="47"/>
      <c r="H489" s="58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57"/>
      <c r="J489" s="59"/>
      <c r="K489" s="60"/>
      <c r="L489" s="57"/>
      <c r="M489" s="61"/>
      <c r="N489" s="59"/>
      <c r="O489" s="57"/>
      <c r="P489" s="62"/>
      <c r="Q489" s="57"/>
      <c r="R489" s="57"/>
    </row>
    <row r="490" spans="1:18" x14ac:dyDescent="0.25">
      <c r="A490" s="47">
        <f t="shared" si="16"/>
        <v>489</v>
      </c>
      <c r="B490" s="47"/>
      <c r="C490" s="47"/>
      <c r="D490" s="47"/>
      <c r="E490" s="47"/>
      <c r="F490" s="47"/>
      <c r="G490" s="47"/>
      <c r="H490" s="58" t="str">
        <f t="shared" si="18"/>
        <v>NEW</v>
      </c>
      <c r="I490" s="57"/>
      <c r="J490" s="59"/>
      <c r="K490" s="60"/>
      <c r="L490" s="57"/>
      <c r="M490" s="61"/>
      <c r="N490" s="59"/>
      <c r="O490" s="57"/>
      <c r="P490" s="62"/>
      <c r="Q490" s="57"/>
      <c r="R490" s="57"/>
    </row>
    <row r="491" spans="1:18" x14ac:dyDescent="0.25">
      <c r="A491" s="47">
        <f t="shared" si="16"/>
        <v>490</v>
      </c>
      <c r="B491" s="47"/>
      <c r="C491" s="47"/>
      <c r="D491" s="47"/>
      <c r="E491" s="47"/>
      <c r="F491" s="47"/>
      <c r="G491" s="47"/>
      <c r="H491" s="58" t="str">
        <f t="shared" si="18"/>
        <v>NEW</v>
      </c>
      <c r="I491" s="57"/>
      <c r="J491" s="59"/>
      <c r="K491" s="60"/>
      <c r="L491" s="57"/>
      <c r="M491" s="61"/>
      <c r="N491" s="59"/>
      <c r="O491" s="57"/>
      <c r="P491" s="62"/>
      <c r="Q491" s="57"/>
      <c r="R491" s="57"/>
    </row>
    <row r="492" spans="1:18" x14ac:dyDescent="0.25">
      <c r="A492" s="47">
        <f t="shared" si="16"/>
        <v>491</v>
      </c>
      <c r="B492" s="57"/>
      <c r="C492" s="57"/>
      <c r="D492" s="57"/>
      <c r="E492" s="57"/>
      <c r="F492" s="57"/>
      <c r="G492" s="57"/>
      <c r="H492" s="58" t="str">
        <f t="shared" si="18"/>
        <v>NEW</v>
      </c>
      <c r="I492" s="57"/>
      <c r="J492" s="59"/>
      <c r="K492" s="60"/>
      <c r="L492" s="57"/>
      <c r="M492" s="61"/>
      <c r="N492" s="59"/>
      <c r="O492" s="57"/>
      <c r="P492" s="62"/>
      <c r="Q492" s="57"/>
      <c r="R492" s="57"/>
    </row>
    <row r="493" spans="1:18" x14ac:dyDescent="0.25">
      <c r="A493" s="47">
        <f t="shared" si="16"/>
        <v>492</v>
      </c>
      <c r="B493" s="57"/>
      <c r="C493" s="57"/>
      <c r="D493" s="57"/>
      <c r="E493" s="57"/>
      <c r="F493" s="57"/>
      <c r="G493" s="57"/>
      <c r="H493" s="58" t="str">
        <f t="shared" si="18"/>
        <v>NEW</v>
      </c>
      <c r="I493" s="57"/>
      <c r="J493" s="59"/>
      <c r="K493" s="60"/>
      <c r="L493" s="57"/>
      <c r="M493" s="61"/>
      <c r="N493" s="59"/>
      <c r="O493" s="57"/>
      <c r="P493" s="62"/>
      <c r="Q493" s="57"/>
      <c r="R493" s="57"/>
    </row>
    <row r="494" spans="1:18" x14ac:dyDescent="0.25">
      <c r="A494" s="47">
        <f t="shared" si="16"/>
        <v>493</v>
      </c>
      <c r="B494" s="57"/>
      <c r="C494" s="57"/>
      <c r="D494" s="57"/>
      <c r="E494" s="57"/>
      <c r="F494" s="57"/>
      <c r="G494" s="57"/>
      <c r="H494" s="58" t="str">
        <f t="shared" si="18"/>
        <v>NEW</v>
      </c>
      <c r="I494" s="57"/>
      <c r="J494" s="59"/>
      <c r="K494" s="60"/>
      <c r="L494" s="57"/>
      <c r="M494" s="61"/>
      <c r="N494" s="59"/>
      <c r="O494" s="57"/>
      <c r="P494" s="62"/>
      <c r="Q494" s="57"/>
      <c r="R494" s="57"/>
    </row>
    <row r="495" spans="1:18" x14ac:dyDescent="0.25">
      <c r="A495" s="47">
        <f t="shared" si="16"/>
        <v>494</v>
      </c>
      <c r="B495" s="57"/>
      <c r="C495" s="57"/>
      <c r="D495" s="57"/>
      <c r="E495" s="57"/>
      <c r="F495" s="57"/>
      <c r="G495" s="57"/>
      <c r="H495" s="58" t="str">
        <f t="shared" si="18"/>
        <v>NEW</v>
      </c>
      <c r="I495" s="57"/>
      <c r="J495" s="59"/>
      <c r="K495" s="60"/>
      <c r="L495" s="57"/>
      <c r="M495" s="61"/>
      <c r="N495" s="59"/>
      <c r="O495" s="57"/>
      <c r="P495" s="62"/>
      <c r="Q495" s="57"/>
      <c r="R495" s="57"/>
    </row>
    <row r="496" spans="1:18" x14ac:dyDescent="0.25">
      <c r="A496" s="47">
        <f t="shared" si="16"/>
        <v>495</v>
      </c>
      <c r="B496" s="57"/>
      <c r="C496" s="57"/>
      <c r="D496" s="57"/>
      <c r="E496" s="57"/>
      <c r="F496" s="57"/>
      <c r="G496" s="57"/>
      <c r="H496" s="58" t="str">
        <f t="shared" si="18"/>
        <v>NEW</v>
      </c>
      <c r="I496" s="57"/>
      <c r="J496" s="59"/>
      <c r="K496" s="60"/>
      <c r="L496" s="57"/>
      <c r="M496" s="61"/>
      <c r="N496" s="59"/>
      <c r="O496" s="57"/>
      <c r="P496" s="62"/>
      <c r="Q496" s="57"/>
      <c r="R496" s="57"/>
    </row>
    <row r="497" spans="1:18" x14ac:dyDescent="0.25">
      <c r="A497" s="47">
        <f t="shared" si="16"/>
        <v>496</v>
      </c>
      <c r="B497" s="57"/>
      <c r="C497" s="57"/>
      <c r="D497" s="57"/>
      <c r="E497" s="57"/>
      <c r="F497" s="57"/>
      <c r="G497" s="57"/>
      <c r="H497" s="58" t="str">
        <f t="shared" si="18"/>
        <v>NEW</v>
      </c>
      <c r="I497" s="57"/>
      <c r="J497" s="59"/>
      <c r="K497" s="60"/>
      <c r="L497" s="57"/>
      <c r="M497" s="61"/>
      <c r="N497" s="59"/>
      <c r="O497" s="57"/>
      <c r="P497" s="62"/>
      <c r="Q497" s="57"/>
      <c r="R497" s="57"/>
    </row>
    <row r="498" spans="1:18" x14ac:dyDescent="0.25">
      <c r="A498" s="47">
        <f t="shared" si="16"/>
        <v>497</v>
      </c>
      <c r="B498" s="57"/>
      <c r="C498" s="57"/>
      <c r="D498" s="57"/>
      <c r="E498" s="57"/>
      <c r="F498" s="57"/>
      <c r="G498" s="57"/>
      <c r="H498" s="58" t="str">
        <f t="shared" si="18"/>
        <v>NEW</v>
      </c>
      <c r="I498" s="57"/>
      <c r="J498" s="59"/>
      <c r="K498" s="60"/>
      <c r="L498" s="57"/>
      <c r="M498" s="61"/>
      <c r="N498" s="59"/>
      <c r="O498" s="57"/>
      <c r="P498" s="62"/>
      <c r="Q498" s="57"/>
      <c r="R498" s="57"/>
    </row>
    <row r="499" spans="1:18" x14ac:dyDescent="0.25">
      <c r="A499" s="47">
        <f t="shared" si="16"/>
        <v>498</v>
      </c>
      <c r="B499" s="57"/>
      <c r="C499" s="57"/>
      <c r="D499" s="57"/>
      <c r="E499" s="57"/>
      <c r="F499" s="57"/>
      <c r="G499" s="57"/>
      <c r="H499" s="58" t="str">
        <f t="shared" si="18"/>
        <v>NEW</v>
      </c>
      <c r="I499" s="57"/>
      <c r="J499" s="59"/>
      <c r="K499" s="60"/>
      <c r="L499" s="57"/>
      <c r="M499" s="61"/>
      <c r="N499" s="59"/>
      <c r="O499" s="57"/>
      <c r="P499" s="62"/>
      <c r="Q499" s="57"/>
      <c r="R499" s="57"/>
    </row>
    <row r="500" spans="1:18" x14ac:dyDescent="0.25">
      <c r="A500" s="47">
        <f t="shared" si="16"/>
        <v>499</v>
      </c>
      <c r="B500" s="57"/>
      <c r="C500" s="57"/>
      <c r="D500" s="57"/>
      <c r="E500" s="57"/>
      <c r="F500" s="57"/>
      <c r="G500" s="57"/>
      <c r="H500" s="58" t="str">
        <f t="shared" si="18"/>
        <v>NEW</v>
      </c>
      <c r="I500" s="57"/>
      <c r="J500" s="59"/>
      <c r="K500" s="60"/>
      <c r="L500" s="57"/>
      <c r="M500" s="61"/>
      <c r="N500" s="59"/>
      <c r="O500" s="57"/>
      <c r="P500" s="62"/>
      <c r="Q500" s="57"/>
      <c r="R500" s="57"/>
    </row>
    <row r="501" spans="1:18" x14ac:dyDescent="0.25">
      <c r="A501" s="47">
        <f t="shared" si="16"/>
        <v>500</v>
      </c>
      <c r="B501" s="57"/>
      <c r="C501" s="57"/>
      <c r="D501" s="57"/>
      <c r="E501" s="57"/>
      <c r="F501" s="57"/>
      <c r="G501" s="57"/>
      <c r="H501" s="58" t="str">
        <f t="shared" si="18"/>
        <v>NEW</v>
      </c>
      <c r="I501" s="57"/>
      <c r="J501" s="59"/>
      <c r="K501" s="60"/>
      <c r="L501" s="57"/>
      <c r="M501" s="61"/>
      <c r="N501" s="59"/>
      <c r="O501" s="57"/>
      <c r="P501" s="62"/>
      <c r="Q501" s="57"/>
      <c r="R501" s="57"/>
    </row>
    <row r="502" spans="1:18" x14ac:dyDescent="0.25">
      <c r="A502" s="47">
        <f t="shared" si="16"/>
        <v>501</v>
      </c>
      <c r="B502" s="57"/>
      <c r="C502" s="57"/>
      <c r="D502" s="57"/>
      <c r="E502" s="57"/>
      <c r="F502" s="57"/>
      <c r="G502" s="57"/>
      <c r="H502" s="58" t="str">
        <f t="shared" si="18"/>
        <v>NEW</v>
      </c>
      <c r="I502" s="57"/>
      <c r="J502" s="59"/>
      <c r="K502" s="60"/>
      <c r="L502" s="57"/>
      <c r="M502" s="61"/>
      <c r="N502" s="59"/>
      <c r="O502" s="57"/>
      <c r="P502" s="62"/>
      <c r="Q502" s="57"/>
      <c r="R502" s="57"/>
    </row>
    <row r="503" spans="1:18" x14ac:dyDescent="0.25">
      <c r="A503" s="47">
        <f t="shared" si="16"/>
        <v>502</v>
      </c>
      <c r="B503" s="57"/>
      <c r="C503" s="57"/>
      <c r="D503" s="57"/>
      <c r="E503" s="57"/>
      <c r="F503" s="57"/>
      <c r="G503" s="57"/>
      <c r="H503" s="58" t="str">
        <f t="shared" si="18"/>
        <v>NEW</v>
      </c>
      <c r="I503" s="57"/>
      <c r="J503" s="59"/>
      <c r="K503" s="60"/>
      <c r="L503" s="57"/>
      <c r="M503" s="61"/>
      <c r="N503" s="59"/>
      <c r="O503" s="57"/>
      <c r="P503" s="62"/>
      <c r="Q503" s="57"/>
      <c r="R503" s="57"/>
    </row>
    <row r="504" spans="1:18" x14ac:dyDescent="0.25">
      <c r="A504" s="47">
        <f t="shared" si="16"/>
        <v>503</v>
      </c>
      <c r="B504" s="57"/>
      <c r="C504" s="57"/>
      <c r="D504" s="57"/>
      <c r="E504" s="57"/>
      <c r="F504" s="57"/>
      <c r="G504" s="57"/>
      <c r="H504" s="58" t="str">
        <f t="shared" si="18"/>
        <v>NEW</v>
      </c>
      <c r="I504" s="57"/>
      <c r="J504" s="59"/>
      <c r="K504" s="60"/>
      <c r="L504" s="57"/>
      <c r="M504" s="61"/>
      <c r="N504" s="59"/>
      <c r="O504" s="57"/>
      <c r="P504" s="62"/>
      <c r="Q504" s="57"/>
      <c r="R504" s="57"/>
    </row>
    <row r="505" spans="1:18" x14ac:dyDescent="0.25">
      <c r="A505" s="47">
        <f t="shared" si="16"/>
        <v>504</v>
      </c>
      <c r="B505" s="57"/>
      <c r="C505" s="57"/>
      <c r="D505" s="57"/>
      <c r="E505" s="57"/>
      <c r="F505" s="57"/>
      <c r="G505" s="57"/>
      <c r="H505" s="58" t="str">
        <f t="shared" si="18"/>
        <v>NEW</v>
      </c>
      <c r="I505" s="57"/>
      <c r="J505" s="59"/>
      <c r="K505" s="60"/>
      <c r="L505" s="57"/>
      <c r="M505" s="61"/>
      <c r="N505" s="59"/>
      <c r="O505" s="57"/>
      <c r="P505" s="62"/>
      <c r="Q505" s="57"/>
      <c r="R505" s="57"/>
    </row>
    <row r="506" spans="1:18" x14ac:dyDescent="0.25">
      <c r="A506" s="47">
        <f t="shared" si="16"/>
        <v>505</v>
      </c>
      <c r="B506" s="57"/>
      <c r="C506" s="57"/>
      <c r="D506" s="57"/>
      <c r="E506" s="57"/>
      <c r="F506" s="57"/>
      <c r="G506" s="57"/>
      <c r="H506" s="58" t="str">
        <f t="shared" si="18"/>
        <v>NEW</v>
      </c>
      <c r="I506" s="57"/>
      <c r="J506" s="59"/>
      <c r="K506" s="60"/>
      <c r="L506" s="57"/>
      <c r="M506" s="61"/>
      <c r="N506" s="59"/>
      <c r="O506" s="57"/>
      <c r="P506" s="62"/>
      <c r="Q506" s="57"/>
      <c r="R506" s="57"/>
    </row>
    <row r="507" spans="1:18" x14ac:dyDescent="0.25">
      <c r="A507" s="47">
        <f t="shared" si="16"/>
        <v>506</v>
      </c>
      <c r="B507" s="57"/>
      <c r="C507" s="57"/>
      <c r="D507" s="57"/>
      <c r="E507" s="57"/>
      <c r="F507" s="57"/>
      <c r="G507" s="57"/>
      <c r="H507" s="58" t="str">
        <f t="shared" si="18"/>
        <v>NEW</v>
      </c>
      <c r="I507" s="57"/>
      <c r="J507" s="59"/>
      <c r="K507" s="60"/>
      <c r="L507" s="57"/>
      <c r="M507" s="61"/>
      <c r="N507" s="59"/>
      <c r="O507" s="57"/>
      <c r="P507" s="62"/>
      <c r="Q507" s="57"/>
      <c r="R507" s="57"/>
    </row>
    <row r="508" spans="1:18" x14ac:dyDescent="0.25">
      <c r="A508" s="47">
        <f t="shared" si="16"/>
        <v>507</v>
      </c>
      <c r="B508" s="57"/>
      <c r="C508" s="57"/>
      <c r="D508" s="57"/>
      <c r="E508" s="57"/>
      <c r="F508" s="57"/>
      <c r="G508" s="57"/>
      <c r="H508" s="58" t="str">
        <f t="shared" si="18"/>
        <v>NEW</v>
      </c>
      <c r="I508" s="57"/>
      <c r="J508" s="59"/>
      <c r="K508" s="60"/>
      <c r="L508" s="57"/>
      <c r="M508" s="61"/>
      <c r="N508" s="59"/>
      <c r="O508" s="57"/>
      <c r="P508" s="62"/>
      <c r="Q508" s="57"/>
      <c r="R508" s="57"/>
    </row>
    <row r="509" spans="1:18" x14ac:dyDescent="0.25">
      <c r="A509" s="47">
        <f t="shared" si="16"/>
        <v>508</v>
      </c>
      <c r="B509" s="57"/>
      <c r="C509" s="57"/>
      <c r="D509" s="57"/>
      <c r="E509" s="57"/>
      <c r="F509" s="57"/>
      <c r="G509" s="57"/>
      <c r="H509" s="58" t="str">
        <f t="shared" si="18"/>
        <v>NEW</v>
      </c>
      <c r="I509" s="57"/>
      <c r="J509" s="59"/>
      <c r="K509" s="60"/>
      <c r="L509" s="57"/>
      <c r="M509" s="61"/>
      <c r="N509" s="59"/>
      <c r="O509" s="57"/>
      <c r="P509" s="62"/>
      <c r="Q509" s="57"/>
      <c r="R509" s="57"/>
    </row>
    <row r="510" spans="1:18" x14ac:dyDescent="0.25">
      <c r="A510" s="47">
        <f t="shared" si="16"/>
        <v>509</v>
      </c>
      <c r="B510" s="57"/>
      <c r="C510" s="57"/>
      <c r="D510" s="57"/>
      <c r="E510" s="57"/>
      <c r="F510" s="57"/>
      <c r="G510" s="57"/>
      <c r="H510" s="58" t="str">
        <f t="shared" si="18"/>
        <v>NEW</v>
      </c>
      <c r="I510" s="57"/>
      <c r="J510" s="59"/>
      <c r="K510" s="60"/>
      <c r="L510" s="57"/>
      <c r="M510" s="61"/>
      <c r="N510" s="59"/>
      <c r="O510" s="57"/>
      <c r="P510" s="62"/>
      <c r="Q510" s="57"/>
      <c r="R510" s="57"/>
    </row>
    <row r="511" spans="1:18" x14ac:dyDescent="0.25">
      <c r="A511" s="47">
        <f t="shared" si="16"/>
        <v>510</v>
      </c>
      <c r="B511" s="57"/>
      <c r="C511" s="57"/>
      <c r="D511" s="57"/>
      <c r="E511" s="57"/>
      <c r="F511" s="57"/>
      <c r="G511" s="57"/>
      <c r="H511" s="58" t="str">
        <f t="shared" si="18"/>
        <v>NEW</v>
      </c>
      <c r="I511" s="57"/>
      <c r="J511" s="59"/>
      <c r="K511" s="60"/>
      <c r="L511" s="57"/>
      <c r="M511" s="61"/>
      <c r="N511" s="59"/>
      <c r="O511" s="57"/>
      <c r="P511" s="62"/>
      <c r="Q511" s="57"/>
      <c r="R511" s="57"/>
    </row>
    <row r="512" spans="1:18" x14ac:dyDescent="0.25">
      <c r="A512" s="47">
        <f t="shared" si="16"/>
        <v>511</v>
      </c>
      <c r="B512" s="57"/>
      <c r="C512" s="57"/>
      <c r="D512" s="57"/>
      <c r="E512" s="57"/>
      <c r="F512" s="57"/>
      <c r="G512" s="57"/>
      <c r="H512" s="58" t="str">
        <f t="shared" si="18"/>
        <v>NEW</v>
      </c>
      <c r="I512" s="57"/>
      <c r="J512" s="59"/>
      <c r="K512" s="60"/>
      <c r="L512" s="57"/>
      <c r="M512" s="61"/>
      <c r="N512" s="59"/>
      <c r="O512" s="57"/>
      <c r="P512" s="62"/>
      <c r="Q512" s="57"/>
      <c r="R512" s="57"/>
    </row>
    <row r="513" spans="1:18" x14ac:dyDescent="0.25">
      <c r="A513" s="47">
        <f t="shared" si="16"/>
        <v>512</v>
      </c>
      <c r="B513" s="57"/>
      <c r="C513" s="57"/>
      <c r="D513" s="57"/>
      <c r="E513" s="57"/>
      <c r="F513" s="57"/>
      <c r="G513" s="57"/>
      <c r="H513" s="58" t="str">
        <f t="shared" si="18"/>
        <v>NEW</v>
      </c>
      <c r="I513" s="57"/>
      <c r="J513" s="59"/>
      <c r="K513" s="60"/>
      <c r="L513" s="57"/>
      <c r="M513" s="61"/>
      <c r="N513" s="59"/>
      <c r="O513" s="57"/>
      <c r="P513" s="62"/>
      <c r="Q513" s="57"/>
      <c r="R513" s="57"/>
    </row>
    <row r="514" spans="1:18" x14ac:dyDescent="0.25">
      <c r="A514" s="47">
        <f t="shared" si="16"/>
        <v>513</v>
      </c>
      <c r="B514" s="57"/>
      <c r="C514" s="57"/>
      <c r="D514" s="57"/>
      <c r="E514" s="57"/>
      <c r="F514" s="57"/>
      <c r="G514" s="57"/>
      <c r="H514" s="58" t="str">
        <f t="shared" si="18"/>
        <v>NEW</v>
      </c>
      <c r="I514" s="57"/>
      <c r="J514" s="59"/>
      <c r="K514" s="60"/>
      <c r="L514" s="57"/>
      <c r="M514" s="61"/>
      <c r="N514" s="59"/>
      <c r="O514" s="57"/>
      <c r="P514" s="62"/>
      <c r="Q514" s="57"/>
      <c r="R514" s="57"/>
    </row>
    <row r="515" spans="1:18" x14ac:dyDescent="0.25">
      <c r="A515" s="47">
        <f t="shared" si="16"/>
        <v>514</v>
      </c>
      <c r="B515" s="57"/>
      <c r="C515" s="57"/>
      <c r="D515" s="57"/>
      <c r="E515" s="57"/>
      <c r="F515" s="57"/>
      <c r="G515" s="57"/>
      <c r="H515" s="58" t="str">
        <f t="shared" si="18"/>
        <v>NEW</v>
      </c>
      <c r="I515" s="57"/>
      <c r="J515" s="59"/>
      <c r="K515" s="60"/>
      <c r="L515" s="57"/>
      <c r="M515" s="61"/>
      <c r="N515" s="59"/>
      <c r="O515" s="57"/>
      <c r="P515" s="62"/>
      <c r="Q515" s="57"/>
      <c r="R515" s="57"/>
    </row>
    <row r="516" spans="1:18" x14ac:dyDescent="0.25">
      <c r="A516" s="47">
        <f t="shared" si="16"/>
        <v>515</v>
      </c>
      <c r="B516" s="57"/>
      <c r="C516" s="57"/>
      <c r="D516" s="57"/>
      <c r="E516" s="57"/>
      <c r="F516" s="57"/>
      <c r="G516" s="57"/>
      <c r="H516" s="58" t="str">
        <f t="shared" si="18"/>
        <v>NEW</v>
      </c>
      <c r="I516" s="57"/>
      <c r="J516" s="59"/>
      <c r="K516" s="60"/>
      <c r="L516" s="57"/>
      <c r="M516" s="61"/>
      <c r="N516" s="59"/>
      <c r="O516" s="57"/>
      <c r="P516" s="62"/>
      <c r="Q516" s="57"/>
      <c r="R516" s="57"/>
    </row>
    <row r="517" spans="1:18" x14ac:dyDescent="0.25">
      <c r="A517" s="47">
        <f t="shared" ref="A517:A554" si="19">ROW()-1</f>
        <v>516</v>
      </c>
      <c r="B517" s="57"/>
      <c r="C517" s="57"/>
      <c r="D517" s="57"/>
      <c r="E517" s="57"/>
      <c r="F517" s="57"/>
      <c r="G517" s="57"/>
      <c r="H517" s="58" t="str">
        <f t="shared" si="18"/>
        <v>NEW</v>
      </c>
      <c r="I517" s="57"/>
      <c r="J517" s="59"/>
      <c r="K517" s="60"/>
      <c r="L517" s="57"/>
      <c r="M517" s="61"/>
      <c r="N517" s="59"/>
      <c r="O517" s="57"/>
      <c r="P517" s="62"/>
      <c r="Q517" s="57"/>
      <c r="R517" s="57"/>
    </row>
    <row r="518" spans="1:18" x14ac:dyDescent="0.25">
      <c r="A518" s="47">
        <f t="shared" si="19"/>
        <v>517</v>
      </c>
      <c r="B518" s="57"/>
      <c r="C518" s="57"/>
      <c r="D518" s="57"/>
      <c r="E518" s="57"/>
      <c r="F518" s="57"/>
      <c r="G518" s="57"/>
      <c r="H518" s="58" t="str">
        <f t="shared" si="18"/>
        <v>NEW</v>
      </c>
      <c r="I518" s="57"/>
      <c r="J518" s="59"/>
      <c r="K518" s="60"/>
      <c r="L518" s="57"/>
      <c r="M518" s="61"/>
      <c r="N518" s="59"/>
      <c r="O518" s="57"/>
      <c r="P518" s="62"/>
      <c r="Q518" s="57"/>
      <c r="R518" s="57"/>
    </row>
    <row r="519" spans="1:18" x14ac:dyDescent="0.25">
      <c r="A519" s="47">
        <f t="shared" si="19"/>
        <v>518</v>
      </c>
      <c r="B519" s="57"/>
      <c r="C519" s="57"/>
      <c r="D519" s="57"/>
      <c r="E519" s="57"/>
      <c r="F519" s="57"/>
      <c r="G519" s="57"/>
      <c r="H519" s="58" t="str">
        <f t="shared" si="18"/>
        <v>NEW</v>
      </c>
      <c r="I519" s="57"/>
      <c r="J519" s="59"/>
      <c r="K519" s="60"/>
      <c r="L519" s="57"/>
      <c r="M519" s="61"/>
      <c r="N519" s="59"/>
      <c r="O519" s="57"/>
      <c r="P519" s="62"/>
      <c r="Q519" s="57"/>
      <c r="R519" s="57"/>
    </row>
    <row r="520" spans="1:18" x14ac:dyDescent="0.25">
      <c r="A520" s="47">
        <f t="shared" si="19"/>
        <v>519</v>
      </c>
      <c r="B520" s="57"/>
      <c r="C520" s="57"/>
      <c r="D520" s="57"/>
      <c r="E520" s="57"/>
      <c r="F520" s="57"/>
      <c r="G520" s="57"/>
      <c r="H520" s="58" t="str">
        <f t="shared" si="18"/>
        <v>NEW</v>
      </c>
      <c r="I520" s="57"/>
      <c r="J520" s="59"/>
      <c r="K520" s="60"/>
      <c r="L520" s="57"/>
      <c r="M520" s="61"/>
      <c r="N520" s="59"/>
      <c r="O520" s="57"/>
      <c r="P520" s="62"/>
      <c r="Q520" s="57"/>
      <c r="R520" s="57"/>
    </row>
    <row r="521" spans="1:18" x14ac:dyDescent="0.25">
      <c r="A521" s="47">
        <f t="shared" si="19"/>
        <v>520</v>
      </c>
      <c r="B521" s="57"/>
      <c r="C521" s="57"/>
      <c r="D521" s="57"/>
      <c r="E521" s="57"/>
      <c r="F521" s="57"/>
      <c r="G521" s="57"/>
      <c r="H521" s="58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57"/>
      <c r="J521" s="59"/>
      <c r="K521" s="60"/>
      <c r="L521" s="57"/>
      <c r="M521" s="61"/>
      <c r="N521" s="59"/>
      <c r="O521" s="57"/>
      <c r="P521" s="62"/>
      <c r="Q521" s="57"/>
      <c r="R521" s="57"/>
    </row>
    <row r="522" spans="1:18" x14ac:dyDescent="0.25">
      <c r="A522" s="47">
        <f t="shared" si="19"/>
        <v>521</v>
      </c>
      <c r="B522" s="57"/>
      <c r="C522" s="57"/>
      <c r="D522" s="57"/>
      <c r="E522" s="57"/>
      <c r="F522" s="57"/>
      <c r="G522" s="57"/>
      <c r="H522" s="58" t="str">
        <f t="shared" si="20"/>
        <v>NEW</v>
      </c>
      <c r="I522" s="57"/>
      <c r="J522" s="59"/>
      <c r="K522" s="60"/>
      <c r="L522" s="57"/>
      <c r="M522" s="61"/>
      <c r="N522" s="59"/>
      <c r="O522" s="57"/>
      <c r="P522" s="62"/>
      <c r="Q522" s="57"/>
      <c r="R522" s="57"/>
    </row>
    <row r="523" spans="1:18" x14ac:dyDescent="0.25">
      <c r="A523" s="47">
        <f t="shared" si="19"/>
        <v>522</v>
      </c>
      <c r="B523" s="57"/>
      <c r="C523" s="57"/>
      <c r="D523" s="57"/>
      <c r="E523" s="57"/>
      <c r="F523" s="57"/>
      <c r="G523" s="57"/>
      <c r="H523" s="58" t="str">
        <f t="shared" si="20"/>
        <v>NEW</v>
      </c>
      <c r="I523" s="57"/>
      <c r="J523" s="59"/>
      <c r="K523" s="60"/>
      <c r="L523" s="57"/>
      <c r="M523" s="61"/>
      <c r="N523" s="59"/>
      <c r="O523" s="57"/>
      <c r="P523" s="62"/>
      <c r="Q523" s="57"/>
      <c r="R523" s="57"/>
    </row>
    <row r="524" spans="1:18" x14ac:dyDescent="0.25">
      <c r="A524" s="47">
        <f t="shared" si="19"/>
        <v>523</v>
      </c>
      <c r="B524" s="57"/>
      <c r="C524" s="57"/>
      <c r="D524" s="57"/>
      <c r="E524" s="57"/>
      <c r="F524" s="57"/>
      <c r="G524" s="57"/>
      <c r="H524" s="58" t="str">
        <f t="shared" si="20"/>
        <v>NEW</v>
      </c>
      <c r="I524" s="57"/>
      <c r="J524" s="59"/>
      <c r="K524" s="60"/>
      <c r="L524" s="57"/>
      <c r="M524" s="61"/>
      <c r="N524" s="59"/>
      <c r="O524" s="57"/>
      <c r="P524" s="62"/>
      <c r="Q524" s="57"/>
      <c r="R524" s="57"/>
    </row>
    <row r="525" spans="1:18" x14ac:dyDescent="0.25">
      <c r="A525" s="47">
        <f t="shared" si="19"/>
        <v>524</v>
      </c>
      <c r="B525" s="57"/>
      <c r="C525" s="57"/>
      <c r="D525" s="57"/>
      <c r="E525" s="57"/>
      <c r="F525" s="57"/>
      <c r="G525" s="57"/>
      <c r="H525" s="58" t="str">
        <f t="shared" si="20"/>
        <v>NEW</v>
      </c>
      <c r="I525" s="57"/>
      <c r="J525" s="59"/>
      <c r="K525" s="60"/>
      <c r="L525" s="57"/>
      <c r="M525" s="61"/>
      <c r="N525" s="59"/>
      <c r="O525" s="57"/>
      <c r="P525" s="62"/>
      <c r="Q525" s="57"/>
      <c r="R525" s="57"/>
    </row>
    <row r="526" spans="1:18" x14ac:dyDescent="0.25">
      <c r="A526" s="47">
        <f t="shared" si="19"/>
        <v>525</v>
      </c>
      <c r="B526" s="57"/>
      <c r="C526" s="57"/>
      <c r="D526" s="57"/>
      <c r="E526" s="57"/>
      <c r="F526" s="57"/>
      <c r="G526" s="57"/>
      <c r="H526" s="58" t="str">
        <f t="shared" si="20"/>
        <v>NEW</v>
      </c>
      <c r="I526" s="57"/>
      <c r="J526" s="59"/>
      <c r="K526" s="60"/>
      <c r="L526" s="57"/>
      <c r="M526" s="61"/>
      <c r="N526" s="59"/>
      <c r="O526" s="57"/>
      <c r="P526" s="62"/>
      <c r="Q526" s="57"/>
      <c r="R526" s="57"/>
    </row>
    <row r="527" spans="1:18" x14ac:dyDescent="0.25">
      <c r="A527" s="47">
        <f t="shared" si="19"/>
        <v>526</v>
      </c>
      <c r="B527" s="57"/>
      <c r="C527" s="57"/>
      <c r="D527" s="57"/>
      <c r="E527" s="57"/>
      <c r="F527" s="57"/>
      <c r="G527" s="57"/>
      <c r="H527" s="58" t="str">
        <f t="shared" si="20"/>
        <v>NEW</v>
      </c>
      <c r="I527" s="57"/>
      <c r="J527" s="59"/>
      <c r="K527" s="60"/>
      <c r="L527" s="57"/>
      <c r="M527" s="61"/>
      <c r="N527" s="59"/>
      <c r="O527" s="57"/>
      <c r="P527" s="62"/>
      <c r="Q527" s="57"/>
      <c r="R527" s="57"/>
    </row>
    <row r="528" spans="1:18" x14ac:dyDescent="0.25">
      <c r="A528" s="47">
        <f t="shared" si="19"/>
        <v>527</v>
      </c>
      <c r="B528" s="57"/>
      <c r="C528" s="57"/>
      <c r="D528" s="57"/>
      <c r="E528" s="57"/>
      <c r="F528" s="57"/>
      <c r="G528" s="57"/>
      <c r="H528" s="58" t="str">
        <f t="shared" si="20"/>
        <v>NEW</v>
      </c>
      <c r="I528" s="57"/>
      <c r="J528" s="59"/>
      <c r="K528" s="60"/>
      <c r="L528" s="57"/>
      <c r="M528" s="61"/>
      <c r="N528" s="59"/>
      <c r="O528" s="57"/>
      <c r="P528" s="62"/>
      <c r="Q528" s="57"/>
      <c r="R528" s="57"/>
    </row>
    <row r="529" spans="1:18" x14ac:dyDescent="0.25">
      <c r="A529" s="47">
        <f t="shared" si="19"/>
        <v>528</v>
      </c>
      <c r="B529" s="57"/>
      <c r="C529" s="57"/>
      <c r="D529" s="57"/>
      <c r="E529" s="57"/>
      <c r="F529" s="57"/>
      <c r="G529" s="57"/>
      <c r="H529" s="58" t="str">
        <f t="shared" si="20"/>
        <v>NEW</v>
      </c>
      <c r="I529" s="57"/>
      <c r="J529" s="59"/>
      <c r="K529" s="60"/>
      <c r="L529" s="57"/>
      <c r="M529" s="61"/>
      <c r="N529" s="59"/>
      <c r="O529" s="57"/>
      <c r="P529" s="62"/>
      <c r="Q529" s="57"/>
      <c r="R529" s="57"/>
    </row>
    <row r="530" spans="1:18" x14ac:dyDescent="0.25">
      <c r="A530" s="47">
        <f t="shared" si="19"/>
        <v>529</v>
      </c>
      <c r="B530" s="57"/>
      <c r="C530" s="57"/>
      <c r="D530" s="57"/>
      <c r="E530" s="57"/>
      <c r="F530" s="57"/>
      <c r="G530" s="57"/>
      <c r="H530" s="58" t="str">
        <f t="shared" si="20"/>
        <v>NEW</v>
      </c>
      <c r="I530" s="57"/>
      <c r="J530" s="59"/>
      <c r="K530" s="60"/>
      <c r="L530" s="57"/>
      <c r="M530" s="61"/>
      <c r="N530" s="59"/>
      <c r="O530" s="57"/>
      <c r="P530" s="62"/>
      <c r="Q530" s="57"/>
      <c r="R530" s="57"/>
    </row>
    <row r="531" spans="1:18" x14ac:dyDescent="0.25">
      <c r="A531" s="47">
        <f t="shared" si="19"/>
        <v>530</v>
      </c>
      <c r="B531" s="57"/>
      <c r="C531" s="57"/>
      <c r="D531" s="57"/>
      <c r="E531" s="57"/>
      <c r="F531" s="57"/>
      <c r="G531" s="57"/>
      <c r="H531" s="58" t="str">
        <f t="shared" si="20"/>
        <v>NEW</v>
      </c>
      <c r="I531" s="57"/>
      <c r="J531" s="59"/>
      <c r="K531" s="60"/>
      <c r="L531" s="57"/>
      <c r="M531" s="61"/>
      <c r="N531" s="59"/>
      <c r="O531" s="57"/>
      <c r="P531" s="62"/>
      <c r="Q531" s="57"/>
      <c r="R531" s="57"/>
    </row>
    <row r="532" spans="1:18" x14ac:dyDescent="0.25">
      <c r="A532" s="47">
        <f t="shared" si="19"/>
        <v>531</v>
      </c>
      <c r="B532" s="57"/>
      <c r="C532" s="57"/>
      <c r="D532" s="57"/>
      <c r="E532" s="57"/>
      <c r="F532" s="57"/>
      <c r="G532" s="57"/>
      <c r="H532" s="58" t="str">
        <f t="shared" si="20"/>
        <v>NEW</v>
      </c>
      <c r="I532" s="57"/>
      <c r="J532" s="59"/>
      <c r="K532" s="60"/>
      <c r="L532" s="57"/>
      <c r="M532" s="61"/>
      <c r="N532" s="59"/>
      <c r="O532" s="57"/>
      <c r="P532" s="62"/>
      <c r="Q532" s="57"/>
      <c r="R532" s="57"/>
    </row>
    <row r="533" spans="1:18" x14ac:dyDescent="0.25">
      <c r="A533" s="47">
        <f t="shared" si="19"/>
        <v>532</v>
      </c>
      <c r="B533" s="57"/>
      <c r="C533" s="57"/>
      <c r="D533" s="57"/>
      <c r="E533" s="57"/>
      <c r="F533" s="57"/>
      <c r="G533" s="57"/>
      <c r="H533" s="58" t="str">
        <f t="shared" si="20"/>
        <v>NEW</v>
      </c>
      <c r="I533" s="57"/>
      <c r="J533" s="59"/>
      <c r="K533" s="60"/>
      <c r="L533" s="57"/>
      <c r="M533" s="61"/>
      <c r="N533" s="59"/>
      <c r="O533" s="57"/>
      <c r="P533" s="62"/>
      <c r="Q533" s="57"/>
      <c r="R533" s="57"/>
    </row>
    <row r="534" spans="1:18" x14ac:dyDescent="0.25">
      <c r="A534" s="47">
        <f t="shared" si="19"/>
        <v>533</v>
      </c>
      <c r="B534" s="57"/>
      <c r="C534" s="57"/>
      <c r="D534" s="57"/>
      <c r="E534" s="57"/>
      <c r="F534" s="57"/>
      <c r="G534" s="57"/>
      <c r="H534" s="58" t="str">
        <f t="shared" si="20"/>
        <v>NEW</v>
      </c>
      <c r="I534" s="57"/>
      <c r="J534" s="59"/>
      <c r="K534" s="60"/>
      <c r="L534" s="57"/>
      <c r="M534" s="61"/>
      <c r="N534" s="59"/>
      <c r="O534" s="57"/>
      <c r="P534" s="62"/>
      <c r="Q534" s="57"/>
      <c r="R534" s="57"/>
    </row>
    <row r="535" spans="1:18" x14ac:dyDescent="0.25">
      <c r="A535" s="47">
        <f t="shared" si="19"/>
        <v>534</v>
      </c>
      <c r="B535" s="57"/>
      <c r="C535" s="57"/>
      <c r="D535" s="57"/>
      <c r="E535" s="57"/>
      <c r="F535" s="57"/>
      <c r="G535" s="57"/>
      <c r="H535" s="58" t="str">
        <f t="shared" si="20"/>
        <v>NEW</v>
      </c>
      <c r="I535" s="57"/>
      <c r="J535" s="59"/>
      <c r="K535" s="60"/>
      <c r="L535" s="57"/>
      <c r="M535" s="61"/>
      <c r="N535" s="59"/>
      <c r="O535" s="57"/>
      <c r="P535" s="62"/>
      <c r="Q535" s="57"/>
      <c r="R535" s="57"/>
    </row>
    <row r="536" spans="1:18" x14ac:dyDescent="0.25">
      <c r="A536" s="47">
        <f t="shared" si="19"/>
        <v>535</v>
      </c>
      <c r="B536" s="57"/>
      <c r="C536" s="57"/>
      <c r="D536" s="57"/>
      <c r="E536" s="57"/>
      <c r="F536" s="57"/>
      <c r="G536" s="57"/>
      <c r="H536" s="58" t="str">
        <f t="shared" si="20"/>
        <v>NEW</v>
      </c>
      <c r="I536" s="57"/>
      <c r="J536" s="59"/>
      <c r="K536" s="60"/>
      <c r="L536" s="57"/>
      <c r="M536" s="61"/>
      <c r="N536" s="59"/>
      <c r="O536" s="57"/>
      <c r="P536" s="62"/>
      <c r="Q536" s="57"/>
      <c r="R536" s="57"/>
    </row>
    <row r="537" spans="1:18" x14ac:dyDescent="0.25">
      <c r="A537" s="47">
        <f t="shared" si="19"/>
        <v>536</v>
      </c>
      <c r="B537" s="57"/>
      <c r="C537" s="57"/>
      <c r="D537" s="57"/>
      <c r="E537" s="57"/>
      <c r="F537" s="57"/>
      <c r="G537" s="57"/>
      <c r="H537" s="58" t="str">
        <f t="shared" si="20"/>
        <v>NEW</v>
      </c>
      <c r="I537" s="57"/>
      <c r="J537" s="59"/>
      <c r="K537" s="60"/>
      <c r="L537" s="57"/>
      <c r="M537" s="61"/>
      <c r="N537" s="59"/>
      <c r="O537" s="57"/>
      <c r="P537" s="62"/>
      <c r="Q537" s="57"/>
      <c r="R537" s="57"/>
    </row>
    <row r="538" spans="1:18" x14ac:dyDescent="0.25">
      <c r="A538" s="47">
        <f t="shared" si="19"/>
        <v>537</v>
      </c>
      <c r="B538" s="57"/>
      <c r="C538" s="57"/>
      <c r="D538" s="57"/>
      <c r="E538" s="57"/>
      <c r="F538" s="57"/>
      <c r="G538" s="57"/>
      <c r="H538" s="58" t="str">
        <f t="shared" si="20"/>
        <v>NEW</v>
      </c>
      <c r="I538" s="57"/>
      <c r="J538" s="59"/>
      <c r="K538" s="60"/>
      <c r="L538" s="57"/>
      <c r="M538" s="61"/>
      <c r="N538" s="59"/>
      <c r="O538" s="57"/>
      <c r="P538" s="62"/>
      <c r="Q538" s="57"/>
      <c r="R538" s="57"/>
    </row>
    <row r="539" spans="1:18" x14ac:dyDescent="0.25">
      <c r="A539" s="47">
        <f t="shared" si="19"/>
        <v>538</v>
      </c>
      <c r="B539" s="57"/>
      <c r="C539" s="57"/>
      <c r="D539" s="57"/>
      <c r="E539" s="57"/>
      <c r="F539" s="57"/>
      <c r="G539" s="57"/>
      <c r="H539" s="58" t="str">
        <f t="shared" si="20"/>
        <v>NEW</v>
      </c>
      <c r="I539" s="57"/>
      <c r="J539" s="59"/>
      <c r="K539" s="60"/>
      <c r="L539" s="57"/>
      <c r="M539" s="61"/>
      <c r="N539" s="59"/>
      <c r="O539" s="57"/>
      <c r="P539" s="62"/>
      <c r="Q539" s="57"/>
      <c r="R539" s="57"/>
    </row>
    <row r="540" spans="1:18" x14ac:dyDescent="0.25">
      <c r="A540" s="47">
        <f t="shared" si="19"/>
        <v>539</v>
      </c>
      <c r="B540" s="57"/>
      <c r="C540" s="57"/>
      <c r="D540" s="57"/>
      <c r="E540" s="57"/>
      <c r="F540" s="57"/>
      <c r="G540" s="57"/>
      <c r="H540" s="58" t="str">
        <f t="shared" si="20"/>
        <v>NEW</v>
      </c>
      <c r="I540" s="57"/>
      <c r="J540" s="59"/>
      <c r="K540" s="60"/>
      <c r="L540" s="57"/>
      <c r="M540" s="61"/>
      <c r="N540" s="59"/>
      <c r="O540" s="57"/>
      <c r="P540" s="62"/>
      <c r="Q540" s="57"/>
      <c r="R540" s="57"/>
    </row>
    <row r="541" spans="1:18" x14ac:dyDescent="0.25">
      <c r="A541" s="47">
        <f t="shared" si="19"/>
        <v>540</v>
      </c>
      <c r="B541" s="57"/>
      <c r="C541" s="57"/>
      <c r="D541" s="57"/>
      <c r="E541" s="57"/>
      <c r="F541" s="57"/>
      <c r="G541" s="57"/>
      <c r="H541" s="58" t="str">
        <f t="shared" si="20"/>
        <v>NEW</v>
      </c>
      <c r="I541" s="57"/>
      <c r="J541" s="59"/>
      <c r="K541" s="60"/>
      <c r="L541" s="57"/>
      <c r="M541" s="61"/>
      <c r="N541" s="59"/>
      <c r="O541" s="57"/>
      <c r="P541" s="62"/>
      <c r="Q541" s="57"/>
      <c r="R541" s="57"/>
    </row>
    <row r="542" spans="1:18" x14ac:dyDescent="0.25">
      <c r="A542" s="47">
        <f t="shared" si="19"/>
        <v>541</v>
      </c>
      <c r="B542" s="57"/>
      <c r="C542" s="57"/>
      <c r="D542" s="57"/>
      <c r="E542" s="57"/>
      <c r="F542" s="57"/>
      <c r="G542" s="57"/>
      <c r="H542" s="58" t="str">
        <f t="shared" si="20"/>
        <v>NEW</v>
      </c>
      <c r="I542" s="57"/>
      <c r="J542" s="59"/>
      <c r="K542" s="60"/>
      <c r="L542" s="57"/>
      <c r="M542" s="61"/>
      <c r="N542" s="59"/>
      <c r="O542" s="57"/>
      <c r="P542" s="62"/>
      <c r="Q542" s="57"/>
      <c r="R542" s="57"/>
    </row>
    <row r="543" spans="1:18" x14ac:dyDescent="0.25">
      <c r="A543" s="47">
        <f t="shared" si="19"/>
        <v>542</v>
      </c>
      <c r="B543" s="57"/>
      <c r="C543" s="57"/>
      <c r="D543" s="57"/>
      <c r="E543" s="57"/>
      <c r="F543" s="57"/>
      <c r="G543" s="57"/>
      <c r="H543" s="58" t="str">
        <f t="shared" si="20"/>
        <v>NEW</v>
      </c>
      <c r="I543" s="57"/>
      <c r="J543" s="59"/>
      <c r="K543" s="60"/>
      <c r="L543" s="57"/>
      <c r="M543" s="61"/>
      <c r="N543" s="59"/>
      <c r="O543" s="57"/>
      <c r="P543" s="62"/>
      <c r="Q543" s="57"/>
      <c r="R543" s="57"/>
    </row>
    <row r="544" spans="1:18" x14ac:dyDescent="0.25">
      <c r="A544" s="47">
        <f t="shared" si="19"/>
        <v>543</v>
      </c>
      <c r="B544" s="57"/>
      <c r="C544" s="57"/>
      <c r="D544" s="57"/>
      <c r="E544" s="57"/>
      <c r="F544" s="57"/>
      <c r="G544" s="57"/>
      <c r="H544" s="58" t="str">
        <f t="shared" si="20"/>
        <v>NEW</v>
      </c>
      <c r="I544" s="57"/>
      <c r="J544" s="59"/>
      <c r="K544" s="60"/>
      <c r="L544" s="57"/>
      <c r="M544" s="61"/>
      <c r="N544" s="59"/>
      <c r="O544" s="57"/>
      <c r="P544" s="62"/>
      <c r="Q544" s="57"/>
      <c r="R544" s="57"/>
    </row>
    <row r="545" spans="1:18" x14ac:dyDescent="0.25">
      <c r="A545" s="47">
        <f t="shared" si="19"/>
        <v>544</v>
      </c>
      <c r="B545" s="57"/>
      <c r="C545" s="57"/>
      <c r="D545" s="57"/>
      <c r="E545" s="57"/>
      <c r="F545" s="57"/>
      <c r="G545" s="57"/>
      <c r="H545" s="58" t="str">
        <f t="shared" si="20"/>
        <v>NEW</v>
      </c>
      <c r="I545" s="57"/>
      <c r="J545" s="59"/>
      <c r="K545" s="60"/>
      <c r="L545" s="57"/>
      <c r="M545" s="61"/>
      <c r="N545" s="59"/>
      <c r="O545" s="57"/>
      <c r="P545" s="62"/>
      <c r="Q545" s="57"/>
      <c r="R545" s="57"/>
    </row>
    <row r="546" spans="1:18" x14ac:dyDescent="0.25">
      <c r="A546" s="47">
        <f t="shared" si="19"/>
        <v>545</v>
      </c>
      <c r="B546" s="57"/>
      <c r="C546" s="57"/>
      <c r="D546" s="57"/>
      <c r="E546" s="57"/>
      <c r="F546" s="57"/>
      <c r="G546" s="57"/>
      <c r="H546" s="58" t="str">
        <f t="shared" si="20"/>
        <v>NEW</v>
      </c>
      <c r="I546" s="57"/>
      <c r="J546" s="59"/>
      <c r="K546" s="60"/>
      <c r="L546" s="57"/>
      <c r="M546" s="61"/>
      <c r="N546" s="59"/>
      <c r="O546" s="57"/>
      <c r="P546" s="62"/>
      <c r="Q546" s="57"/>
      <c r="R546" s="57"/>
    </row>
    <row r="547" spans="1:18" x14ac:dyDescent="0.25">
      <c r="A547" s="47">
        <f t="shared" si="19"/>
        <v>546</v>
      </c>
      <c r="B547" s="57"/>
      <c r="C547" s="57"/>
      <c r="D547" s="57"/>
      <c r="E547" s="57"/>
      <c r="F547" s="57"/>
      <c r="G547" s="57"/>
      <c r="H547" s="58" t="str">
        <f t="shared" si="20"/>
        <v>NEW</v>
      </c>
      <c r="I547" s="57"/>
      <c r="J547" s="59"/>
      <c r="K547" s="60"/>
      <c r="L547" s="57"/>
      <c r="M547" s="61"/>
      <c r="N547" s="59"/>
      <c r="O547" s="57"/>
      <c r="P547" s="62"/>
      <c r="Q547" s="57"/>
      <c r="R547" s="57"/>
    </row>
    <row r="548" spans="1:18" x14ac:dyDescent="0.25">
      <c r="A548" s="47">
        <f t="shared" si="19"/>
        <v>547</v>
      </c>
      <c r="B548" s="57"/>
      <c r="C548" s="57"/>
      <c r="D548" s="57"/>
      <c r="E548" s="57"/>
      <c r="F548" s="57"/>
      <c r="G548" s="57"/>
      <c r="H548" s="58" t="str">
        <f t="shared" si="20"/>
        <v>NEW</v>
      </c>
      <c r="I548" s="57"/>
      <c r="J548" s="59"/>
      <c r="K548" s="60"/>
      <c r="L548" s="57"/>
      <c r="M548" s="61"/>
      <c r="N548" s="59"/>
      <c r="O548" s="57"/>
      <c r="P548" s="62"/>
      <c r="Q548" s="57"/>
      <c r="R548" s="57"/>
    </row>
    <row r="549" spans="1:18" x14ac:dyDescent="0.25">
      <c r="A549" s="47">
        <f t="shared" si="19"/>
        <v>548</v>
      </c>
      <c r="B549" s="57"/>
      <c r="C549" s="57"/>
      <c r="D549" s="57"/>
      <c r="E549" s="57"/>
      <c r="F549" s="57"/>
      <c r="G549" s="57"/>
      <c r="H549" s="58" t="str">
        <f t="shared" si="20"/>
        <v>NEW</v>
      </c>
      <c r="I549" s="57"/>
      <c r="J549" s="59"/>
      <c r="K549" s="60"/>
      <c r="L549" s="57"/>
      <c r="M549" s="61"/>
      <c r="N549" s="59"/>
      <c r="O549" s="57"/>
      <c r="P549" s="62"/>
      <c r="Q549" s="57"/>
      <c r="R549" s="57"/>
    </row>
    <row r="550" spans="1:18" x14ac:dyDescent="0.25">
      <c r="A550" s="47">
        <f t="shared" si="19"/>
        <v>549</v>
      </c>
      <c r="B550" s="57"/>
      <c r="C550" s="57"/>
      <c r="D550" s="57"/>
      <c r="E550" s="57"/>
      <c r="F550" s="57"/>
      <c r="G550" s="57"/>
      <c r="H550" s="58" t="str">
        <f t="shared" si="20"/>
        <v>NEW</v>
      </c>
      <c r="I550" s="57"/>
      <c r="J550" s="59"/>
      <c r="K550" s="60"/>
      <c r="L550" s="57"/>
      <c r="M550" s="61"/>
      <c r="N550" s="59"/>
      <c r="O550" s="57"/>
      <c r="P550" s="62"/>
      <c r="Q550" s="57"/>
      <c r="R550" s="57"/>
    </row>
    <row r="551" spans="1:18" x14ac:dyDescent="0.25">
      <c r="A551" s="47">
        <f t="shared" si="19"/>
        <v>550</v>
      </c>
      <c r="B551" s="57"/>
      <c r="C551" s="57"/>
      <c r="D551" s="57"/>
      <c r="E551" s="57"/>
      <c r="F551" s="57"/>
      <c r="G551" s="57"/>
      <c r="H551" s="58" t="str">
        <f t="shared" si="20"/>
        <v>NEW</v>
      </c>
      <c r="I551" s="57"/>
      <c r="J551" s="59"/>
      <c r="K551" s="60"/>
      <c r="L551" s="57"/>
      <c r="M551" s="61"/>
      <c r="N551" s="59"/>
      <c r="O551" s="57"/>
      <c r="P551" s="62"/>
      <c r="Q551" s="57"/>
      <c r="R551" s="57"/>
    </row>
    <row r="552" spans="1:18" x14ac:dyDescent="0.25">
      <c r="A552" s="47">
        <f t="shared" si="19"/>
        <v>551</v>
      </c>
      <c r="B552" s="57"/>
      <c r="C552" s="57"/>
      <c r="D552" s="57"/>
      <c r="E552" s="57"/>
      <c r="F552" s="57"/>
      <c r="G552" s="57"/>
      <c r="H552" s="58" t="str">
        <f t="shared" si="20"/>
        <v>NEW</v>
      </c>
      <c r="I552" s="57"/>
      <c r="J552" s="59"/>
      <c r="K552" s="60"/>
      <c r="L552" s="57"/>
      <c r="M552" s="61"/>
      <c r="N552" s="59"/>
      <c r="O552" s="57"/>
      <c r="P552" s="62"/>
      <c r="Q552" s="57"/>
      <c r="R552" s="57"/>
    </row>
    <row r="553" spans="1:18" x14ac:dyDescent="0.25">
      <c r="A553" s="47">
        <f t="shared" si="19"/>
        <v>552</v>
      </c>
      <c r="B553" s="57"/>
      <c r="C553" s="57"/>
      <c r="D553" s="57"/>
      <c r="E553" s="57"/>
      <c r="F553" s="57"/>
      <c r="G553" s="57"/>
      <c r="H553" s="58" t="str">
        <f t="shared" ref="H553:H58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57"/>
      <c r="J553" s="59"/>
      <c r="K553" s="60"/>
      <c r="L553" s="57"/>
      <c r="M553" s="61"/>
      <c r="N553" s="59"/>
      <c r="O553" s="57"/>
      <c r="P553" s="62"/>
      <c r="Q553" s="57"/>
      <c r="R553" s="57"/>
    </row>
    <row r="554" spans="1:18" x14ac:dyDescent="0.25">
      <c r="A554" s="47">
        <f t="shared" si="19"/>
        <v>553</v>
      </c>
      <c r="B554" s="57"/>
      <c r="C554" s="57"/>
      <c r="D554" s="57"/>
      <c r="E554" s="57"/>
      <c r="F554" s="57"/>
      <c r="G554" s="57"/>
      <c r="H554" s="58" t="str">
        <f t="shared" si="21"/>
        <v>NEW</v>
      </c>
      <c r="I554" s="57"/>
      <c r="J554" s="59"/>
      <c r="K554" s="60"/>
      <c r="L554" s="57"/>
      <c r="M554" s="61"/>
      <c r="N554" s="59"/>
      <c r="O554" s="57"/>
      <c r="P554" s="62"/>
      <c r="Q554" s="57"/>
      <c r="R554" s="57"/>
    </row>
    <row r="555" spans="1:18" ht="15.75" x14ac:dyDescent="0.25">
      <c r="B555" s="47"/>
      <c r="C555" s="47"/>
      <c r="D555" s="47"/>
      <c r="E555" s="47"/>
      <c r="F555" s="47"/>
      <c r="G555" s="47"/>
      <c r="H555" s="1"/>
      <c r="I555" s="47"/>
      <c r="J555" s="19"/>
      <c r="K555" s="47"/>
      <c r="M555" t="s">
        <v>44</v>
      </c>
    </row>
    <row r="556" spans="1:18" ht="15.75" x14ac:dyDescent="0.25">
      <c r="F556" s="1"/>
      <c r="G556" s="1"/>
      <c r="H556" s="1"/>
      <c r="I556" s="20"/>
      <c r="K556" s="47"/>
    </row>
    <row r="557" spans="1:18" ht="15.75" x14ac:dyDescent="0.25">
      <c r="F557" s="1"/>
      <c r="G557" s="1"/>
      <c r="H557" s="1"/>
      <c r="I557" s="20"/>
      <c r="K557" s="47"/>
    </row>
    <row r="558" spans="1:18" ht="15.75" x14ac:dyDescent="0.25">
      <c r="F558" s="1"/>
      <c r="G558" s="1"/>
      <c r="H558" s="1"/>
      <c r="I558" s="20"/>
      <c r="K558" s="47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7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7"/>
      <c r="L561" s="7"/>
      <c r="M561" s="7"/>
      <c r="N561" s="7"/>
      <c r="O561" s="7"/>
      <c r="P561" s="7"/>
      <c r="Q561" s="7"/>
    </row>
    <row r="562" spans="1:17" x14ac:dyDescent="0.25">
      <c r="K562" s="47"/>
    </row>
    <row r="563" spans="1:17" x14ac:dyDescent="0.25">
      <c r="K563" s="47"/>
    </row>
    <row r="564" spans="1:17" x14ac:dyDescent="0.25">
      <c r="K564" s="47"/>
    </row>
    <row r="565" spans="1:17" x14ac:dyDescent="0.25">
      <c r="K565" s="47"/>
    </row>
    <row r="566" spans="1:17" x14ac:dyDescent="0.25">
      <c r="K566" s="47"/>
    </row>
    <row r="567" spans="1:17" x14ac:dyDescent="0.25">
      <c r="K567" s="47"/>
    </row>
    <row r="568" spans="1:17" x14ac:dyDescent="0.25">
      <c r="K568" s="47"/>
    </row>
    <row r="569" spans="1:17" x14ac:dyDescent="0.25">
      <c r="K569" s="47"/>
    </row>
    <row r="570" spans="1:17" x14ac:dyDescent="0.25">
      <c r="K570" s="47"/>
    </row>
    <row r="571" spans="1:17" x14ac:dyDescent="0.25">
      <c r="K571" s="47"/>
    </row>
    <row r="572" spans="1:17" x14ac:dyDescent="0.25">
      <c r="K572" s="47"/>
    </row>
    <row r="573" spans="1:17" x14ac:dyDescent="0.25">
      <c r="K573" s="47"/>
    </row>
    <row r="574" spans="1:17" x14ac:dyDescent="0.25">
      <c r="K574" s="47"/>
    </row>
    <row r="575" spans="1:17" x14ac:dyDescent="0.25">
      <c r="K575" s="47"/>
    </row>
    <row r="576" spans="1:17" x14ac:dyDescent="0.25">
      <c r="K576" s="47"/>
    </row>
    <row r="577" spans="11:11" x14ac:dyDescent="0.25">
      <c r="K577" s="47"/>
    </row>
    <row r="578" spans="11:11" x14ac:dyDescent="0.25">
      <c r="K578" s="47"/>
    </row>
    <row r="579" spans="11:11" x14ac:dyDescent="0.25">
      <c r="K579" s="47"/>
    </row>
    <row r="580" spans="11:11" x14ac:dyDescent="0.25">
      <c r="K580" s="47"/>
    </row>
    <row r="581" spans="11:11" x14ac:dyDescent="0.25">
      <c r="K581" s="47"/>
    </row>
    <row r="582" spans="11:11" x14ac:dyDescent="0.25">
      <c r="K582" s="47"/>
    </row>
    <row r="583" spans="11:11" x14ac:dyDescent="0.25">
      <c r="K583" s="47"/>
    </row>
    <row r="584" spans="11:11" x14ac:dyDescent="0.25">
      <c r="K584" s="47"/>
    </row>
    <row r="585" spans="11:11" x14ac:dyDescent="0.25">
      <c r="K585" s="47"/>
    </row>
    <row r="586" spans="11:11" x14ac:dyDescent="0.25">
      <c r="K586" s="47"/>
    </row>
    <row r="587" spans="11:11" x14ac:dyDescent="0.25">
      <c r="K587" s="47"/>
    </row>
    <row r="588" spans="11:11" x14ac:dyDescent="0.25">
      <c r="K588" s="47"/>
    </row>
    <row r="589" spans="11:11" x14ac:dyDescent="0.25">
      <c r="K589" s="47"/>
    </row>
    <row r="590" spans="11:11" x14ac:dyDescent="0.25">
      <c r="K590" s="47"/>
    </row>
    <row r="591" spans="11:11" x14ac:dyDescent="0.25">
      <c r="K591" s="47"/>
    </row>
    <row r="592" spans="11:11" x14ac:dyDescent="0.25">
      <c r="K592" s="47"/>
    </row>
    <row r="593" spans="11:11" x14ac:dyDescent="0.25">
      <c r="K593" s="47"/>
    </row>
    <row r="594" spans="11:11" x14ac:dyDescent="0.25">
      <c r="K594" s="47"/>
    </row>
    <row r="595" spans="11:11" x14ac:dyDescent="0.25">
      <c r="K595" s="47"/>
    </row>
    <row r="596" spans="11:11" x14ac:dyDescent="0.25">
      <c r="K596" s="47"/>
    </row>
    <row r="597" spans="11:11" x14ac:dyDescent="0.25">
      <c r="K597" s="47"/>
    </row>
    <row r="598" spans="11:11" x14ac:dyDescent="0.25">
      <c r="K598" s="47"/>
    </row>
    <row r="599" spans="11:11" x14ac:dyDescent="0.25">
      <c r="K599" s="47"/>
    </row>
    <row r="600" spans="11:11" x14ac:dyDescent="0.25">
      <c r="K600" s="47"/>
    </row>
    <row r="601" spans="11:11" x14ac:dyDescent="0.25">
      <c r="K601" s="47"/>
    </row>
    <row r="602" spans="11:11" x14ac:dyDescent="0.25">
      <c r="K602" s="47"/>
    </row>
    <row r="603" spans="11:11" x14ac:dyDescent="0.25">
      <c r="K603" s="47"/>
    </row>
    <row r="604" spans="11:11" x14ac:dyDescent="0.25">
      <c r="K604" s="47"/>
    </row>
    <row r="605" spans="11:11" x14ac:dyDescent="0.25">
      <c r="K605" s="47"/>
    </row>
    <row r="606" spans="11:11" x14ac:dyDescent="0.25">
      <c r="K606" s="47"/>
    </row>
    <row r="607" spans="11:11" x14ac:dyDescent="0.25">
      <c r="K607" s="47"/>
    </row>
    <row r="608" spans="11:11" x14ac:dyDescent="0.25">
      <c r="K608" s="47"/>
    </row>
    <row r="609" spans="11:11" x14ac:dyDescent="0.25">
      <c r="K609" s="47"/>
    </row>
    <row r="610" spans="11:11" x14ac:dyDescent="0.25">
      <c r="K610" s="47"/>
    </row>
    <row r="611" spans="11:11" x14ac:dyDescent="0.25">
      <c r="K611" s="47"/>
    </row>
    <row r="612" spans="11:11" x14ac:dyDescent="0.25">
      <c r="K612" s="47"/>
    </row>
    <row r="613" spans="11:11" x14ac:dyDescent="0.25">
      <c r="K613" s="47"/>
    </row>
    <row r="614" spans="11:11" x14ac:dyDescent="0.25">
      <c r="K614" s="47"/>
    </row>
    <row r="615" spans="11:11" x14ac:dyDescent="0.25">
      <c r="K615" s="47"/>
    </row>
    <row r="616" spans="11:11" x14ac:dyDescent="0.25">
      <c r="K616" s="47"/>
    </row>
    <row r="617" spans="11:11" x14ac:dyDescent="0.25">
      <c r="K617" s="47"/>
    </row>
    <row r="618" spans="11:11" x14ac:dyDescent="0.25">
      <c r="K618" s="47"/>
    </row>
    <row r="619" spans="11:11" x14ac:dyDescent="0.25">
      <c r="K619" s="47"/>
    </row>
    <row r="620" spans="11:11" x14ac:dyDescent="0.25">
      <c r="K620" s="47"/>
    </row>
    <row r="621" spans="11:11" x14ac:dyDescent="0.25">
      <c r="K621" s="47"/>
    </row>
    <row r="622" spans="11:11" x14ac:dyDescent="0.25">
      <c r="K622" s="47"/>
    </row>
    <row r="623" spans="11:11" x14ac:dyDescent="0.25">
      <c r="K623" s="47"/>
    </row>
    <row r="624" spans="11:11" x14ac:dyDescent="0.25">
      <c r="K624" s="47"/>
    </row>
    <row r="625" spans="11:11" x14ac:dyDescent="0.25">
      <c r="K625" s="47"/>
    </row>
    <row r="626" spans="11:11" x14ac:dyDescent="0.25">
      <c r="K626" s="47"/>
    </row>
    <row r="627" spans="11:11" x14ac:dyDescent="0.25">
      <c r="K627" s="47"/>
    </row>
    <row r="628" spans="11:11" x14ac:dyDescent="0.25">
      <c r="K628" s="47"/>
    </row>
    <row r="629" spans="11:11" x14ac:dyDescent="0.25">
      <c r="K629" s="47"/>
    </row>
    <row r="630" spans="11:11" x14ac:dyDescent="0.25">
      <c r="K630" s="47"/>
    </row>
    <row r="631" spans="11:11" x14ac:dyDescent="0.25">
      <c r="K631" s="47"/>
    </row>
    <row r="632" spans="11:11" x14ac:dyDescent="0.25">
      <c r="K632" s="47"/>
    </row>
    <row r="633" spans="11:11" x14ac:dyDescent="0.25">
      <c r="K633" s="47"/>
    </row>
    <row r="634" spans="11:11" x14ac:dyDescent="0.25">
      <c r="K634" s="47"/>
    </row>
    <row r="635" spans="11:11" x14ac:dyDescent="0.25">
      <c r="K635" s="47"/>
    </row>
    <row r="636" spans="11:11" x14ac:dyDescent="0.25">
      <c r="K636" s="47"/>
    </row>
    <row r="637" spans="11:11" x14ac:dyDescent="0.25">
      <c r="K637" s="47"/>
    </row>
    <row r="638" spans="11:11" x14ac:dyDescent="0.25">
      <c r="K638" s="47"/>
    </row>
    <row r="639" spans="11:11" x14ac:dyDescent="0.25">
      <c r="K639" s="47"/>
    </row>
    <row r="640" spans="11:11" x14ac:dyDescent="0.25">
      <c r="K640" s="47"/>
    </row>
    <row r="641" spans="11:11" x14ac:dyDescent="0.25">
      <c r="K641" s="47"/>
    </row>
    <row r="642" spans="11:11" x14ac:dyDescent="0.25">
      <c r="K642" s="47"/>
    </row>
    <row r="643" spans="11:11" x14ac:dyDescent="0.25">
      <c r="K643" s="47"/>
    </row>
    <row r="644" spans="11:11" x14ac:dyDescent="0.25">
      <c r="K644" s="47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4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I442:J443 L442:R443 H442:H451 I444:R444 I445:J451 A448:G448 H452:J454 B555:G555 I555 K555:K644 F492:F554 H458:R554 A449:A554 G455:J456 H457:J457 B297:G491 K441:K458 L445:R457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7:O566 L555:O556">
    <cfRule type="expression" dxfId="12" priority="18">
      <formula>ROW(M93)=HighlightRow</formula>
    </cfRule>
  </conditionalFormatting>
  <conditionalFormatting sqref="P555:Q566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47" zoomScaleNormal="100" workbookViewId="0">
      <selection activeCell="C959" sqref="C95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8652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7"/>
  <sheetViews>
    <sheetView topLeftCell="A231" zoomScaleNormal="100" workbookViewId="0">
      <selection activeCell="F253" sqref="F25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6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 t="shared" si="0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130" si="1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1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1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1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94" si="2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2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2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2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2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 t="shared" si="2"/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2"/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2"/>
        <v>175</v>
      </c>
      <c r="B177" s="19" t="s">
        <v>7841</v>
      </c>
      <c r="C177" s="19">
        <v>7006176206</v>
      </c>
      <c r="D177" s="19" t="s">
        <v>8256</v>
      </c>
      <c r="E177" s="19" t="s">
        <v>7859</v>
      </c>
      <c r="F177" s="21">
        <v>46058</v>
      </c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8558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2"/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8699</v>
      </c>
      <c r="C193" s="19">
        <v>9622700982</v>
      </c>
      <c r="D193" s="19" t="s">
        <v>8359</v>
      </c>
      <c r="E193" s="19" t="s">
        <v>8700</v>
      </c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 t="shared" si="2"/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ref="A195:A258" si="3"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 t="shared" si="3"/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8457</v>
      </c>
      <c r="C206" s="19">
        <v>7006896658</v>
      </c>
      <c r="D206" s="19" t="s">
        <v>8520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3610</v>
      </c>
      <c r="C207" s="19">
        <v>9596498016</v>
      </c>
      <c r="D207" s="19" t="s">
        <v>8534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8509</v>
      </c>
      <c r="C208" s="19">
        <v>9541399468</v>
      </c>
      <c r="D208" s="19" t="s">
        <v>8533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4947</v>
      </c>
      <c r="C209" s="19">
        <v>6006480663</v>
      </c>
      <c r="D209" s="19" t="s">
        <v>8532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8386</v>
      </c>
      <c r="C210" s="19">
        <v>6006516082</v>
      </c>
      <c r="D210" s="19" t="s">
        <v>8556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1959</v>
      </c>
      <c r="C211" s="19">
        <v>9906410003</v>
      </c>
      <c r="D211" s="19" t="s">
        <v>8557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8543</v>
      </c>
      <c r="C212" s="19">
        <v>7006565735</v>
      </c>
      <c r="D212" s="19" t="s">
        <v>8566</v>
      </c>
      <c r="E212" s="19" t="s">
        <v>8544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8559</v>
      </c>
      <c r="C213" s="19">
        <v>7006407965</v>
      </c>
      <c r="D213" s="19" t="s">
        <v>8560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8549</v>
      </c>
      <c r="C214" s="19">
        <v>8491846904</v>
      </c>
      <c r="D214" s="19" t="s">
        <v>8561</v>
      </c>
      <c r="E214" s="19" t="s">
        <v>8554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8552</v>
      </c>
      <c r="C215" s="19">
        <v>7006454352</v>
      </c>
      <c r="D215" s="19" t="s">
        <v>8636</v>
      </c>
      <c r="E215" s="19" t="s">
        <v>8555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7980</v>
      </c>
      <c r="C216" s="19">
        <v>9149592772</v>
      </c>
      <c r="D216" s="19" t="s">
        <v>8565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8570</v>
      </c>
      <c r="C217" s="19">
        <v>7006303640</v>
      </c>
      <c r="D217" s="19" t="s">
        <v>8576</v>
      </c>
      <c r="E217" s="19" t="s">
        <v>8571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1535</v>
      </c>
      <c r="C218" s="19">
        <v>7006437389</v>
      </c>
      <c r="D218" s="19" t="s">
        <v>8574</v>
      </c>
      <c r="E218" s="19" t="s">
        <v>8575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8506</v>
      </c>
      <c r="C219" s="19">
        <v>6005635173</v>
      </c>
      <c r="D219" s="19" t="s">
        <v>8573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8580</v>
      </c>
      <c r="C220" s="19">
        <v>9596163347</v>
      </c>
      <c r="D220" s="19" t="s">
        <v>8615</v>
      </c>
      <c r="E220" s="19" t="s">
        <v>8591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8594</v>
      </c>
      <c r="C221" s="19">
        <v>9596131756</v>
      </c>
      <c r="D221" s="19" t="s">
        <v>8634</v>
      </c>
      <c r="E221" s="19" t="s">
        <v>8607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8587</v>
      </c>
      <c r="C222" s="19">
        <v>7006430337</v>
      </c>
      <c r="D222" s="19" t="s">
        <v>8635</v>
      </c>
      <c r="E222" s="19" t="s">
        <v>8588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8637</v>
      </c>
      <c r="C223" s="19">
        <v>7006035930</v>
      </c>
      <c r="D223" s="19" t="s">
        <v>8638</v>
      </c>
      <c r="E223" s="19" t="s">
        <v>8617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8632</v>
      </c>
      <c r="C224" s="19">
        <v>9149805099</v>
      </c>
      <c r="D224" s="19" t="s">
        <v>8633</v>
      </c>
      <c r="E224" s="19" t="s">
        <v>8590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8600</v>
      </c>
      <c r="C225" s="19">
        <v>9906560855</v>
      </c>
      <c r="D225" s="19" t="s">
        <v>8631</v>
      </c>
      <c r="E225" s="19" t="s">
        <v>8601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8621</v>
      </c>
      <c r="C226" s="19">
        <v>9419066721</v>
      </c>
      <c r="D226" s="19" t="s">
        <v>8647</v>
      </c>
      <c r="E226" s="19" t="s">
        <v>8629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8621</v>
      </c>
      <c r="C227" s="19">
        <v>9419066721</v>
      </c>
      <c r="D227" s="19" t="s">
        <v>8647</v>
      </c>
      <c r="E227" s="19" t="s">
        <v>8629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8627</v>
      </c>
      <c r="C228" s="19">
        <v>9682506898</v>
      </c>
      <c r="D228" s="19" t="s">
        <v>8648</v>
      </c>
      <c r="E228" s="19" t="s">
        <v>8630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8645</v>
      </c>
      <c r="C229" s="19">
        <v>7889568261</v>
      </c>
      <c r="D229" s="19" t="s">
        <v>8666</v>
      </c>
      <c r="E229" s="19" t="s">
        <v>8649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8176</v>
      </c>
      <c r="C230" s="19">
        <v>8803618337</v>
      </c>
      <c r="D230" s="19" t="s">
        <v>8665</v>
      </c>
      <c r="E230" s="19" t="s">
        <v>8656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8604</v>
      </c>
      <c r="C231" s="19">
        <v>7051726656</v>
      </c>
      <c r="D231" s="19" t="s">
        <v>8664</v>
      </c>
      <c r="E231" s="19" t="s">
        <v>8608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217</v>
      </c>
      <c r="C232" s="19">
        <v>7006540198</v>
      </c>
      <c r="D232" s="19" t="s">
        <v>8662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7989</v>
      </c>
      <c r="C238" s="19">
        <v>9596382727</v>
      </c>
      <c r="D238" s="19" t="s">
        <v>8136</v>
      </c>
      <c r="E238" s="19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4284</v>
      </c>
      <c r="C239" s="19">
        <v>8899926488</v>
      </c>
      <c r="D239" s="19" t="s">
        <v>8135</v>
      </c>
      <c r="E239" s="19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7797</v>
      </c>
      <c r="C240" s="19">
        <v>8899294356</v>
      </c>
      <c r="D240" s="19" t="s">
        <v>8663</v>
      </c>
      <c r="E240" s="19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1635</v>
      </c>
      <c r="C241" s="19">
        <v>7006730627</v>
      </c>
      <c r="D241" s="19" t="s">
        <v>8668</v>
      </c>
      <c r="E241" s="19" t="s">
        <v>8651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1959</v>
      </c>
      <c r="C242" s="19">
        <v>7780875890</v>
      </c>
      <c r="D242" s="19" t="s">
        <v>8670</v>
      </c>
      <c r="E242" s="19" t="s">
        <v>8616</v>
      </c>
      <c r="F242" s="21">
        <v>46057</v>
      </c>
      <c r="G242" s="21" t="s">
        <v>341</v>
      </c>
      <c r="H242" s="19" t="s">
        <v>8675</v>
      </c>
    </row>
    <row r="243" spans="1:8" ht="15.75" x14ac:dyDescent="0.25">
      <c r="A243" s="19">
        <f t="shared" si="3"/>
        <v>241</v>
      </c>
      <c r="B243" s="19" t="s">
        <v>8677</v>
      </c>
      <c r="C243" s="19">
        <v>8899903781</v>
      </c>
      <c r="D243" s="19" t="s">
        <v>8676</v>
      </c>
      <c r="E243" s="19" t="s">
        <v>8370</v>
      </c>
      <c r="F243" s="21">
        <v>46058</v>
      </c>
      <c r="G243" s="21" t="s">
        <v>341</v>
      </c>
      <c r="H243" s="19" t="s">
        <v>6665</v>
      </c>
    </row>
    <row r="244" spans="1:8" ht="15.75" x14ac:dyDescent="0.25">
      <c r="A244" s="19">
        <f t="shared" si="3"/>
        <v>242</v>
      </c>
      <c r="B244" s="19" t="s">
        <v>8492</v>
      </c>
      <c r="C244" s="19">
        <v>9541509928</v>
      </c>
      <c r="D244" s="19" t="s">
        <v>8684</v>
      </c>
      <c r="E244" s="19" t="s">
        <v>8514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5322</v>
      </c>
      <c r="C245" s="19">
        <v>9682353782</v>
      </c>
      <c r="D245" s="19" t="s">
        <v>8695</v>
      </c>
      <c r="E245" s="19" t="s">
        <v>5323</v>
      </c>
      <c r="F245" s="21">
        <v>46059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/>
      <c r="C246" s="19"/>
      <c r="D246" s="19" t="s">
        <v>8697</v>
      </c>
      <c r="E246" s="19"/>
      <c r="F246" s="21">
        <v>46059</v>
      </c>
      <c r="G246" s="21" t="s">
        <v>342</v>
      </c>
      <c r="H246" s="19"/>
    </row>
    <row r="247" spans="1:8" ht="15.75" x14ac:dyDescent="0.25">
      <c r="A247" s="19">
        <f t="shared" si="3"/>
        <v>245</v>
      </c>
      <c r="B247" s="19"/>
      <c r="C247" s="19"/>
      <c r="D247" s="19" t="s">
        <v>8698</v>
      </c>
      <c r="E247" s="19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 t="s">
        <v>8704</v>
      </c>
      <c r="C248" s="19">
        <v>7006790581</v>
      </c>
      <c r="D248" s="19" t="s">
        <v>8708</v>
      </c>
      <c r="E248" s="19" t="s">
        <v>8706</v>
      </c>
      <c r="F248" s="21">
        <v>46059</v>
      </c>
      <c r="G248" s="21" t="s">
        <v>341</v>
      </c>
      <c r="H248" s="19" t="s">
        <v>6665</v>
      </c>
    </row>
    <row r="249" spans="1:8" ht="15.75" x14ac:dyDescent="0.25">
      <c r="A249" s="19">
        <f t="shared" si="3"/>
        <v>247</v>
      </c>
      <c r="B249" s="47" t="s">
        <v>8423</v>
      </c>
      <c r="C249" s="47">
        <v>8491887577</v>
      </c>
      <c r="D249" s="19" t="s">
        <v>8709</v>
      </c>
      <c r="E249" s="47" t="s">
        <v>8432</v>
      </c>
      <c r="F249" s="21">
        <v>46062</v>
      </c>
      <c r="G249" s="21" t="s">
        <v>341</v>
      </c>
      <c r="H249" s="19" t="s">
        <v>6665</v>
      </c>
    </row>
    <row r="250" spans="1:8" ht="15.75" x14ac:dyDescent="0.25">
      <c r="A250" s="19">
        <f t="shared" si="3"/>
        <v>248</v>
      </c>
      <c r="B250" s="47" t="s">
        <v>8428</v>
      </c>
      <c r="C250" s="47">
        <v>7006260958</v>
      </c>
      <c r="D250" s="19" t="s">
        <v>8710</v>
      </c>
      <c r="E250" s="47" t="s">
        <v>8433</v>
      </c>
      <c r="F250" s="21">
        <v>46062</v>
      </c>
      <c r="G250" s="21" t="s">
        <v>341</v>
      </c>
      <c r="H250" s="19" t="s">
        <v>6665</v>
      </c>
    </row>
    <row r="251" spans="1:8" ht="15.75" x14ac:dyDescent="0.25">
      <c r="A251" s="19">
        <f t="shared" si="3"/>
        <v>249</v>
      </c>
      <c r="B251" s="19"/>
      <c r="C251" s="19"/>
      <c r="D251" s="19"/>
      <c r="E251" s="19"/>
      <c r="F251" s="21"/>
      <c r="G251" s="21"/>
      <c r="H251" s="19"/>
    </row>
    <row r="252" spans="1:8" ht="15.75" x14ac:dyDescent="0.25">
      <c r="A252" s="19">
        <f t="shared" si="3"/>
        <v>250</v>
      </c>
      <c r="B252" s="19"/>
      <c r="C252" s="19"/>
      <c r="D252" s="19"/>
      <c r="E252" s="19"/>
      <c r="F252" s="21"/>
      <c r="G252" s="21"/>
      <c r="H252" s="19"/>
    </row>
    <row r="253" spans="1:8" ht="15.75" x14ac:dyDescent="0.25">
      <c r="A253" s="19">
        <f t="shared" si="3"/>
        <v>251</v>
      </c>
      <c r="B253" s="19"/>
      <c r="C253" s="19"/>
      <c r="D253" s="19"/>
      <c r="E253" s="19"/>
      <c r="F253" s="21"/>
      <c r="G253" s="21"/>
      <c r="H253" s="19"/>
    </row>
    <row r="254" spans="1:8" ht="15.75" x14ac:dyDescent="0.25">
      <c r="A254" s="19">
        <f t="shared" si="3"/>
        <v>252</v>
      </c>
      <c r="B254" s="19"/>
      <c r="C254" s="19"/>
      <c r="D254" s="19"/>
      <c r="E254" s="19"/>
      <c r="F254" s="21"/>
      <c r="G254" s="21"/>
      <c r="H254" s="19"/>
    </row>
    <row r="255" spans="1:8" ht="15.75" x14ac:dyDescent="0.25">
      <c r="A255" s="19">
        <f t="shared" si="3"/>
        <v>253</v>
      </c>
      <c r="B255" s="19"/>
      <c r="C255" s="19"/>
      <c r="D255" s="19"/>
      <c r="E255" s="19"/>
      <c r="F255" s="21"/>
      <c r="G255" s="21"/>
      <c r="H255" s="19"/>
    </row>
    <row r="256" spans="1:8" ht="15.75" x14ac:dyDescent="0.25">
      <c r="A256" s="19">
        <f t="shared" si="3"/>
        <v>254</v>
      </c>
      <c r="B256" s="19"/>
      <c r="C256" s="19"/>
      <c r="D256" s="19"/>
      <c r="E256" s="19"/>
      <c r="F256" s="21"/>
      <c r="G256" s="21"/>
      <c r="H256" s="19"/>
    </row>
    <row r="257" spans="1:8" ht="15.75" x14ac:dyDescent="0.25">
      <c r="A257" s="19">
        <f t="shared" si="3"/>
        <v>255</v>
      </c>
      <c r="B257" s="19"/>
      <c r="C257" s="19"/>
      <c r="D257" s="19"/>
      <c r="E257" s="19"/>
      <c r="F257" s="21"/>
      <c r="G257" s="21"/>
      <c r="H257" s="19"/>
    </row>
    <row r="258" spans="1:8" ht="15.75" x14ac:dyDescent="0.25">
      <c r="A258" s="19">
        <f t="shared" si="3"/>
        <v>256</v>
      </c>
      <c r="B258" s="19"/>
      <c r="C258" s="19"/>
      <c r="D258" s="19"/>
      <c r="E258" s="19"/>
      <c r="F258" s="21"/>
      <c r="G258" s="21"/>
      <c r="H258" s="19"/>
    </row>
    <row r="259" spans="1:8" ht="15.75" x14ac:dyDescent="0.25">
      <c r="A259" s="19">
        <f t="shared" ref="A259:A304" si="4">ROW()-2</f>
        <v>257</v>
      </c>
      <c r="B259" s="19"/>
      <c r="C259" s="19"/>
      <c r="D259" s="19"/>
      <c r="E259" s="19"/>
      <c r="F259" s="21"/>
      <c r="G259" s="21"/>
      <c r="H259" s="19"/>
    </row>
    <row r="260" spans="1:8" ht="15.75" x14ac:dyDescent="0.25">
      <c r="A260" s="19">
        <f t="shared" si="4"/>
        <v>258</v>
      </c>
      <c r="B260" s="19"/>
      <c r="C260" s="19"/>
      <c r="D260" s="19"/>
      <c r="E260" s="19"/>
      <c r="F260" s="21"/>
      <c r="G260" s="21"/>
      <c r="H260" s="19"/>
    </row>
    <row r="261" spans="1:8" ht="15.75" x14ac:dyDescent="0.25">
      <c r="A261" s="19">
        <f t="shared" si="4"/>
        <v>259</v>
      </c>
      <c r="B261" s="19"/>
      <c r="C261" s="19"/>
      <c r="D261" s="19"/>
      <c r="E261" s="19"/>
      <c r="F261" s="21"/>
      <c r="G261" s="21"/>
      <c r="H261" s="19"/>
    </row>
    <row r="262" spans="1:8" ht="15.75" x14ac:dyDescent="0.25">
      <c r="A262" s="19">
        <f t="shared" si="4"/>
        <v>260</v>
      </c>
      <c r="B262" s="19"/>
      <c r="C262" s="19"/>
      <c r="D262" s="19"/>
      <c r="E262" s="19"/>
      <c r="F262" s="21"/>
      <c r="G262" s="21"/>
      <c r="H262" s="19"/>
    </row>
    <row r="263" spans="1:8" ht="15.75" x14ac:dyDescent="0.25">
      <c r="A263" s="19">
        <f t="shared" si="4"/>
        <v>261</v>
      </c>
      <c r="B263" s="19"/>
      <c r="C263" s="19"/>
      <c r="D263" s="19"/>
      <c r="E263" s="19"/>
      <c r="F263" s="21"/>
      <c r="G263" s="21"/>
      <c r="H263" s="19"/>
    </row>
    <row r="264" spans="1:8" ht="15.75" x14ac:dyDescent="0.25">
      <c r="A264" s="19">
        <f t="shared" si="4"/>
        <v>262</v>
      </c>
      <c r="B264" s="19"/>
      <c r="C264" s="19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19"/>
      <c r="C265" s="19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2:5" ht="15.75" x14ac:dyDescent="0.25">
      <c r="B305" s="19"/>
      <c r="C305" s="19"/>
      <c r="D305" s="19"/>
      <c r="E305" s="19"/>
    </row>
    <row r="306" spans="2:5" ht="15.75" x14ac:dyDescent="0.25">
      <c r="B306" s="19"/>
      <c r="C306" s="19"/>
      <c r="D306" s="19"/>
      <c r="E306" s="19"/>
    </row>
    <row r="307" spans="2:5" ht="15.75" x14ac:dyDescent="0.25">
      <c r="B307" s="19"/>
      <c r="C307" s="19"/>
      <c r="D307" s="19"/>
      <c r="E307" s="19"/>
    </row>
  </sheetData>
  <mergeCells count="1">
    <mergeCell ref="A1:H1"/>
  </mergeCells>
  <phoneticPr fontId="31" type="noConversion"/>
  <conditionalFormatting sqref="B103 E103 B121:E154 B169:E170 E170:E184 D171:E176 B171:C178 D177 D178:E178 B179:E248 D249:D250 B251:E307">
    <cfRule type="expression" dxfId="8" priority="30">
      <formula>CELL("row")=ROW()</formula>
    </cfRule>
  </conditionalFormatting>
  <conditionalFormatting sqref="B249:B250">
    <cfRule type="expression" dxfId="7" priority="3">
      <formula>CELL("row")=ROW()</formula>
    </cfRule>
  </conditionalFormatting>
  <conditionalFormatting sqref="B191:D192 D193 B194:D210">
    <cfRule type="expression" dxfId="6" priority="9">
      <formula>CELL("row")=ROW()</formula>
    </cfRule>
  </conditionalFormatting>
  <conditionalFormatting sqref="C103">
    <cfRule type="expression" dxfId="5" priority="29">
      <formula>CELL("row")=ROW()</formula>
    </cfRule>
  </conditionalFormatting>
  <conditionalFormatting sqref="C122">
    <cfRule type="expression" dxfId="4" priority="26">
      <formula>CELL("row")=ROW()</formula>
    </cfRule>
  </conditionalFormatting>
  <conditionalFormatting sqref="C207:C208">
    <cfRule type="expression" dxfId="3" priority="7">
      <formula>CELL("row")=ROW()</formula>
    </cfRule>
  </conditionalFormatting>
  <conditionalFormatting sqref="C249:C250">
    <cfRule type="expression" dxfId="2" priority="1">
      <formula>CELL("row")=ROW()</formula>
    </cfRule>
  </conditionalFormatting>
  <conditionalFormatting sqref="E122">
    <cfRule type="expression" dxfId="1" priority="27">
      <formula>CELL("row")=ROW()</formula>
    </cfRule>
  </conditionalFormatting>
  <conditionalFormatting sqref="E249:E250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2026-02-11T07:51:53Z</dcterms:modified>
</cp:coreProperties>
</file>