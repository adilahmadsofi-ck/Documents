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66EF246-01AC-4BE3-9CDA-A10D740FEDC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30" i="7" l="1"/>
  <c r="A531" i="7"/>
  <c r="A532" i="7"/>
  <c r="A533" i="7"/>
  <c r="A534" i="7"/>
  <c r="A535" i="7"/>
  <c r="A536" i="7"/>
  <c r="A537" i="7"/>
  <c r="H826" i="4"/>
  <c r="H827" i="4"/>
  <c r="H828" i="4"/>
  <c r="H829" i="4"/>
  <c r="A826" i="4"/>
  <c r="A827" i="4"/>
  <c r="A828" i="4"/>
  <c r="A829" i="4"/>
  <c r="H821" i="4"/>
  <c r="H822" i="4"/>
  <c r="H823" i="4"/>
  <c r="H824" i="4"/>
  <c r="H825" i="4"/>
  <c r="A821" i="4"/>
  <c r="A822" i="4"/>
  <c r="A823" i="4"/>
  <c r="A824" i="4"/>
  <c r="A825" i="4"/>
  <c r="A525" i="7" l="1"/>
  <c r="A526" i="7"/>
  <c r="A527" i="7"/>
  <c r="A528" i="7"/>
  <c r="A529" i="7"/>
  <c r="A521" i="7"/>
  <c r="A522" i="7"/>
  <c r="A523" i="7"/>
  <c r="A524" i="7"/>
  <c r="H808" i="4" l="1"/>
  <c r="H809" i="4"/>
  <c r="H810" i="4"/>
  <c r="H811" i="4"/>
  <c r="H812" i="4"/>
  <c r="H813" i="4"/>
  <c r="H815" i="4"/>
  <c r="H816" i="4"/>
  <c r="H817" i="4"/>
  <c r="H818" i="4"/>
  <c r="H819" i="4"/>
  <c r="H820" i="4"/>
  <c r="A808" i="4"/>
  <c r="A809" i="4"/>
  <c r="A810" i="4"/>
  <c r="A811" i="4"/>
  <c r="A812" i="4"/>
  <c r="A813" i="4"/>
  <c r="A815" i="4"/>
  <c r="A816" i="4"/>
  <c r="A817" i="4"/>
  <c r="A818" i="4"/>
  <c r="A819" i="4"/>
  <c r="A820" i="4"/>
  <c r="H802" i="4"/>
  <c r="H799" i="4"/>
  <c r="H803" i="4"/>
  <c r="H804" i="4"/>
  <c r="H800" i="4"/>
  <c r="H805" i="4"/>
  <c r="H806" i="4"/>
  <c r="H807" i="4"/>
  <c r="A802" i="4"/>
  <c r="A799" i="4"/>
  <c r="A803" i="4"/>
  <c r="A804" i="4"/>
  <c r="A800" i="4"/>
  <c r="A805" i="4"/>
  <c r="A806" i="4"/>
  <c r="A807" i="4"/>
  <c r="A514" i="7" l="1"/>
  <c r="A515" i="7"/>
  <c r="A516" i="7"/>
  <c r="A517" i="7"/>
  <c r="A518" i="7"/>
  <c r="A519" i="7"/>
  <c r="A520" i="7"/>
  <c r="H792" i="4"/>
  <c r="H793" i="4"/>
  <c r="H794" i="4"/>
  <c r="H795" i="4"/>
  <c r="H796" i="4"/>
  <c r="H797" i="4"/>
  <c r="H798" i="4"/>
  <c r="H801" i="4"/>
  <c r="A792" i="4"/>
  <c r="A793" i="4"/>
  <c r="A794" i="4"/>
  <c r="A795" i="4"/>
  <c r="A796" i="4"/>
  <c r="A797" i="4"/>
  <c r="A798" i="4"/>
  <c r="A801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4" i="4"/>
  <c r="H790" i="4"/>
  <c r="H789" i="4"/>
  <c r="H791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4" i="4"/>
  <c r="A790" i="4"/>
  <c r="A789" i="4"/>
  <c r="A791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<sst xmlns="http://schemas.openxmlformats.org/spreadsheetml/2006/main" count="27557" uniqueCount="11061">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</sst>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29" totalsRowShown="0" headerRowDxfId="81" dataDxfId="80">
  <autoFilter ref="A1:R829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37" totalsRowShown="0" headerRowDxfId="36" dataDxfId="35">
  <autoFilter ref="A2:H53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97"/>
  <sheetViews>
    <sheetView tabSelected="1" topLeftCell="A806" zoomScaleNormal="100" workbookViewId="0">
      <selection activeCell="O814" sqref="O814:O82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10871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10884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10972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29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1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/>
      <c r="N778" s="22"/>
      <c r="O778" s="21" t="s">
        <v>23</v>
      </c>
      <c r="P778" s="24">
        <v>46162</v>
      </c>
      <c r="Q778" s="21" t="s">
        <v>10856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/>
      <c r="N779" s="22"/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10991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10841</v>
      </c>
      <c r="C791" s="21" t="s">
        <v>10837</v>
      </c>
      <c r="D791" s="21" t="s">
        <v>10838</v>
      </c>
      <c r="E791" s="21" t="s">
        <v>10839</v>
      </c>
      <c r="F791" s="21" t="s">
        <v>277</v>
      </c>
      <c r="G791" s="21" t="s">
        <v>178</v>
      </c>
      <c r="H791" s="21" t="str">
        <f t="shared" si="25"/>
        <v>NEW</v>
      </c>
      <c r="I791" s="21" t="s">
        <v>10840</v>
      </c>
      <c r="J791" s="22">
        <v>46164</v>
      </c>
      <c r="K791" s="21">
        <v>8979091582</v>
      </c>
      <c r="L791" s="21" t="s">
        <v>6823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10842</v>
      </c>
      <c r="D792" s="21" t="s">
        <v>10843</v>
      </c>
      <c r="E792" s="21" t="s">
        <v>10844</v>
      </c>
      <c r="F792" s="21" t="s">
        <v>12</v>
      </c>
      <c r="G792" s="21" t="s">
        <v>178</v>
      </c>
      <c r="H792" s="21" t="str">
        <f t="shared" ref="H792:H801" si="26">IF(LEFT(I792,4)="JK13","PULWAMA",IF(LEFT(I792,4)="JK01","SRINAGAR",IF(LEFT(I792,4)="JK04","BUDGAM",IF(LEFT(I792,4)="JK03","ANANTNAG",IF(LEFT(I792,4)="LA01","KARGIL",IF(LEFT(I792,4)="JK05","BARAMULLA",IF(LEFT(I792,4)="26BH","BHARAT",IF(LEFT(I792,4)="25BH","BHARAT",IF(LEFT(I792,4)="JK12","POONCH",IF(LEFT(I792,4)="JK16","GANDERBAL",IF(LEFT(I792,4)="JK18","KULGAM",IF(LEFT(I792,4)="JK22","SHOPIAN",IF(LEFT(I792,4)="JK02","JAMMU",IF(LEFT(I792,4)="JK09","KUPWARA",IF(LEFT(I792,4)="JK15","BANDIPORA",IF(LEFT(I792,4)="JK17","KISHTWAR",IF(LEFT(I792,4)="LA01","KARGIL",IF(LEFT(I792,1)="T","TEMP","NEW"))))))))))))))))))</f>
        <v>SRINAGAR</v>
      </c>
      <c r="I792" s="21" t="s">
        <v>10868</v>
      </c>
      <c r="J792" s="22">
        <v>46164</v>
      </c>
      <c r="K792" s="21">
        <v>9419766402</v>
      </c>
      <c r="L792" s="21" t="s">
        <v>10243</v>
      </c>
      <c r="M792" s="23"/>
      <c r="N792" s="22"/>
      <c r="O792" s="21" t="s">
        <v>23</v>
      </c>
      <c r="P792" s="24">
        <v>46165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10847</v>
      </c>
      <c r="D793" s="21" t="s">
        <v>10848</v>
      </c>
      <c r="E793" s="21" t="s">
        <v>10849</v>
      </c>
      <c r="F793" s="21" t="s">
        <v>5</v>
      </c>
      <c r="G793" s="21" t="s">
        <v>196</v>
      </c>
      <c r="H793" s="21" t="str">
        <f t="shared" si="26"/>
        <v>KUPWARA</v>
      </c>
      <c r="I793" s="21" t="s">
        <v>10867</v>
      </c>
      <c r="J793" s="22">
        <v>46164</v>
      </c>
      <c r="K793" s="21">
        <v>9797964101</v>
      </c>
      <c r="L793" s="21" t="s">
        <v>7689</v>
      </c>
      <c r="M793" s="23"/>
      <c r="N793" s="22"/>
      <c r="O793" s="21"/>
      <c r="P793" s="24"/>
      <c r="Q793" s="21"/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10859</v>
      </c>
      <c r="D794" s="21" t="s">
        <v>10860</v>
      </c>
      <c r="E794" s="21" t="s">
        <v>10861</v>
      </c>
      <c r="F794" s="21" t="s">
        <v>5</v>
      </c>
      <c r="G794" s="21" t="s">
        <v>196</v>
      </c>
      <c r="H794" s="21" t="str">
        <f t="shared" si="26"/>
        <v>KULGAM</v>
      </c>
      <c r="I794" s="21" t="s">
        <v>10870</v>
      </c>
      <c r="J794" s="22">
        <v>46165</v>
      </c>
      <c r="K794" s="21">
        <v>6006180214</v>
      </c>
      <c r="L794" s="21" t="s">
        <v>434</v>
      </c>
      <c r="M794" s="23"/>
      <c r="N794" s="22"/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10864</v>
      </c>
      <c r="D795" s="21" t="s">
        <v>10865</v>
      </c>
      <c r="E795" s="21" t="s">
        <v>10866</v>
      </c>
      <c r="F795" s="21" t="s">
        <v>65</v>
      </c>
      <c r="G795" s="21" t="s">
        <v>197</v>
      </c>
      <c r="H795" s="21" t="str">
        <f t="shared" si="26"/>
        <v>PULWAMA</v>
      </c>
      <c r="I795" s="21" t="s">
        <v>10869</v>
      </c>
      <c r="J795" s="22">
        <v>46165</v>
      </c>
      <c r="K795" s="21">
        <v>9622728446</v>
      </c>
      <c r="L795" s="21" t="s">
        <v>7228</v>
      </c>
      <c r="M795" s="23"/>
      <c r="N795" s="22"/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10872</v>
      </c>
      <c r="C796" s="21" t="s">
        <v>10873</v>
      </c>
      <c r="D796" s="21" t="s">
        <v>10874</v>
      </c>
      <c r="E796" s="21" t="s">
        <v>10875</v>
      </c>
      <c r="F796" s="21" t="s">
        <v>190</v>
      </c>
      <c r="G796" s="21" t="s">
        <v>196</v>
      </c>
      <c r="H796" s="21" t="str">
        <f t="shared" si="26"/>
        <v>SRINAGAR</v>
      </c>
      <c r="I796" s="21" t="s">
        <v>10876</v>
      </c>
      <c r="J796" s="22">
        <v>46165</v>
      </c>
      <c r="K796" s="21">
        <v>6005528953</v>
      </c>
      <c r="L796" s="21" t="s">
        <v>2143</v>
      </c>
      <c r="M796" s="23" t="s">
        <v>8531</v>
      </c>
      <c r="N796" s="22">
        <v>46167</v>
      </c>
      <c r="O796" s="21" t="s">
        <v>23</v>
      </c>
      <c r="P796" s="24">
        <v>46165</v>
      </c>
      <c r="Q796" s="21" t="s">
        <v>6454</v>
      </c>
      <c r="R796" s="21"/>
    </row>
    <row r="797" spans="1:18" x14ac:dyDescent="0.25">
      <c r="A797" s="21">
        <f t="shared" si="24"/>
        <v>796</v>
      </c>
      <c r="B797" s="21" t="s">
        <v>10883</v>
      </c>
      <c r="C797" s="21" t="s">
        <v>10881</v>
      </c>
      <c r="D797" s="21" t="s">
        <v>10882</v>
      </c>
      <c r="E797" s="21" t="s">
        <v>10880</v>
      </c>
      <c r="F797" s="21" t="s">
        <v>12</v>
      </c>
      <c r="G797" s="21" t="s">
        <v>178</v>
      </c>
      <c r="H797" s="21" t="str">
        <f t="shared" si="26"/>
        <v>NEW</v>
      </c>
      <c r="I797" s="21" t="s">
        <v>10885</v>
      </c>
      <c r="J797" s="22">
        <v>46165</v>
      </c>
      <c r="K797" s="21">
        <v>9622281979</v>
      </c>
      <c r="L797" s="21" t="s">
        <v>547</v>
      </c>
      <c r="M797" s="23"/>
      <c r="N797" s="22"/>
      <c r="O797" s="21"/>
      <c r="P797" s="24"/>
      <c r="Q797" s="21"/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5</v>
      </c>
      <c r="G798" s="21" t="s">
        <v>196</v>
      </c>
      <c r="H798" s="21" t="str">
        <f t="shared" si="26"/>
        <v>ANANTNAG</v>
      </c>
      <c r="I798" s="21" t="s">
        <v>10904</v>
      </c>
      <c r="J798" s="22">
        <v>46167</v>
      </c>
      <c r="K798" s="21">
        <v>9906564039</v>
      </c>
      <c r="L798" s="21" t="s">
        <v>10931</v>
      </c>
      <c r="M798" s="23" t="s">
        <v>8215</v>
      </c>
      <c r="N798" s="22">
        <v>46168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10899</v>
      </c>
      <c r="D799" s="21" t="s">
        <v>10914</v>
      </c>
      <c r="E799" s="21" t="s">
        <v>10901</v>
      </c>
      <c r="F799" s="21" t="s">
        <v>36</v>
      </c>
      <c r="G799" s="21" t="s">
        <v>196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SRINAGAR</v>
      </c>
      <c r="I799" s="21" t="s">
        <v>10905</v>
      </c>
      <c r="J799" s="22">
        <v>46167</v>
      </c>
      <c r="K799" s="21">
        <v>6005323353</v>
      </c>
      <c r="L799" s="21" t="s">
        <v>73</v>
      </c>
      <c r="M799" s="23"/>
      <c r="N799" s="22"/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10906</v>
      </c>
      <c r="C800" s="21" t="s">
        <v>10907</v>
      </c>
      <c r="D800" s="21" t="s">
        <v>10908</v>
      </c>
      <c r="E800" s="21" t="s">
        <v>10909</v>
      </c>
      <c r="F800" s="21" t="s">
        <v>98</v>
      </c>
      <c r="G800" s="21" t="s">
        <v>171</v>
      </c>
      <c r="H800" s="21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BARAMULLA</v>
      </c>
      <c r="I800" s="21" t="s">
        <v>10916</v>
      </c>
      <c r="J800" s="22">
        <v>46167</v>
      </c>
      <c r="K800" s="21">
        <v>9622485607</v>
      </c>
      <c r="L800" s="21" t="s">
        <v>191</v>
      </c>
      <c r="M800" s="23" t="s">
        <v>7585</v>
      </c>
      <c r="N800" s="22">
        <v>46168</v>
      </c>
      <c r="O800" s="21" t="s">
        <v>23</v>
      </c>
      <c r="P800" s="24">
        <v>46167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98</v>
      </c>
      <c r="G801" s="21" t="s">
        <v>223</v>
      </c>
      <c r="H801" s="21" t="str">
        <f t="shared" si="26"/>
        <v>BUDGAM</v>
      </c>
      <c r="I801" s="21" t="s">
        <v>10918</v>
      </c>
      <c r="J801" s="22">
        <v>46167</v>
      </c>
      <c r="K801" s="21">
        <v>7889479226</v>
      </c>
      <c r="L801" s="21" t="s">
        <v>26</v>
      </c>
      <c r="M801" s="23" t="s">
        <v>10998</v>
      </c>
      <c r="N801" s="22">
        <v>46168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10912</v>
      </c>
      <c r="E802" s="21" t="s">
        <v>10891</v>
      </c>
      <c r="F802" s="21" t="s">
        <v>5</v>
      </c>
      <c r="G802" s="21" t="s">
        <v>196</v>
      </c>
      <c r="H802" s="21" t="str">
        <f t="shared" ref="H802:H807" si="27">IF(LEFT(I802,4)="JK13","PULWAMA",IF(LEFT(I802,4)="JK01","SRINAGAR",IF(LEFT(I802,4)="JK04","BUDGAM",IF(LEFT(I802,4)="JK03","ANANTNAG",IF(LEFT(I802,4)="LA01","KARGIL",IF(LEFT(I802,4)="JK05","BARAMULLA",IF(LEFT(I802,4)="26BH","BHARAT",IF(LEFT(I802,4)="25BH","BHARAT",IF(LEFT(I802,4)="JK12","POONCH",IF(LEFT(I802,4)="JK16","GANDERBAL",IF(LEFT(I802,4)="JK18","KULGAM",IF(LEFT(I802,4)="JK22","SHOPIAN",IF(LEFT(I802,4)="JK02","JAMMU",IF(LEFT(I802,4)="JK09","KUPWARA",IF(LEFT(I802,4)="JK15","BANDIPORA",IF(LEFT(I802,4)="JK17","KISHTWAR",IF(LEFT(I802,4)="LA01","KARGIL",IF(LEFT(I802,1)="T","TEMP","NEW"))))))))))))))))))</f>
        <v>BUDGAM</v>
      </c>
      <c r="I802" s="21" t="s">
        <v>10917</v>
      </c>
      <c r="J802" s="22">
        <v>46167</v>
      </c>
      <c r="K802" s="21">
        <v>9055028530</v>
      </c>
      <c r="L802" s="21" t="s">
        <v>68</v>
      </c>
      <c r="M802" s="23"/>
      <c r="N802" s="22"/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10910</v>
      </c>
      <c r="E803" s="21" t="s">
        <v>10892</v>
      </c>
      <c r="F803" s="21" t="s">
        <v>12</v>
      </c>
      <c r="G803" s="21" t="s">
        <v>178</v>
      </c>
      <c r="H803" s="21" t="str">
        <f t="shared" si="27"/>
        <v>SRINAGAR</v>
      </c>
      <c r="I803" s="21" t="s">
        <v>10920</v>
      </c>
      <c r="J803" s="22">
        <v>46167</v>
      </c>
      <c r="K803" s="21">
        <v>8825097876</v>
      </c>
      <c r="L803" s="21" t="s">
        <v>191</v>
      </c>
      <c r="M803" s="23"/>
      <c r="N803" s="22"/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10897</v>
      </c>
      <c r="C804" s="21" t="s">
        <v>10889</v>
      </c>
      <c r="D804" s="21" t="s">
        <v>10915</v>
      </c>
      <c r="E804" s="21" t="s">
        <v>10893</v>
      </c>
      <c r="F804" s="21" t="s">
        <v>5</v>
      </c>
      <c r="G804" s="21" t="s">
        <v>197</v>
      </c>
      <c r="H804" s="21" t="str">
        <f t="shared" si="27"/>
        <v>SRINAGAR</v>
      </c>
      <c r="I804" s="21" t="s">
        <v>10919</v>
      </c>
      <c r="J804" s="22">
        <v>46167</v>
      </c>
      <c r="K804" s="21">
        <v>9149773196</v>
      </c>
      <c r="L804" s="21" t="s">
        <v>1513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10927</v>
      </c>
      <c r="C805" s="21" t="s">
        <v>10928</v>
      </c>
      <c r="D805" s="21" t="s">
        <v>10929</v>
      </c>
      <c r="E805" s="21" t="s">
        <v>10930</v>
      </c>
      <c r="F805" s="21" t="s">
        <v>98</v>
      </c>
      <c r="G805" s="21" t="s">
        <v>178</v>
      </c>
      <c r="H805" s="21" t="str">
        <f t="shared" si="27"/>
        <v>SRINAGAR</v>
      </c>
      <c r="I805" s="21" t="s">
        <v>10936</v>
      </c>
      <c r="J805" s="22">
        <v>46167</v>
      </c>
      <c r="K805" s="21">
        <v>7051923420</v>
      </c>
      <c r="L805" s="21" t="s">
        <v>10243</v>
      </c>
      <c r="M805" s="23"/>
      <c r="N805" s="22"/>
      <c r="O805" s="21" t="s">
        <v>23</v>
      </c>
      <c r="P805" s="24">
        <v>46168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10933</v>
      </c>
      <c r="C806" s="21" t="s">
        <v>10852</v>
      </c>
      <c r="D806" s="21" t="s">
        <v>10934</v>
      </c>
      <c r="E806" s="21" t="s">
        <v>10850</v>
      </c>
      <c r="F806" s="21" t="s">
        <v>277</v>
      </c>
      <c r="G806" s="21" t="s">
        <v>197</v>
      </c>
      <c r="H806" s="21" t="str">
        <f t="shared" si="27"/>
        <v>SRINAGAR</v>
      </c>
      <c r="I806" s="21" t="s">
        <v>10935</v>
      </c>
      <c r="J806" s="22">
        <v>46167</v>
      </c>
      <c r="K806" s="21">
        <v>9796990530</v>
      </c>
      <c r="L806" s="21" t="s">
        <v>73</v>
      </c>
      <c r="M806" s="23" t="s">
        <v>10980</v>
      </c>
      <c r="N806" s="22">
        <v>46168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10937</v>
      </c>
      <c r="C807" s="21" t="s">
        <v>10938</v>
      </c>
      <c r="D807" s="21" t="s">
        <v>10939</v>
      </c>
      <c r="E807" s="21" t="s">
        <v>10940</v>
      </c>
      <c r="F807" s="21" t="s">
        <v>36</v>
      </c>
      <c r="G807" s="21" t="s">
        <v>196</v>
      </c>
      <c r="H807" s="21" t="str">
        <f t="shared" si="27"/>
        <v>GANDERBAL</v>
      </c>
      <c r="I807" s="21" t="s">
        <v>10946</v>
      </c>
      <c r="J807" s="22">
        <v>46168</v>
      </c>
      <c r="K807" s="21">
        <v>7006256901</v>
      </c>
      <c r="L807" s="21" t="s">
        <v>10243</v>
      </c>
      <c r="M807" s="23"/>
      <c r="N807" s="22"/>
      <c r="O807" s="21" t="s">
        <v>23</v>
      </c>
      <c r="P807" s="24">
        <v>46164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10941</v>
      </c>
      <c r="C808" s="21" t="s">
        <v>10942</v>
      </c>
      <c r="D808" s="21" t="s">
        <v>10943</v>
      </c>
      <c r="E808" s="21" t="s">
        <v>10944</v>
      </c>
      <c r="F808" s="21" t="s">
        <v>12</v>
      </c>
      <c r="G808" s="21" t="s">
        <v>171</v>
      </c>
      <c r="H808" s="21" t="str">
        <f t="shared" ref="H808:H820" si="28">IF(LEFT(I808,4)="JK13","PULWAMA",IF(LEFT(I808,4)="JK01","SRINAGAR",IF(LEFT(I808,4)="JK04","BUDGAM",IF(LEFT(I808,4)="JK03","ANANTNAG",IF(LEFT(I808,4)="LA01","KARGIL",IF(LEFT(I808,4)="JK05","BARAMULLA",IF(LEFT(I808,4)="26BH","BHARAT",IF(LEFT(I808,4)="25BH","BHARAT",IF(LEFT(I808,4)="JK12","POONCH",IF(LEFT(I808,4)="JK16","GANDERBAL",IF(LEFT(I808,4)="JK18","KULGAM",IF(LEFT(I808,4)="JK22","SHOPIAN",IF(LEFT(I808,4)="JK02","JAMMU",IF(LEFT(I808,4)="JK09","KUPWARA",IF(LEFT(I808,4)="JK15","BANDIPORA",IF(LEFT(I808,4)="JK17","KISHTWAR",IF(LEFT(I808,4)="LA01","KARGIL",IF(LEFT(I808,1)="T","TEMP","NEW"))))))))))))))))))</f>
        <v>SHOPIAN</v>
      </c>
      <c r="I808" s="21" t="s">
        <v>10945</v>
      </c>
      <c r="J808" s="22">
        <v>46168</v>
      </c>
      <c r="K808" s="21">
        <v>9149409685</v>
      </c>
      <c r="L808" s="21" t="s">
        <v>9902</v>
      </c>
      <c r="M808" s="23"/>
      <c r="N808" s="22"/>
      <c r="O808" s="21"/>
      <c r="P808" s="24"/>
      <c r="Q808" s="21"/>
      <c r="R808" s="21"/>
    </row>
    <row r="809" spans="1:18" x14ac:dyDescent="0.25">
      <c r="A809" s="21">
        <f t="shared" si="24"/>
        <v>808</v>
      </c>
      <c r="B809" s="21" t="s">
        <v>10952</v>
      </c>
      <c r="C809" s="21" t="s">
        <v>10953</v>
      </c>
      <c r="D809" s="21" t="s">
        <v>10954</v>
      </c>
      <c r="E809" s="21" t="s">
        <v>10955</v>
      </c>
      <c r="F809" s="21" t="s">
        <v>12</v>
      </c>
      <c r="G809" s="21" t="s">
        <v>178</v>
      </c>
      <c r="H809" s="21" t="str">
        <f t="shared" si="28"/>
        <v>SRINAGAR</v>
      </c>
      <c r="I809" s="21" t="s">
        <v>10970</v>
      </c>
      <c r="J809" s="22">
        <v>46168</v>
      </c>
      <c r="K809" s="21">
        <v>8825062872</v>
      </c>
      <c r="L809" s="21" t="s">
        <v>10163</v>
      </c>
      <c r="M809" s="23" t="s">
        <v>7765</v>
      </c>
      <c r="N809" s="22">
        <v>46172</v>
      </c>
      <c r="O809" s="21" t="s">
        <v>23</v>
      </c>
      <c r="P809" s="24">
        <v>46172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10956</v>
      </c>
      <c r="C810" s="21" t="s">
        <v>10957</v>
      </c>
      <c r="D810" s="21" t="s">
        <v>10958</v>
      </c>
      <c r="E810" s="21" t="s">
        <v>10959</v>
      </c>
      <c r="F810" s="21" t="s">
        <v>12</v>
      </c>
      <c r="G810" s="21" t="s">
        <v>197</v>
      </c>
      <c r="H810" s="21" t="str">
        <f t="shared" si="28"/>
        <v>SHOPIAN</v>
      </c>
      <c r="I810" s="21" t="s">
        <v>10971</v>
      </c>
      <c r="J810" s="22">
        <v>46168</v>
      </c>
      <c r="K810" s="21">
        <v>7006762518</v>
      </c>
      <c r="L810" s="21" t="s">
        <v>7228</v>
      </c>
      <c r="M810" s="23"/>
      <c r="N810" s="22"/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10960</v>
      </c>
      <c r="C811" s="21" t="s">
        <v>10967</v>
      </c>
      <c r="D811" s="21" t="s">
        <v>10961</v>
      </c>
      <c r="E811" s="21" t="s">
        <v>10962</v>
      </c>
      <c r="F811" s="21" t="s">
        <v>12</v>
      </c>
      <c r="G811" s="21" t="s">
        <v>197</v>
      </c>
      <c r="H811" s="21" t="str">
        <f t="shared" si="28"/>
        <v>BUDGAM</v>
      </c>
      <c r="I811" s="21" t="s">
        <v>10968</v>
      </c>
      <c r="J811" s="22">
        <v>46168</v>
      </c>
      <c r="K811" s="21">
        <v>7889540230</v>
      </c>
      <c r="L811" s="21" t="s">
        <v>10243</v>
      </c>
      <c r="M811" s="23"/>
      <c r="N811" s="22"/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10963</v>
      </c>
      <c r="C812" s="21" t="s">
        <v>10964</v>
      </c>
      <c r="D812" s="21" t="s">
        <v>10965</v>
      </c>
      <c r="E812" s="21" t="s">
        <v>10966</v>
      </c>
      <c r="F812" s="21" t="s">
        <v>5</v>
      </c>
      <c r="G812" s="21" t="s">
        <v>197</v>
      </c>
      <c r="H812" s="21" t="str">
        <f t="shared" si="28"/>
        <v>KUPWARA</v>
      </c>
      <c r="I812" s="21" t="s">
        <v>10969</v>
      </c>
      <c r="J812" s="22">
        <v>46168</v>
      </c>
      <c r="K812" s="21">
        <v>9682167032</v>
      </c>
      <c r="L812" s="21" t="s">
        <v>191</v>
      </c>
      <c r="M812" s="23" t="s">
        <v>7585</v>
      </c>
      <c r="N812" s="22">
        <v>46168</v>
      </c>
      <c r="O812" s="21" t="s">
        <v>23</v>
      </c>
      <c r="P812" s="24">
        <v>46168</v>
      </c>
      <c r="Q812" s="21" t="s">
        <v>6454</v>
      </c>
      <c r="R812" s="21"/>
    </row>
    <row r="813" spans="1:18" x14ac:dyDescent="0.25">
      <c r="A813" s="21">
        <f t="shared" si="24"/>
        <v>812</v>
      </c>
      <c r="B813" s="21" t="s">
        <v>10973</v>
      </c>
      <c r="C813" s="21" t="s">
        <v>10974</v>
      </c>
      <c r="D813" s="21" t="s">
        <v>10975</v>
      </c>
      <c r="E813" s="21" t="s">
        <v>10976</v>
      </c>
      <c r="F813" s="21" t="s">
        <v>12</v>
      </c>
      <c r="G813" s="21" t="s">
        <v>178</v>
      </c>
      <c r="H813" s="21" t="str">
        <f t="shared" si="28"/>
        <v>PULWAMA</v>
      </c>
      <c r="I813" s="21" t="s">
        <v>10981</v>
      </c>
      <c r="J813" s="22">
        <v>46168</v>
      </c>
      <c r="K813" s="21">
        <v>7889400213</v>
      </c>
      <c r="L813" s="21" t="s">
        <v>6515</v>
      </c>
      <c r="M813" s="23"/>
      <c r="N813" s="22"/>
      <c r="O813" s="21"/>
      <c r="P813" s="24"/>
      <c r="Q813" s="21"/>
      <c r="R813" s="21"/>
    </row>
    <row r="814" spans="1:18" x14ac:dyDescent="0.25">
      <c r="A814" s="21">
        <f t="shared" si="24"/>
        <v>813</v>
      </c>
      <c r="B814" s="21" t="s">
        <v>10821</v>
      </c>
      <c r="C814" s="21" t="s">
        <v>10818</v>
      </c>
      <c r="D814" s="21" t="s">
        <v>10819</v>
      </c>
      <c r="E814" s="21" t="s">
        <v>10820</v>
      </c>
      <c r="F814" s="21" t="s">
        <v>12</v>
      </c>
      <c r="G814" s="21" t="s">
        <v>197</v>
      </c>
      <c r="H814" s="21" t="str">
        <f>IF(LEFT(I814,4)="JK13","PULWAMA",IF(LEFT(I814,4)="JK01","SRINAGAR",IF(LEFT(I814,4)="JK04","BUDGAM",IF(LEFT(I814,4)="JK03","ANANTNAG",IF(LEFT(I814,4)="LA01","KARGIL",IF(LEFT(I814,4)="JK05","BARAMULLA",IF(LEFT(I814,4)="26BH","BHARAT",IF(LEFT(I814,4)="25BH","BHARAT",IF(LEFT(I814,4)="JK12","POONCH",IF(LEFT(I814,4)="JK16","GANDERBAL",IF(LEFT(I814,4)="JK18","KULGAM",IF(LEFT(I814,4)="JK22","SHOPIAN",IF(LEFT(I814,4)="JK02","JAMMU",IF(LEFT(I814,4)="JK09","KUPWARA",IF(LEFT(I814,4)="JK15","BANDIPORA",IF(LEFT(I814,4)="JK17","KISHTWAR",IF(LEFT(I814,4)="LA01","KARGIL",IF(LEFT(I814,1)="T","TEMP","NEW"))))))))))))))))))</f>
        <v>BARAMULLA</v>
      </c>
      <c r="I814" s="21" t="s">
        <v>10982</v>
      </c>
      <c r="J814" s="22">
        <v>46172</v>
      </c>
      <c r="K814" s="21">
        <v>8493839221</v>
      </c>
      <c r="L814" s="21" t="s">
        <v>68</v>
      </c>
      <c r="M814" s="23"/>
      <c r="N814" s="22"/>
      <c r="O814" s="21" t="s">
        <v>23</v>
      </c>
      <c r="P814" s="24">
        <v>46172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10986</v>
      </c>
      <c r="C815" s="21" t="s">
        <v>10983</v>
      </c>
      <c r="D815" s="21" t="s">
        <v>10984</v>
      </c>
      <c r="E815" s="21" t="s">
        <v>10985</v>
      </c>
      <c r="F815" s="21" t="s">
        <v>3126</v>
      </c>
      <c r="G815" s="21" t="s">
        <v>6469</v>
      </c>
      <c r="H815" s="21" t="str">
        <f t="shared" si="28"/>
        <v>SHOPIAN</v>
      </c>
      <c r="I815" s="21" t="s">
        <v>10993</v>
      </c>
      <c r="J815" s="22">
        <v>46172</v>
      </c>
      <c r="K815" s="21">
        <v>9858414762</v>
      </c>
      <c r="L815" s="21" t="s">
        <v>7689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10988</v>
      </c>
      <c r="C816" s="21" t="s">
        <v>10987</v>
      </c>
      <c r="D816" s="21" t="s">
        <v>10989</v>
      </c>
      <c r="E816" s="21" t="s">
        <v>10990</v>
      </c>
      <c r="F816" s="21" t="s">
        <v>116</v>
      </c>
      <c r="G816" s="21" t="s">
        <v>197</v>
      </c>
      <c r="H816" s="21" t="str">
        <f t="shared" si="28"/>
        <v>SRINAGAR</v>
      </c>
      <c r="I816" s="21" t="s">
        <v>10992</v>
      </c>
      <c r="J816" s="22">
        <v>46172</v>
      </c>
      <c r="K816" s="21">
        <v>6005142577</v>
      </c>
      <c r="L816" s="21" t="s">
        <v>480</v>
      </c>
      <c r="M816" s="23"/>
      <c r="N816" s="22"/>
      <c r="O816" s="21"/>
      <c r="P816" s="24"/>
      <c r="Q816" s="21"/>
      <c r="R816" s="21"/>
    </row>
    <row r="817" spans="1:18" x14ac:dyDescent="0.25">
      <c r="A817" s="21">
        <f t="shared" si="24"/>
        <v>816</v>
      </c>
      <c r="B817" s="21" t="s">
        <v>10994</v>
      </c>
      <c r="C817" s="21" t="s">
        <v>10995</v>
      </c>
      <c r="D817" s="21" t="s">
        <v>10996</v>
      </c>
      <c r="E817" s="21" t="s">
        <v>10997</v>
      </c>
      <c r="F817" s="21" t="s">
        <v>5</v>
      </c>
      <c r="G817" s="21" t="s">
        <v>197</v>
      </c>
      <c r="H817" s="21" t="str">
        <f t="shared" si="28"/>
        <v>BANDIPORA</v>
      </c>
      <c r="I817" s="21" t="s">
        <v>11013</v>
      </c>
      <c r="J817" s="22">
        <v>46172</v>
      </c>
      <c r="K817" s="21">
        <v>7006180324</v>
      </c>
      <c r="L817" s="21" t="s">
        <v>6823</v>
      </c>
      <c r="M817" s="23"/>
      <c r="N817" s="22"/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11002</v>
      </c>
      <c r="C818" s="21" t="s">
        <v>10999</v>
      </c>
      <c r="D818" s="21" t="s">
        <v>11000</v>
      </c>
      <c r="E818" s="21" t="s">
        <v>11001</v>
      </c>
      <c r="F818" s="21" t="s">
        <v>12</v>
      </c>
      <c r="G818" s="21" t="s">
        <v>197</v>
      </c>
      <c r="H818" s="21" t="str">
        <f t="shared" si="28"/>
        <v>BARAMULLA</v>
      </c>
      <c r="I818" s="21" t="s">
        <v>11014</v>
      </c>
      <c r="J818" s="22">
        <v>46172</v>
      </c>
      <c r="K818" s="21">
        <v>9682555158</v>
      </c>
      <c r="L818" s="21" t="s">
        <v>1122</v>
      </c>
      <c r="M818" s="23"/>
      <c r="N818" s="22"/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11005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11012</v>
      </c>
      <c r="J819" s="22">
        <v>46172</v>
      </c>
      <c r="K819" s="21">
        <v>9596263355</v>
      </c>
      <c r="L819" s="21" t="s">
        <v>10243</v>
      </c>
      <c r="M819" s="23"/>
      <c r="N819" s="22"/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11011</v>
      </c>
      <c r="C820" s="21" t="s">
        <v>11008</v>
      </c>
      <c r="D820" s="21" t="s">
        <v>11009</v>
      </c>
      <c r="E820" s="21" t="s">
        <v>11007</v>
      </c>
      <c r="F820" s="21" t="s">
        <v>12</v>
      </c>
      <c r="G820" s="21" t="s">
        <v>197</v>
      </c>
      <c r="H820" s="21" t="str">
        <f t="shared" si="28"/>
        <v>SRINAGAR</v>
      </c>
      <c r="I820" s="21" t="s">
        <v>11015</v>
      </c>
      <c r="J820" s="22">
        <v>46172</v>
      </c>
      <c r="K820" s="21">
        <v>7889461451</v>
      </c>
      <c r="L820" s="21" t="s">
        <v>11010</v>
      </c>
      <c r="M820" s="23"/>
      <c r="N820" s="22"/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11016</v>
      </c>
      <c r="D821" s="21" t="s">
        <v>11017</v>
      </c>
      <c r="E821" s="21" t="s">
        <v>2634</v>
      </c>
      <c r="F821" s="21" t="s">
        <v>5</v>
      </c>
      <c r="G821" s="21" t="s">
        <v>197</v>
      </c>
      <c r="H821" s="21" t="str">
        <f t="shared" ref="H821:H825" si="29">IF(LEFT(I821,4)="JK13","PULWAMA",IF(LEFT(I821,4)="JK01","SRINAGAR",IF(LEFT(I821,4)="JK04","BUDGAM",IF(LEFT(I821,4)="JK03","ANANTNAG",IF(LEFT(I821,4)="LA01","KARGIL",IF(LEFT(I821,4)="JK05","BARAMULLA",IF(LEFT(I821,4)="26BH","BHARAT",IF(LEFT(I821,4)="25BH","BHARAT",IF(LEFT(I821,4)="JK12","POONCH",IF(LEFT(I821,4)="JK16","GANDERBAL",IF(LEFT(I821,4)="JK18","KULGAM",IF(LEFT(I821,4)="JK22","SHOPIAN",IF(LEFT(I821,4)="JK02","JAMMU",IF(LEFT(I821,4)="JK09","KUPWARA",IF(LEFT(I821,4)="JK15","BANDIPORA",IF(LEFT(I821,4)="JK17","KISHTWAR",IF(LEFT(I821,4)="LA01","KARGIL",IF(LEFT(I821,1)="T","TEMP","NEW"))))))))))))))))))</f>
        <v>BANDIPORA</v>
      </c>
      <c r="I821" s="21" t="s">
        <v>11030</v>
      </c>
      <c r="J821" s="22">
        <v>46172</v>
      </c>
      <c r="K821" s="21">
        <v>7298499896</v>
      </c>
      <c r="L821" s="21" t="s">
        <v>11018</v>
      </c>
      <c r="M821" s="23"/>
      <c r="N821" s="22"/>
      <c r="O821" s="21" t="s">
        <v>23</v>
      </c>
      <c r="P821" s="24">
        <v>46172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11020</v>
      </c>
      <c r="C822" s="21" t="s">
        <v>11021</v>
      </c>
      <c r="D822" s="21" t="s">
        <v>11022</v>
      </c>
      <c r="E822" s="21" t="s">
        <v>11023</v>
      </c>
      <c r="F822" s="21" t="s">
        <v>3126</v>
      </c>
      <c r="G822" s="21" t="s">
        <v>197</v>
      </c>
      <c r="H822" s="21" t="str">
        <f t="shared" si="29"/>
        <v>PULWAMA</v>
      </c>
      <c r="I822" s="21" t="s">
        <v>11029</v>
      </c>
      <c r="J822" s="22">
        <v>46172</v>
      </c>
      <c r="K822" s="21">
        <v>7889312502</v>
      </c>
      <c r="L822" s="21" t="s">
        <v>9241</v>
      </c>
      <c r="M822" s="23"/>
      <c r="N822" s="22"/>
      <c r="O822" s="21"/>
      <c r="P822" s="24"/>
      <c r="Q822" s="21"/>
      <c r="R822" s="21"/>
    </row>
    <row r="823" spans="1:18" x14ac:dyDescent="0.25">
      <c r="A823" s="21">
        <f t="shared" si="24"/>
        <v>822</v>
      </c>
      <c r="B823" s="21" t="s">
        <v>11024</v>
      </c>
      <c r="C823" s="21" t="s">
        <v>11025</v>
      </c>
      <c r="D823" s="21" t="s">
        <v>11026</v>
      </c>
      <c r="E823" s="21" t="s">
        <v>11027</v>
      </c>
      <c r="F823" s="21" t="s">
        <v>12</v>
      </c>
      <c r="G823" s="21" t="s">
        <v>197</v>
      </c>
      <c r="H823" s="21" t="str">
        <f t="shared" si="29"/>
        <v>KULGAM</v>
      </c>
      <c r="I823" s="21" t="s">
        <v>11028</v>
      </c>
      <c r="J823" s="22">
        <v>46172</v>
      </c>
      <c r="K823" s="21">
        <v>8825051434</v>
      </c>
      <c r="L823" s="21" t="s">
        <v>26</v>
      </c>
      <c r="M823" s="23"/>
      <c r="N823" s="22"/>
      <c r="O823" s="21" t="s">
        <v>23</v>
      </c>
      <c r="P823" s="24">
        <v>46172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11031</v>
      </c>
      <c r="C824" s="21" t="s">
        <v>11032</v>
      </c>
      <c r="D824" s="21" t="s">
        <v>11033</v>
      </c>
      <c r="E824" s="21" t="s">
        <v>11034</v>
      </c>
      <c r="F824" s="21" t="s">
        <v>12</v>
      </c>
      <c r="G824" s="21" t="s">
        <v>197</v>
      </c>
      <c r="H824" s="21" t="str">
        <f t="shared" si="29"/>
        <v>BARAMULLA</v>
      </c>
      <c r="I824" s="21" t="s">
        <v>11036</v>
      </c>
      <c r="J824" s="22">
        <v>46172</v>
      </c>
      <c r="K824" s="21">
        <v>9906912046</v>
      </c>
      <c r="L824" s="21" t="s">
        <v>7240</v>
      </c>
      <c r="M824" s="23"/>
      <c r="N824" s="22"/>
      <c r="O824" s="21"/>
      <c r="P824" s="24"/>
      <c r="Q824" s="21"/>
      <c r="R824" s="21"/>
    </row>
    <row r="825" spans="1:18" x14ac:dyDescent="0.25">
      <c r="A825" s="21">
        <f t="shared" si="24"/>
        <v>824</v>
      </c>
      <c r="B825" s="21" t="s">
        <v>11035</v>
      </c>
      <c r="C825" s="21" t="s">
        <v>11041</v>
      </c>
      <c r="D825" s="21" t="s">
        <v>11042</v>
      </c>
      <c r="E825" s="21" t="s">
        <v>11043</v>
      </c>
      <c r="F825" s="21" t="s">
        <v>36</v>
      </c>
      <c r="G825" s="21" t="s">
        <v>196</v>
      </c>
      <c r="H825" s="21" t="str">
        <f t="shared" si="29"/>
        <v>SRINAGAR</v>
      </c>
      <c r="I825" s="21" t="s">
        <v>11044</v>
      </c>
      <c r="J825" s="22">
        <v>46172</v>
      </c>
      <c r="K825" s="21">
        <v>7006893741</v>
      </c>
      <c r="L825" s="21" t="s">
        <v>18</v>
      </c>
      <c r="M825" s="23"/>
      <c r="N825" s="22"/>
      <c r="O825" s="21" t="s">
        <v>23</v>
      </c>
      <c r="P825" s="24">
        <v>46172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11037</v>
      </c>
      <c r="C826" s="21" t="s">
        <v>11038</v>
      </c>
      <c r="D826" s="21" t="s">
        <v>11039</v>
      </c>
      <c r="E826" s="21" t="s">
        <v>11040</v>
      </c>
      <c r="F826" s="21" t="s">
        <v>98</v>
      </c>
      <c r="G826" s="21" t="s">
        <v>178</v>
      </c>
      <c r="H826" s="21" t="str">
        <f t="shared" ref="H826:H829" si="30">IF(LEFT(I826,4)="JK13","PULWAMA",IF(LEFT(I826,4)="JK01","SRINAGAR",IF(LEFT(I826,4)="JK04","BUDGAM",IF(LEFT(I826,4)="JK03","ANANTNAG",IF(LEFT(I826,4)="LA01","KARGIL",IF(LEFT(I826,4)="JK05","BARAMULLA",IF(LEFT(I826,4)="26BH","BHARAT",IF(LEFT(I826,4)="25BH","BHARAT",IF(LEFT(I826,4)="JK12","POONCH",IF(LEFT(I826,4)="JK16","GANDERBAL",IF(LEFT(I826,4)="JK18","KULGAM",IF(LEFT(I826,4)="JK22","SHOPIAN",IF(LEFT(I826,4)="JK02","JAMMU",IF(LEFT(I826,4)="JK09","KUPWARA",IF(LEFT(I826,4)="JK15","BANDIPORA",IF(LEFT(I826,4)="JK17","KISHTWAR",IF(LEFT(I826,4)="LA01","KARGIL",IF(LEFT(I826,1)="T","TEMP","NEW"))))))))))))))))))</f>
        <v>PULWAMA</v>
      </c>
      <c r="I826" s="21" t="s">
        <v>11049</v>
      </c>
      <c r="J826" s="54">
        <v>46172</v>
      </c>
      <c r="K826" s="21">
        <v>9596577125</v>
      </c>
      <c r="L826" s="53" t="s">
        <v>10044</v>
      </c>
      <c r="M826" s="55"/>
      <c r="N826" s="54"/>
      <c r="O826" s="21"/>
      <c r="P826" s="24"/>
      <c r="Q826" s="21"/>
      <c r="R826" s="53"/>
    </row>
    <row r="827" spans="1:18" x14ac:dyDescent="0.25">
      <c r="A827" s="21">
        <f t="shared" si="24"/>
        <v>826</v>
      </c>
      <c r="B827" s="21" t="s">
        <v>11048</v>
      </c>
      <c r="C827" s="21" t="s">
        <v>11046</v>
      </c>
      <c r="D827" s="21" t="s">
        <v>11047</v>
      </c>
      <c r="E827" s="21" t="s">
        <v>11045</v>
      </c>
      <c r="F827" s="21" t="s">
        <v>12</v>
      </c>
      <c r="G827" s="21" t="s">
        <v>197</v>
      </c>
      <c r="H827" s="21" t="str">
        <f t="shared" si="30"/>
        <v>SRINAGAR</v>
      </c>
      <c r="I827" s="21" t="s">
        <v>11050</v>
      </c>
      <c r="J827" s="54">
        <v>46172</v>
      </c>
      <c r="K827" s="21">
        <v>6005199747</v>
      </c>
      <c r="L827" s="53" t="s">
        <v>272</v>
      </c>
      <c r="M827" s="55"/>
      <c r="N827" s="54"/>
      <c r="O827" s="21"/>
      <c r="P827" s="24"/>
      <c r="Q827" s="21"/>
      <c r="R827" s="53"/>
    </row>
    <row r="828" spans="1:18" x14ac:dyDescent="0.25">
      <c r="A828" s="21">
        <f t="shared" si="24"/>
        <v>827</v>
      </c>
      <c r="B828" s="21"/>
      <c r="C828" s="21"/>
      <c r="D828" s="21"/>
      <c r="E828" s="21"/>
      <c r="F828" s="21"/>
      <c r="G828" s="21"/>
      <c r="H828" s="21" t="str">
        <f t="shared" si="30"/>
        <v>NEW</v>
      </c>
      <c r="I828" s="21"/>
      <c r="J828" s="54"/>
      <c r="K828" s="21"/>
      <c r="L828" s="53"/>
      <c r="M828" s="55"/>
      <c r="N828" s="54"/>
      <c r="O828" s="53"/>
      <c r="P828" s="56"/>
      <c r="Q828" s="53"/>
      <c r="R828" s="53"/>
    </row>
    <row r="829" spans="1:18" x14ac:dyDescent="0.25">
      <c r="A829" s="21">
        <f t="shared" si="24"/>
        <v>828</v>
      </c>
      <c r="B829" s="21"/>
      <c r="C829" s="21"/>
      <c r="D829" s="21"/>
      <c r="E829" s="21"/>
      <c r="F829" s="21"/>
      <c r="G829" s="21"/>
      <c r="H829" s="21" t="str">
        <f t="shared" si="30"/>
        <v>NEW</v>
      </c>
      <c r="I829" s="53"/>
      <c r="J829" s="54"/>
      <c r="K829" s="21"/>
      <c r="L829" s="53"/>
      <c r="M829" s="55"/>
      <c r="N829" s="54"/>
      <c r="O829" s="53"/>
      <c r="P829" s="56"/>
      <c r="Q829" s="53"/>
      <c r="R829" s="53"/>
    </row>
    <row r="830" spans="1:18" ht="15.75" x14ac:dyDescent="0.25">
      <c r="A830" s="21"/>
      <c r="B830" s="21"/>
      <c r="C830" s="21"/>
      <c r="D830" s="21"/>
      <c r="E830" s="21"/>
      <c r="F830" s="21"/>
      <c r="G830" s="21"/>
      <c r="H830" s="21"/>
      <c r="I830" s="21"/>
      <c r="J830" s="12"/>
      <c r="K830" s="21"/>
      <c r="L830" s="21"/>
      <c r="M830" t="s">
        <v>43</v>
      </c>
    </row>
    <row r="831" spans="1:18" ht="15.75" x14ac:dyDescent="0.25">
      <c r="A831" s="21"/>
      <c r="B831" s="21"/>
      <c r="C831" s="21"/>
      <c r="D831" s="21"/>
      <c r="E831" s="21"/>
      <c r="F831" s="21"/>
      <c r="G831" s="21"/>
      <c r="H831" s="1"/>
      <c r="I831" s="13"/>
      <c r="K831" s="21"/>
      <c r="L831" s="21"/>
    </row>
    <row r="832" spans="1:18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x14ac:dyDescent="0.25">
      <c r="K959" s="20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7 B768:G770 H769 H770:R770 O771 B771:H784 K771:K784 I772:I795 J773 J775:J784 L777:R790 B777:G796 G785:H788 J785:K792 B789:H790 H791:H794 J793:J795 G795:H795 A796:J796 B797:C797 E797:J799 D797:D802 A798:C802 B800:J806 A803:H804 B807:H807 J807:J814 H808:H814 H814:J816 K830:L831 H817:H824 G825:H825 B803:G825 A805:A829 I829:J829 B826:H829 J817:J828 I806:I828 K791:R829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30:I830 K830:K909 A831:G831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30:O831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30:Q831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37"/>
  <sheetViews>
    <sheetView topLeftCell="A526" zoomScaleNormal="100" workbookViewId="0">
      <selection activeCell="D546" sqref="D54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10850</v>
      </c>
      <c r="C506" s="21">
        <v>9796990530</v>
      </c>
      <c r="D506" s="21" t="s">
        <v>10851</v>
      </c>
      <c r="E506" s="21" t="s">
        <v>10935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10853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10854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10855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10857</v>
      </c>
      <c r="E510" s="21" t="s">
        <v>10766</v>
      </c>
      <c r="F510" s="14">
        <v>46162</v>
      </c>
      <c r="G510" s="14" t="s">
        <v>337</v>
      </c>
      <c r="H510" s="12" t="s">
        <v>10858</v>
      </c>
    </row>
    <row r="511" spans="1:8" ht="15.75" x14ac:dyDescent="0.25">
      <c r="A511" s="12">
        <f t="shared" si="7"/>
        <v>509</v>
      </c>
      <c r="B511" s="21" t="s">
        <v>10875</v>
      </c>
      <c r="C511" s="21">
        <v>6005528953</v>
      </c>
      <c r="D511" s="21" t="s">
        <v>10877</v>
      </c>
      <c r="E511" s="21" t="s">
        <v>10876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10861</v>
      </c>
      <c r="C512" s="21">
        <v>6006180214</v>
      </c>
      <c r="D512" s="21" t="s">
        <v>10878</v>
      </c>
      <c r="E512" s="21" t="s">
        <v>10870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10844</v>
      </c>
      <c r="C513" s="21">
        <v>9419766402</v>
      </c>
      <c r="D513" s="21" t="s">
        <v>10879</v>
      </c>
      <c r="E513" s="21" t="s">
        <v>10868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10909</v>
      </c>
      <c r="C514" s="21">
        <v>7006418329</v>
      </c>
      <c r="D514" s="21" t="s">
        <v>10921</v>
      </c>
      <c r="E514" s="21" t="s">
        <v>10916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10922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10923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10901</v>
      </c>
      <c r="C517" s="21">
        <v>6005323353</v>
      </c>
      <c r="D517" s="21" t="s">
        <v>10924</v>
      </c>
      <c r="E517" s="21" t="s">
        <v>10905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10925</v>
      </c>
      <c r="C518" s="21">
        <v>7006112317</v>
      </c>
      <c r="D518" s="21" t="s">
        <v>10926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37" si="8">ROW()-2</f>
        <v>517</v>
      </c>
      <c r="B519" s="21" t="s">
        <v>10900</v>
      </c>
      <c r="C519" s="21">
        <v>9906564039</v>
      </c>
      <c r="D519" s="21" t="s">
        <v>10932</v>
      </c>
      <c r="E519" s="21" t="s">
        <v>10904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10892</v>
      </c>
      <c r="C520" s="21">
        <v>8825097876</v>
      </c>
      <c r="D520" s="21" t="s">
        <v>10947</v>
      </c>
      <c r="E520" s="21" t="s">
        <v>10920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10891</v>
      </c>
      <c r="C521" s="21">
        <v>9055028530</v>
      </c>
      <c r="D521" s="21" t="s">
        <v>10948</v>
      </c>
      <c r="E521" s="21" t="s">
        <v>10917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10930</v>
      </c>
      <c r="C522" s="21">
        <v>9796979654</v>
      </c>
      <c r="D522" s="21" t="s">
        <v>10949</v>
      </c>
      <c r="E522" s="21" t="s">
        <v>10936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10890</v>
      </c>
      <c r="C523" s="21">
        <v>9103686998</v>
      </c>
      <c r="D523" s="21" t="s">
        <v>10950</v>
      </c>
      <c r="E523" s="21" t="s">
        <v>10918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10893</v>
      </c>
      <c r="C524" s="21">
        <v>9149773196</v>
      </c>
      <c r="D524" s="21" t="s">
        <v>10951</v>
      </c>
      <c r="E524" s="21" t="s">
        <v>10919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10966</v>
      </c>
      <c r="C525" s="21">
        <v>9682167032</v>
      </c>
      <c r="D525" s="21" t="s">
        <v>10977</v>
      </c>
      <c r="E525" s="21" t="s">
        <v>10969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10940</v>
      </c>
      <c r="C526" s="21">
        <v>7006256901</v>
      </c>
      <c r="D526" s="21" t="s">
        <v>10978</v>
      </c>
      <c r="E526" s="21" t="s">
        <v>10946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10962</v>
      </c>
      <c r="C527" s="21">
        <v>7889540230</v>
      </c>
      <c r="D527" s="21" t="s">
        <v>10979</v>
      </c>
      <c r="E527" s="21" t="s">
        <v>10968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10955</v>
      </c>
      <c r="C528" s="21">
        <v>8825062872</v>
      </c>
      <c r="D528" s="21" t="s">
        <v>11051</v>
      </c>
      <c r="E528" s="21" t="s">
        <v>10970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11005</v>
      </c>
      <c r="C529" s="21">
        <v>9596263355</v>
      </c>
      <c r="D529" s="21" t="s">
        <v>11052</v>
      </c>
      <c r="E529" s="21" t="s">
        <v>11012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11001</v>
      </c>
      <c r="C530" s="21">
        <v>9682555158</v>
      </c>
      <c r="D530" s="21" t="s">
        <v>11053</v>
      </c>
      <c r="E530" s="21" t="s">
        <v>11014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11054</v>
      </c>
      <c r="E531" s="21" t="s">
        <v>10982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11043</v>
      </c>
      <c r="C532" s="21">
        <v>7006893741</v>
      </c>
      <c r="D532" s="21" t="s">
        <v>11055</v>
      </c>
      <c r="E532" s="21" t="s">
        <v>11044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11027</v>
      </c>
      <c r="C533" s="21">
        <v>8825051434</v>
      </c>
      <c r="D533" s="21" t="s">
        <v>11056</v>
      </c>
      <c r="E533" s="21" t="s">
        <v>11028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11057</v>
      </c>
      <c r="E534" s="21" t="s">
        <v>11030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11058</v>
      </c>
      <c r="C535" s="21">
        <v>7006180324</v>
      </c>
      <c r="D535" s="21" t="s">
        <v>11059</v>
      </c>
      <c r="E535" s="21" t="s">
        <v>11013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11007</v>
      </c>
      <c r="C536" s="21">
        <v>7889461451</v>
      </c>
      <c r="D536" s="21" t="s">
        <v>11060</v>
      </c>
      <c r="E536" s="21" t="s">
        <v>11015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12"/>
      <c r="C537" s="12"/>
      <c r="D537" s="12"/>
      <c r="E537" s="12"/>
      <c r="F537" s="14"/>
      <c r="G537" s="14"/>
      <c r="H537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" sqref="E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2026-05-30T12:43:59Z</dcterms:modified>
</cp:coreProperties>
</file>