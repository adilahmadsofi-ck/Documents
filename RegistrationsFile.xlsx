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6E8476C-F9AE-42D3-88B3-C6C43C0C91D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1" i="7" l="1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H358" i="4"/>
  <c r="H359" i="4"/>
  <c r="H333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4" i="7"/>
  <c r="A3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H271" i="4"/>
  <c r="H284" i="4"/>
  <c r="H285" i="4"/>
  <c r="H286" i="4"/>
  <c r="A271" i="4"/>
  <c r="A284" i="4"/>
  <c r="A285" i="4"/>
  <c r="A286" i="4"/>
  <c r="H275" i="4"/>
  <c r="H276" i="4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H218" i="4"/>
  <c r="H217" i="4"/>
  <c r="H214" i="4"/>
  <c r="H215" i="4"/>
  <c r="H216" i="4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H195" i="4"/>
  <c r="H196" i="4"/>
  <c r="H197" i="4"/>
  <c r="H198" i="4"/>
  <c r="H199" i="4"/>
  <c r="H200" i="4"/>
  <c r="H201" i="4"/>
  <c r="H202" i="4"/>
  <c r="H194" i="4"/>
  <c r="H193" i="4"/>
  <c r="H192" i="4"/>
  <c r="H191" i="4"/>
  <c r="H190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H130" i="4"/>
  <c r="H6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<sst xmlns="http://schemas.openxmlformats.org/spreadsheetml/2006/main" count="20940" uniqueCount="8176">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</sst>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4" totalsRowShown="0" headerRowDxfId="86" dataDxfId="85">
  <autoFilter ref="A1:R374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70" totalsRowShown="0" headerRowDxfId="41" dataDxfId="40">
  <autoFilter ref="A2:H170" xr:uid="{B21CDF53-EB04-406A-8D52-FCF5CCB609E9}"/>
  <sortState xmlns:xlrd2="http://schemas.microsoft.com/office/spreadsheetml/2017/richdata2" ref="A3:H166">
    <sortCondition ref="D2:D166"/>
  </sortState>
  <tableColumns count="8">
    <tableColumn id="1" xr3:uid="{E7104F17-DBE3-4DF1-9933-FFCDDC61A4A1}" name="S.No." dataDxfId="39"/>
    <tableColumn id="11" xr3:uid="{7AA66E15-5D81-45A6-A480-BC2F7EFDEB4C}" name="Name" dataDxfId="38"/>
    <tableColumn id="10" xr3:uid="{DA1D923C-25B3-4F76-823C-435E6464FF55}" name="Contact" dataDxfId="37"/>
    <tableColumn id="2" xr3:uid="{5FEBD558-5EB7-4421-BA25-DCAC1134B168}" name="Barcode No." dataDxfId="36"/>
    <tableColumn id="12" xr3:uid="{77758C8B-F2C8-47C0-B104-570729F9693B}" name="Reg Num" dataDxfId="35"/>
    <tableColumn id="5" xr3:uid="{9AC97A3F-3009-4A59-ACCF-A178780E6F61}" name="Date" dataDxfId="34"/>
    <tableColumn id="7" xr3:uid="{82C8F4C5-8489-4228-83CC-0B9666328CDD}" name="CHANNEL" dataDxfId="33"/>
    <tableColumn id="8" xr3:uid="{DDF1FC61-A0D6-46E9-9515-6DDC5AB1E932}" name="Status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1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0"/>
    <tableColumn id="2" xr3:uid="{1E57C5CE-907A-4DF0-BCA2-BBCD2651216C}" name="APPLICATION NO." dataDxfId="29"/>
    <tableColumn id="3" xr3:uid="{F626713A-3C61-423D-BD37-451203C3E29C}" name="CHASSIS" dataDxfId="28"/>
    <tableColumn id="4" xr3:uid="{32C5A048-ADD8-4648-8106-9F20D6757D66}" name="NAME" dataDxfId="27"/>
    <tableColumn id="5" xr3:uid="{BA1FDE8E-99ED-4918-A545-B2E041B306D6}" name="MODEL" dataDxfId="26"/>
    <tableColumn id="6" xr3:uid="{872ECA2D-515D-4EDE-B60A-82A8BDEFEDCC}" name="COLOR" dataDxfId="25"/>
    <tableColumn id="7" xr3:uid="{C729A2AA-8F61-4959-9BE7-9F1BD3A49990}" name="RTO" dataDxfId="24"/>
    <tableColumn id="8" xr3:uid="{49CDED17-8118-4E4F-BBF5-6407D0788647}" name="REG NUM" dataDxfId="23"/>
    <tableColumn id="9" xr3:uid="{6E044422-F791-464A-944A-0668F0C8112F}" name="DATE OF REG" dataDxfId="22"/>
    <tableColumn id="11" xr3:uid="{942D52E6-8B19-4B1A-ADDF-6D959D8E7BE1}" name="DSE" dataDxfId="21"/>
    <tableColumn id="12" xr3:uid="{04B58679-3282-4D6D-BF3E-2233E3C4DC81}" name="RC RECEIVED BY" dataDxfId="2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9" tableBorderDxfId="18" totalsRowBorderDxfId="17">
  <autoFilter ref="B27:E32" xr:uid="{859DCBAE-920B-4469-9E0B-BF5ADC0248E9}"/>
  <tableColumns count="4">
    <tableColumn id="1" xr3:uid="{898528DA-B3AC-435C-B00C-9234887E5F11}" name="REG NUM" dataDxfId="16"/>
    <tableColumn id="2" xr3:uid="{89440296-A536-440E-A74B-186B5A98AE6C}" name="DATE OF REG" dataDxfId="15"/>
    <tableColumn id="3" xr3:uid="{7A04E3EB-93DA-4428-AB0C-3D251E144655}" name="RC RECEIVED BY" dataDxfId="14"/>
    <tableColumn id="4" xr3:uid="{0D350352-EB5F-413B-8CE6-3B46D80C3172}" name="DAT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2"/>
  <sheetViews>
    <sheetView tabSelected="1" topLeftCell="A350" zoomScaleNormal="100" workbookViewId="0">
      <selection activeCell="I364" sqref="I364:I36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ref="A300:A363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 t="s">
        <v>7716</v>
      </c>
      <c r="N304" s="48">
        <v>46028</v>
      </c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6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20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6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20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 t="shared" si="16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20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20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6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ref="H326:H359" si="21"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6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21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6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21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6"/>
        <v>328</v>
      </c>
      <c r="B329" s="47" t="s">
        <v>7936</v>
      </c>
      <c r="C329" s="47" t="s">
        <v>7928</v>
      </c>
      <c r="D329" s="47" t="s">
        <v>7929</v>
      </c>
      <c r="E329" s="47" t="s">
        <v>7930</v>
      </c>
      <c r="F329" s="47" t="s">
        <v>31</v>
      </c>
      <c r="G329" s="47" t="s">
        <v>199</v>
      </c>
      <c r="H329" s="47" t="str">
        <f t="shared" si="21"/>
        <v>SRINAGAR</v>
      </c>
      <c r="I329" s="47" t="s">
        <v>7937</v>
      </c>
      <c r="J329" s="48">
        <v>46024</v>
      </c>
      <c r="K329" s="47">
        <v>9149695812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6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21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6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21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6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21"/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6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21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6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21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6"/>
        <v>334</v>
      </c>
      <c r="B335" s="47" t="s">
        <v>7966</v>
      </c>
      <c r="C335" s="47" t="s">
        <v>7963</v>
      </c>
      <c r="D335" s="47" t="s">
        <v>7964</v>
      </c>
      <c r="E335" s="47" t="s">
        <v>7965</v>
      </c>
      <c r="F335" s="47" t="s">
        <v>119</v>
      </c>
      <c r="G335" s="47" t="s">
        <v>200</v>
      </c>
      <c r="H335" s="47" t="str">
        <f t="shared" si="21"/>
        <v>PULWAMA</v>
      </c>
      <c r="I335" s="47" t="s">
        <v>7967</v>
      </c>
      <c r="J335" s="48">
        <v>46025</v>
      </c>
      <c r="K335" s="47">
        <v>7006861153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6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21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6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21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6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21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6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21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6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21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6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21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6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21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6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21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6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21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6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21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6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21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6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21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6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21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6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21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6"/>
        <v>349</v>
      </c>
      <c r="B350" s="47" t="s">
        <v>8042</v>
      </c>
      <c r="C350" s="47" t="s">
        <v>8040</v>
      </c>
      <c r="D350" s="47" t="s">
        <v>8041</v>
      </c>
      <c r="E350" s="47" t="s">
        <v>556</v>
      </c>
      <c r="F350" s="47" t="s">
        <v>119</v>
      </c>
      <c r="G350" s="47" t="s">
        <v>200</v>
      </c>
      <c r="H350" s="47" t="str">
        <f t="shared" si="21"/>
        <v>PULWAMA</v>
      </c>
      <c r="I350" s="47" t="s">
        <v>8083</v>
      </c>
      <c r="J350" s="48">
        <v>46027</v>
      </c>
      <c r="K350" s="47">
        <v>7780961447</v>
      </c>
      <c r="L350" s="47" t="s">
        <v>6521</v>
      </c>
      <c r="M350" s="49"/>
      <c r="N350" s="48"/>
      <c r="O350" s="47"/>
      <c r="P350" s="50"/>
      <c r="Q350" s="47"/>
      <c r="R350" s="47"/>
    </row>
    <row r="351" spans="1:18" x14ac:dyDescent="0.25">
      <c r="A351" s="47">
        <f t="shared" si="16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21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6"/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21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6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21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6"/>
        <v>353</v>
      </c>
      <c r="B354" s="47" t="s">
        <v>8059</v>
      </c>
      <c r="C354" s="47" t="s">
        <v>8056</v>
      </c>
      <c r="D354" s="47" t="s">
        <v>8057</v>
      </c>
      <c r="E354" s="47" t="s">
        <v>8058</v>
      </c>
      <c r="F354" s="47" t="s">
        <v>12</v>
      </c>
      <c r="G354" s="47" t="s">
        <v>200</v>
      </c>
      <c r="H354" s="47" t="str">
        <f t="shared" si="21"/>
        <v>PULWAMA</v>
      </c>
      <c r="I354" s="47" t="s">
        <v>8084</v>
      </c>
      <c r="J354" s="48">
        <v>46027</v>
      </c>
      <c r="K354" s="47">
        <v>7298487838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6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21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/>
      <c r="N355" s="48"/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6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21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 t="shared" si="16"/>
        <v>356</v>
      </c>
      <c r="B357" s="47" t="s">
        <v>8068</v>
      </c>
      <c r="C357" s="47" t="s">
        <v>8069</v>
      </c>
      <c r="D357" s="47" t="s">
        <v>8070</v>
      </c>
      <c r="E357" s="47" t="s">
        <v>8071</v>
      </c>
      <c r="F357" s="47" t="s">
        <v>5</v>
      </c>
      <c r="G357" s="47" t="s">
        <v>200</v>
      </c>
      <c r="H357" s="47" t="str">
        <f t="shared" si="21"/>
        <v>PULWAMA</v>
      </c>
      <c r="I357" s="47" t="s">
        <v>8085</v>
      </c>
      <c r="J357" s="48">
        <v>46027</v>
      </c>
      <c r="K357" s="47">
        <v>9419278824</v>
      </c>
      <c r="L357" s="47" t="s">
        <v>6521</v>
      </c>
      <c r="M357" s="49"/>
      <c r="N357" s="48"/>
      <c r="O357" s="47"/>
      <c r="P357" s="50"/>
      <c r="Q357" s="47"/>
      <c r="R357" s="47" t="s">
        <v>8093</v>
      </c>
    </row>
    <row r="358" spans="1:18" x14ac:dyDescent="0.25">
      <c r="A358" s="47">
        <f t="shared" si="16"/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si="21"/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/>
      <c r="N358" s="48"/>
      <c r="O358" s="47"/>
      <c r="P358" s="50"/>
      <c r="Q358" s="47"/>
      <c r="R358" s="47"/>
    </row>
    <row r="359" spans="1:18" x14ac:dyDescent="0.25">
      <c r="A359" s="47">
        <f t="shared" si="16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21"/>
        <v>NEW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6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ref="H360:H374" si="22">IF(LEFT(I360,4)="JK13","PULWAMA",IF(LEFT(I360,4)="JK01","SRINAGAR",IF(LEFT(I360,4)="JK04","BUDGAM",IF(LEFT(I360,4)="JK03","ANANTNAG",IF(LEFT(I360,4)="JK05","BARAMULLA",IF(LEFT(I360,4)="25BH","BHARAT",IF(LEFT(I360,4)="JK12","POONCH",IF(LEFT(I360,4)="JK18","KULGAM",IF(LEFT(I360,4)="JK22","SHOPIAN",IF(LEFT(I360,4)="T102","TEMP",IF(LEFT(I360,4)="JK09","KUPWARA",IF(LEFT(I360,4)="JK15","BANDIPORA",IF(LEFT(I360,4)="T112","KARGIL","NEW"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/>
      <c r="N360" s="48"/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6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22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6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22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/>
      <c r="N362" s="48"/>
      <c r="O362" s="47"/>
      <c r="P362" s="50"/>
      <c r="Q362" s="47"/>
      <c r="R362" s="47"/>
    </row>
    <row r="363" spans="1:18" x14ac:dyDescent="0.25">
      <c r="A363" s="47">
        <f t="shared" si="16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22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4" si="23">ROW()-1</f>
        <v>363</v>
      </c>
      <c r="B364" s="47" t="s">
        <v>8112</v>
      </c>
      <c r="C364" s="47" t="s">
        <v>8113</v>
      </c>
      <c r="D364" s="47" t="s">
        <v>8114</v>
      </c>
      <c r="E364" s="47" t="s">
        <v>8115</v>
      </c>
      <c r="F364" s="47" t="s">
        <v>102</v>
      </c>
      <c r="G364" s="47" t="s">
        <v>199</v>
      </c>
      <c r="H364" s="47" t="str">
        <f t="shared" si="22"/>
        <v>PULWAMA</v>
      </c>
      <c r="I364" s="47" t="s">
        <v>8116</v>
      </c>
      <c r="J364" s="48">
        <v>46028</v>
      </c>
      <c r="K364" s="47">
        <v>7889385453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3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22"/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3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22"/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/>
      <c r="N366" s="48"/>
      <c r="O366" s="47"/>
      <c r="P366" s="50"/>
      <c r="Q366" s="47"/>
      <c r="R366" s="47"/>
    </row>
    <row r="367" spans="1:18" x14ac:dyDescent="0.25">
      <c r="A367" s="47">
        <f t="shared" si="23"/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 t="shared" si="22"/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/>
      <c r="N367" s="48"/>
      <c r="O367" s="47"/>
      <c r="P367" s="50"/>
      <c r="Q367" s="47"/>
      <c r="R367" s="47"/>
    </row>
    <row r="368" spans="1:18" x14ac:dyDescent="0.25">
      <c r="A368" s="47">
        <f t="shared" si="23"/>
        <v>367</v>
      </c>
      <c r="B368" s="47"/>
      <c r="C368" s="47"/>
      <c r="D368" s="47"/>
      <c r="E368" s="47"/>
      <c r="F368" s="47"/>
      <c r="G368" s="47"/>
      <c r="H368" s="47" t="str">
        <f t="shared" si="22"/>
        <v>NEW</v>
      </c>
      <c r="I368" s="47"/>
      <c r="J368" s="48"/>
      <c r="K368" s="47"/>
      <c r="L368" s="47"/>
      <c r="M368" s="49"/>
      <c r="N368" s="48"/>
      <c r="O368" s="47"/>
      <c r="P368" s="50"/>
      <c r="Q368" s="47"/>
      <c r="R368" s="47"/>
    </row>
    <row r="369" spans="1:18" x14ac:dyDescent="0.25">
      <c r="A369" s="47">
        <f t="shared" si="23"/>
        <v>368</v>
      </c>
      <c r="B369" s="47"/>
      <c r="C369" s="47"/>
      <c r="D369" s="47"/>
      <c r="E369" s="47"/>
      <c r="F369" s="47"/>
      <c r="G369" s="47"/>
      <c r="H369" s="47" t="str">
        <f t="shared" si="22"/>
        <v>NEW</v>
      </c>
      <c r="I369" s="47"/>
      <c r="J369" s="48"/>
      <c r="K369" s="47"/>
      <c r="L369" s="47"/>
      <c r="M369" s="49"/>
      <c r="N369" s="48"/>
      <c r="O369" s="47"/>
      <c r="P369" s="50"/>
      <c r="Q369" s="47"/>
      <c r="R369" s="47"/>
    </row>
    <row r="370" spans="1:18" x14ac:dyDescent="0.25">
      <c r="A370" s="47">
        <f t="shared" si="23"/>
        <v>369</v>
      </c>
      <c r="B370" s="47"/>
      <c r="C370" s="47"/>
      <c r="D370" s="47"/>
      <c r="E370" s="47"/>
      <c r="F370" s="47"/>
      <c r="G370" s="47"/>
      <c r="H370" s="47" t="str">
        <f t="shared" si="22"/>
        <v>NEW</v>
      </c>
      <c r="I370" s="47"/>
      <c r="J370" s="48"/>
      <c r="K370" s="47"/>
      <c r="L370" s="47"/>
      <c r="M370" s="49"/>
      <c r="N370" s="48"/>
      <c r="O370" s="47"/>
      <c r="P370" s="50"/>
      <c r="Q370" s="47"/>
      <c r="R370" s="47"/>
    </row>
    <row r="371" spans="1:18" x14ac:dyDescent="0.25">
      <c r="A371" s="47">
        <f t="shared" si="23"/>
        <v>370</v>
      </c>
      <c r="B371" s="47"/>
      <c r="C371" s="47"/>
      <c r="D371" s="47"/>
      <c r="E371" s="47"/>
      <c r="F371" s="47"/>
      <c r="G371" s="47"/>
      <c r="H371" s="47" t="str">
        <f t="shared" si="22"/>
        <v>NEW</v>
      </c>
      <c r="I371" s="47"/>
      <c r="J371" s="48"/>
      <c r="K371" s="47"/>
      <c r="L371" s="47"/>
      <c r="M371" s="49"/>
      <c r="N371" s="48"/>
      <c r="O371" s="47"/>
      <c r="P371" s="50"/>
      <c r="Q371" s="47"/>
      <c r="R371" s="47"/>
    </row>
    <row r="372" spans="1:18" x14ac:dyDescent="0.25">
      <c r="A372" s="47">
        <f t="shared" si="23"/>
        <v>371</v>
      </c>
      <c r="B372" s="47"/>
      <c r="C372" s="47"/>
      <c r="D372" s="47"/>
      <c r="E372" s="47"/>
      <c r="F372" s="47"/>
      <c r="G372" s="47"/>
      <c r="H372" s="47" t="str">
        <f t="shared" si="22"/>
        <v>NEW</v>
      </c>
      <c r="I372" s="47"/>
      <c r="J372" s="48"/>
      <c r="K372" s="47"/>
      <c r="L372" s="47"/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3"/>
        <v>372</v>
      </c>
      <c r="B373" s="47"/>
      <c r="C373" s="47"/>
      <c r="D373" s="47"/>
      <c r="E373" s="47"/>
      <c r="F373" s="47"/>
      <c r="G373" s="47"/>
      <c r="H373" s="47" t="str">
        <f t="shared" si="22"/>
        <v>NEW</v>
      </c>
      <c r="I373" s="47"/>
      <c r="J373" s="48"/>
      <c r="K373" s="47"/>
      <c r="L373" s="47"/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3"/>
        <v>373</v>
      </c>
      <c r="B374" s="47"/>
      <c r="C374" s="47"/>
      <c r="D374" s="47"/>
      <c r="E374" s="47"/>
      <c r="F374" s="47"/>
      <c r="G374" s="47"/>
      <c r="H374" s="47" t="str">
        <f t="shared" si="22"/>
        <v>NEW</v>
      </c>
      <c r="I374" s="47"/>
      <c r="J374" s="48"/>
      <c r="K374" s="47"/>
      <c r="L374" s="47"/>
      <c r="M374" s="49"/>
      <c r="N374" s="48"/>
      <c r="O374" s="47"/>
      <c r="P374" s="50"/>
      <c r="Q374" s="47"/>
      <c r="R374" s="47"/>
    </row>
    <row r="375" spans="1:18" ht="15.75" x14ac:dyDescent="0.25">
      <c r="F375" s="1"/>
      <c r="G375" s="1"/>
      <c r="H375" s="1"/>
      <c r="I375" s="55"/>
      <c r="J375" s="19"/>
      <c r="K375" s="47"/>
      <c r="M375" t="s">
        <v>44</v>
      </c>
    </row>
    <row r="376" spans="1:18" ht="15.75" x14ac:dyDescent="0.25">
      <c r="F376" s="1"/>
      <c r="G376" s="1"/>
      <c r="H376" s="1"/>
      <c r="I376" s="20"/>
      <c r="K376" s="47"/>
    </row>
    <row r="377" spans="1:18" ht="15.75" x14ac:dyDescent="0.25">
      <c r="F377" s="1"/>
      <c r="G377" s="1"/>
      <c r="H377" s="1"/>
      <c r="I377" s="20"/>
      <c r="K377" s="47"/>
    </row>
    <row r="378" spans="1:18" ht="15.75" x14ac:dyDescent="0.25">
      <c r="F378" s="1"/>
      <c r="G378" s="1"/>
      <c r="H378" s="1"/>
      <c r="I378" s="20"/>
      <c r="K378" s="47"/>
    </row>
    <row r="379" spans="1:18" ht="15.75" x14ac:dyDescent="0.25">
      <c r="C379" s="1"/>
      <c r="D379" s="1"/>
      <c r="E379" s="1"/>
      <c r="F379" s="1"/>
      <c r="G379" s="1"/>
      <c r="H379" s="1"/>
      <c r="I379" s="20"/>
      <c r="K379" s="47"/>
    </row>
    <row r="380" spans="1:18" x14ac:dyDescent="0.25">
      <c r="A380" s="5"/>
      <c r="B380" s="6"/>
      <c r="C380" s="7"/>
      <c r="D380" s="7"/>
      <c r="E380" s="7"/>
      <c r="F380" s="7"/>
      <c r="G380" s="7"/>
      <c r="H380" s="7"/>
      <c r="I380" s="7"/>
      <c r="J380" s="7"/>
      <c r="K380" s="47"/>
      <c r="L380" s="7"/>
      <c r="M380" s="7"/>
      <c r="N380" s="7"/>
      <c r="O380" s="7"/>
      <c r="P380" s="7"/>
      <c r="Q380" s="7"/>
    </row>
    <row r="381" spans="1:18" x14ac:dyDescent="0.25">
      <c r="A381" s="5"/>
      <c r="B381" s="6"/>
      <c r="C381" s="7"/>
      <c r="D381" s="7"/>
      <c r="E381" s="7"/>
      <c r="F381" s="7"/>
      <c r="G381" s="7"/>
      <c r="H381" s="7"/>
      <c r="I381" s="7"/>
      <c r="J381" s="7"/>
      <c r="K381" s="47"/>
      <c r="L381" s="7"/>
      <c r="M381" s="7"/>
      <c r="N381" s="7"/>
      <c r="O381" s="7"/>
      <c r="P381" s="7"/>
      <c r="Q381" s="7"/>
    </row>
    <row r="382" spans="1:18" x14ac:dyDescent="0.25">
      <c r="K382" s="47"/>
    </row>
    <row r="383" spans="1:18" x14ac:dyDescent="0.25">
      <c r="K383" s="47"/>
    </row>
    <row r="384" spans="1:18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x14ac:dyDescent="0.25">
      <c r="K514" s="44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K299:K325 A301:B301 L301:R325 A302:A374 I308:I317 H313:H314 J313:J314 H315:J328 I325:I332 K326:R330 H329:H330 J329:J333 H331:J332 K331:K366 L331:R374 H333 H334:J360 I375 K375:K464 H369:J374 H361:H368 J361:J368 I357:I368">
    <cfRule type="expression" dxfId="12" priority="7">
      <formula>CELL("row")=ROW()</formula>
    </cfRule>
  </conditionalFormatting>
  <conditionalFormatting sqref="B257:G290 B291:B300 C291:G301">
    <cfRule type="expression" dxfId="11" priority="5">
      <formula>CELL("row")=ROW()</formula>
    </cfRule>
  </conditionalFormatting>
  <conditionalFormatting sqref="B297:G368">
    <cfRule type="expression" dxfId="10" priority="1">
      <formula>CELL("row")=ROW()</formula>
    </cfRule>
  </conditionalFormatting>
  <conditionalFormatting sqref="F326:G326">
    <cfRule type="expression" dxfId="9" priority="2">
      <formula>CELL("row")=ROW()</formula>
    </cfRule>
  </conditionalFormatting>
  <conditionalFormatting sqref="G266">
    <cfRule type="expression" dxfId="8" priority="4">
      <formula>CELL("row")=ROW()</formula>
    </cfRule>
  </conditionalFormatting>
  <conditionalFormatting sqref="K376:O386 L375:O375">
    <cfRule type="expression" dxfId="7" priority="16">
      <formula>ROW(M93)=HighlightRow</formula>
    </cfRule>
  </conditionalFormatting>
  <conditionalFormatting sqref="P375:Q386">
    <cfRule type="expression" dxfId="6" priority="20">
      <formula>ROW(S93)=HighlightRow</formula>
    </cfRule>
  </conditionalFormatting>
  <conditionalFormatting sqref="S105:XFD105">
    <cfRule type="expression" dxfId="5" priority="21">
      <formula>ROW(T94)=HighlightRow</formula>
    </cfRule>
  </conditionalFormatting>
  <conditionalFormatting sqref="S106:XFD114">
    <cfRule type="expression" dxfId="4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70"/>
  <sheetViews>
    <sheetView topLeftCell="A47" zoomScale="85" zoomScaleNormal="85" workbookViewId="0">
      <selection activeCell="A150" sqref="A150:A17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>ROW()-2</f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ref="A5:A68" si="0">ROW()-2</f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6665</v>
      </c>
    </row>
    <row r="46" spans="1:14" ht="15.75" x14ac:dyDescent="0.25">
      <c r="A46" s="19">
        <f t="shared" si="0"/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si="0"/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0"/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ref="A69:A132" si="1">ROW()-2</f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 t="shared" si="1"/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 t="shared" si="1"/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si="1"/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1"/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ref="A133:A170" si="2">ROW()-2</f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 t="shared" si="2"/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7743</v>
      </c>
      <c r="C144" s="43">
        <v>7006409005</v>
      </c>
      <c r="D144" s="43" t="s">
        <v>7785</v>
      </c>
      <c r="E144" s="43" t="s">
        <v>7751</v>
      </c>
      <c r="F144" s="21">
        <v>46021</v>
      </c>
      <c r="G144" s="21" t="s">
        <v>341</v>
      </c>
      <c r="H144" s="19" t="s">
        <v>6665</v>
      </c>
    </row>
    <row r="145" spans="1:8" ht="15.75" x14ac:dyDescent="0.25">
      <c r="A145" s="19">
        <f t="shared" si="2"/>
        <v>143</v>
      </c>
      <c r="B145" s="43" t="s">
        <v>7766</v>
      </c>
      <c r="C145" s="43">
        <v>9622775800</v>
      </c>
      <c r="D145" s="43" t="s">
        <v>7816</v>
      </c>
      <c r="E145" s="43" t="s">
        <v>7768</v>
      </c>
      <c r="F145" s="21">
        <v>46022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2915</v>
      </c>
      <c r="C146" s="43">
        <v>9906625047</v>
      </c>
      <c r="D146" s="43" t="s">
        <v>7817</v>
      </c>
      <c r="E146" s="43" t="s">
        <v>7749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6391</v>
      </c>
      <c r="C147" s="43">
        <v>8493055195</v>
      </c>
      <c r="D147" s="43" t="s">
        <v>7813</v>
      </c>
      <c r="E147" s="43" t="s">
        <v>6393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7790</v>
      </c>
      <c r="C148" s="43">
        <v>9419070393</v>
      </c>
      <c r="D148" s="43" t="s">
        <v>7814</v>
      </c>
      <c r="E148" s="43" t="s">
        <v>7795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658</v>
      </c>
      <c r="C149" s="43">
        <v>7006898324</v>
      </c>
      <c r="D149" s="43" t="s">
        <v>8145</v>
      </c>
      <c r="E149" s="43" t="s">
        <v>7927</v>
      </c>
      <c r="F149" s="21">
        <v>46029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3624</v>
      </c>
      <c r="C150" s="43">
        <v>7006928931</v>
      </c>
      <c r="D150" s="43" t="s">
        <v>8144</v>
      </c>
      <c r="E150" s="43" t="s">
        <v>7750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8063</v>
      </c>
      <c r="C151" s="43">
        <v>9070599346</v>
      </c>
      <c r="D151" s="43" t="s">
        <v>8092</v>
      </c>
      <c r="E151" s="43" t="s">
        <v>8087</v>
      </c>
      <c r="F151" s="21">
        <v>46027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8050</v>
      </c>
      <c r="C152" s="43">
        <v>9070111588</v>
      </c>
      <c r="D152" s="43" t="s">
        <v>8148</v>
      </c>
      <c r="E152" s="43" t="s">
        <v>8091</v>
      </c>
      <c r="F152" s="21">
        <v>46028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8075</v>
      </c>
      <c r="C153" s="43">
        <v>6005254071</v>
      </c>
      <c r="D153" s="43" t="s">
        <v>8121</v>
      </c>
      <c r="E153" s="43" t="s">
        <v>8088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8067</v>
      </c>
      <c r="C154" s="19">
        <v>9797071432</v>
      </c>
      <c r="D154" s="19" t="s">
        <v>8123</v>
      </c>
      <c r="E154" s="19" t="s">
        <v>8089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8141</v>
      </c>
      <c r="C155" s="19">
        <v>7780804850</v>
      </c>
      <c r="D155" s="19" t="s">
        <v>8142</v>
      </c>
      <c r="E155" s="19" t="s">
        <v>8119</v>
      </c>
      <c r="F155" s="21">
        <v>46029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7711</v>
      </c>
      <c r="C156" s="19">
        <v>9622020576</v>
      </c>
      <c r="D156" s="19" t="s">
        <v>8147</v>
      </c>
      <c r="E156" s="19"/>
      <c r="F156" s="21">
        <v>46028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2915</v>
      </c>
      <c r="C157" s="19">
        <v>9596187640</v>
      </c>
      <c r="D157" s="19" t="s">
        <v>8146</v>
      </c>
      <c r="E157" s="19" t="s">
        <v>7862</v>
      </c>
      <c r="F157" s="21">
        <v>46029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8133</v>
      </c>
      <c r="C158" s="19">
        <v>7889666298</v>
      </c>
      <c r="D158" s="19" t="s">
        <v>8134</v>
      </c>
      <c r="E158" s="19" t="s">
        <v>7457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8045</v>
      </c>
      <c r="C159" s="19">
        <v>9906284454</v>
      </c>
      <c r="D159" s="19" t="s">
        <v>8135</v>
      </c>
      <c r="E159" s="19" t="s">
        <v>8086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7950</v>
      </c>
      <c r="C160" s="19">
        <v>9419004025</v>
      </c>
      <c r="D160" s="19" t="s">
        <v>8149</v>
      </c>
      <c r="E160" s="19" t="s">
        <v>8016</v>
      </c>
      <c r="F160" s="21">
        <v>46026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8007</v>
      </c>
      <c r="C161" s="19">
        <v>7889441591</v>
      </c>
      <c r="D161" s="19" t="s">
        <v>8143</v>
      </c>
      <c r="E161" s="19" t="s">
        <v>8008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2841</v>
      </c>
      <c r="C162" s="19">
        <v>7006960324</v>
      </c>
      <c r="D162" s="19" t="s">
        <v>8140</v>
      </c>
      <c r="E162" s="19" t="s">
        <v>7867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7866</v>
      </c>
      <c r="C163" s="19">
        <v>9906759399</v>
      </c>
      <c r="D163" s="19" t="s">
        <v>8139</v>
      </c>
      <c r="E163" s="19" t="s">
        <v>7868</v>
      </c>
      <c r="F163" s="21">
        <v>46029</v>
      </c>
      <c r="G163" s="21" t="s">
        <v>341</v>
      </c>
      <c r="H163" s="19" t="s">
        <v>6665</v>
      </c>
    </row>
    <row r="164" spans="1:8" ht="15.75" x14ac:dyDescent="0.25">
      <c r="A164" s="19">
        <f t="shared" si="2"/>
        <v>162</v>
      </c>
      <c r="B164" s="19" t="s">
        <v>7974</v>
      </c>
      <c r="C164" s="19">
        <v>9149592772</v>
      </c>
      <c r="D164" s="19" t="s">
        <v>8138</v>
      </c>
      <c r="E164" s="19" t="s">
        <v>7976</v>
      </c>
      <c r="F164" s="21">
        <v>46029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7990</v>
      </c>
      <c r="C165" s="19">
        <v>9596382727</v>
      </c>
      <c r="D165" s="19" t="s">
        <v>8137</v>
      </c>
      <c r="E165" s="19" t="s">
        <v>7992</v>
      </c>
      <c r="F165" s="21">
        <v>46029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4284</v>
      </c>
      <c r="C166" s="19">
        <v>8899926488</v>
      </c>
      <c r="D166" s="19" t="s">
        <v>8136</v>
      </c>
      <c r="E166" s="19" t="s">
        <v>7987</v>
      </c>
      <c r="F166" s="21">
        <v>46029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6773</v>
      </c>
      <c r="C167" s="19">
        <v>7006274587</v>
      </c>
      <c r="D167" s="19" t="s">
        <v>8175</v>
      </c>
      <c r="E167" s="19" t="s">
        <v>7730</v>
      </c>
      <c r="F167" s="21">
        <v>46029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/>
      <c r="C168" s="19"/>
      <c r="D168" s="19"/>
      <c r="E168" s="19"/>
      <c r="F168" s="21"/>
      <c r="G168" s="21"/>
      <c r="H168" s="19"/>
    </row>
    <row r="169" spans="1:8" ht="15.75" x14ac:dyDescent="0.25">
      <c r="A169" s="19">
        <f t="shared" si="2"/>
        <v>167</v>
      </c>
      <c r="B169" s="19"/>
      <c r="C169" s="19"/>
      <c r="D169" s="19"/>
      <c r="E169" s="19"/>
      <c r="F169" s="21"/>
      <c r="G169" s="21"/>
      <c r="H169" s="19"/>
    </row>
    <row r="170" spans="1:8" ht="15.75" x14ac:dyDescent="0.25">
      <c r="A170" s="19">
        <f t="shared" si="2"/>
        <v>168</v>
      </c>
      <c r="B170" s="19"/>
      <c r="C170" s="19"/>
      <c r="D170" s="19"/>
      <c r="E170" s="19"/>
      <c r="F170" s="21"/>
      <c r="G170" s="21"/>
      <c r="H170" s="19"/>
    </row>
  </sheetData>
  <mergeCells count="1">
    <mergeCell ref="A1:H1"/>
  </mergeCells>
  <conditionalFormatting sqref="B103 E103 B121:E154">
    <cfRule type="expression" dxfId="3" priority="5">
      <formula>CELL("row")=ROW()</formula>
    </cfRule>
  </conditionalFormatting>
  <conditionalFormatting sqref="C103">
    <cfRule type="expression" dxfId="2" priority="4">
      <formula>CELL("row")=ROW()</formula>
    </cfRule>
  </conditionalFormatting>
  <conditionalFormatting sqref="C122">
    <cfRule type="expression" dxfId="1" priority="1">
      <formula>CELL("row")=ROW()</formula>
    </cfRule>
  </conditionalFormatting>
  <conditionalFormatting sqref="E122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2026-01-07T11:17:05Z</dcterms:modified>
</cp:coreProperties>
</file>