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22C6BEF-FCBD-443F-8247-98256AEF9C3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94" i="4" l="1"/>
  <c r="A591" i="7" l="1"/>
  <c r="A592" i="7"/>
  <c r="A593" i="7"/>
  <c r="A594" i="7"/>
  <c r="A595" i="7"/>
  <c r="A596" i="7"/>
  <c r="A597" i="7"/>
  <c r="A598" i="7"/>
  <c r="A599" i="7"/>
  <c r="H895" i="4"/>
  <c r="H896" i="4"/>
  <c r="H897" i="4"/>
  <c r="H898" i="4"/>
  <c r="H899" i="4"/>
  <c r="H900" i="4"/>
  <c r="H901" i="4"/>
  <c r="H902" i="4"/>
  <c r="H903" i="4"/>
  <c r="H904" i="4"/>
  <c r="H905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H889" i="4" l="1"/>
  <c r="H890" i="4"/>
  <c r="H891" i="4"/>
  <c r="H892" i="4"/>
  <c r="H893" i="4"/>
  <c r="A889" i="4"/>
  <c r="A890" i="4"/>
  <c r="A891" i="4"/>
  <c r="A892" i="4"/>
  <c r="A893" i="4"/>
  <c r="H884" i="4" l="1"/>
  <c r="H883" i="4" l="1"/>
  <c r="H885" i="4"/>
  <c r="H886" i="4"/>
  <c r="H888" i="4"/>
  <c r="A883" i="4"/>
  <c r="A884" i="4"/>
  <c r="A885" i="4"/>
  <c r="A886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8" i="4"/>
  <c r="H877" i="4"/>
  <c r="H879" i="4"/>
  <c r="H880" i="4"/>
  <c r="H881" i="4"/>
  <c r="H882" i="4"/>
  <c r="A876" i="4"/>
  <c r="A878" i="4"/>
  <c r="A877" i="4"/>
  <c r="A879" i="4"/>
  <c r="A880" i="4"/>
  <c r="A881" i="4"/>
  <c r="A882" i="4"/>
  <c r="H870" i="4" l="1"/>
  <c r="H871" i="4"/>
  <c r="H872" i="4"/>
  <c r="H873" i="4"/>
  <c r="H874" i="4"/>
  <c r="H875" i="4"/>
  <c r="H887" i="4"/>
  <c r="A870" i="4"/>
  <c r="A871" i="4"/>
  <c r="A872" i="4"/>
  <c r="A873" i="4"/>
  <c r="A874" i="4"/>
  <c r="A875" i="4"/>
  <c r="A887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<sst xmlns="http://schemas.openxmlformats.org/spreadsheetml/2006/main" count="28623" uniqueCount="11522">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</sst>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05" totalsRowShown="0" headerRowDxfId="86" dataDxfId="85">
  <autoFilter ref="A1:R905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1" dataDxfId="40">
  <autoFilter ref="A2:I15" xr:uid="{74ED0DA7-B29F-4043-B63E-2DC322D6021E}"/>
  <tableColumns count="9">
    <tableColumn id="1" xr3:uid="{245016D5-DEB3-4F3E-B449-3096C2EF947B}" name="S.No." dataDxfId="39">
      <calculatedColumnFormula>ROW()-2</calculatedColumnFormula>
    </tableColumn>
    <tableColumn id="2" xr3:uid="{77ED4F47-8FDC-4F18-AB35-3830D899313B}" name="Dated" dataDxfId="38"/>
    <tableColumn id="3" xr3:uid="{67393A8B-58A2-4A4E-AA68-362B9B4F4E28}" name="Vehicle Num." dataDxfId="37"/>
    <tableColumn id="4" xr3:uid="{2C031EFD-E44B-468B-BEF0-3C97412F5E2E}" name="Name" dataDxfId="36"/>
    <tableColumn id="5" xr3:uid="{73873638-799E-44F5-B857-93DAE5E0F2FF}" name="Payment Mode" dataDxfId="35"/>
    <tableColumn id="6" xr3:uid="{BFB6E8F7-43C7-4B39-8FF0-E41A5EA5B2D3}" name="Trans Id." dataDxfId="34"/>
    <tableColumn id="8" xr3:uid="{3B1BF0B9-13BC-4A4E-B215-A3056576D199}" name="Trans. Date" dataDxfId="33"/>
    <tableColumn id="9" xr3:uid="{F64CF3FC-8352-46AE-80D1-01DDCE0247AC}" name="Amount" dataDxfId="32"/>
    <tableColumn id="7" xr3:uid="{22AF1F96-D5EA-48BA-A958-A42C203B5287}" name="Remark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9" totalsRowShown="0" headerRowDxfId="30" dataDxfId="29">
  <autoFilter ref="A2:H59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8"/>
    <tableColumn id="11" xr3:uid="{7AA66E15-5D81-45A6-A480-BC2F7EFDEB4C}" name="Name" dataDxfId="27"/>
    <tableColumn id="10" xr3:uid="{DA1D923C-25B3-4F76-823C-435E6464FF55}" name="Contact" dataDxfId="26"/>
    <tableColumn id="2" xr3:uid="{5FEBD558-5EB7-4421-BA25-DCAC1134B168}" name="Barcode No." dataDxfId="25"/>
    <tableColumn id="12" xr3:uid="{77758C8B-F2C8-47C0-B104-570729F9693B}" name="Reg Num" dataDxfId="24"/>
    <tableColumn id="5" xr3:uid="{9AC97A3F-3009-4A59-ACCF-A178780E6F61}" name="Date" dataDxfId="23"/>
    <tableColumn id="7" xr3:uid="{82C8F4C5-8489-4228-83CC-0B9666328CDD}" name="CHANNEL" dataDxfId="22"/>
    <tableColumn id="8" xr3:uid="{DDF1FC61-A0D6-46E9-9515-6DDC5AB1E932}" name="Statu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73"/>
  <sheetViews>
    <sheetView tabSelected="1" topLeftCell="A871" zoomScale="96" zoomScaleNormal="96" workbookViewId="0">
      <selection activeCell="N886" sqref="N8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60">
        <f t="shared" si="0"/>
        <v>3</v>
      </c>
      <c r="B4" s="54"/>
      <c r="C4" s="54" t="s">
        <v>204</v>
      </c>
      <c r="D4" s="54"/>
      <c r="E4" s="54" t="s">
        <v>203</v>
      </c>
      <c r="F4" s="54" t="s">
        <v>65</v>
      </c>
      <c r="G4" s="54" t="s">
        <v>197</v>
      </c>
      <c r="H4" s="55" t="str">
        <f t="shared" si="1"/>
        <v>BUDGAM</v>
      </c>
      <c r="I4" s="54" t="s">
        <v>202</v>
      </c>
      <c r="J4" s="56">
        <v>45930</v>
      </c>
      <c r="K4" s="57"/>
      <c r="L4" s="54" t="s">
        <v>68</v>
      </c>
      <c r="M4" s="58" t="s">
        <v>6412</v>
      </c>
      <c r="N4" s="56">
        <v>45968</v>
      </c>
      <c r="O4" s="54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11329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897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11329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 t="s">
        <v>23</v>
      </c>
      <c r="P868" s="24">
        <v>46196</v>
      </c>
      <c r="Q868" s="21" t="s">
        <v>6454</v>
      </c>
      <c r="R868" s="21" t="s">
        <v>11455</v>
      </c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11405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 t="s">
        <v>7607</v>
      </c>
      <c r="N873" s="22">
        <v>46196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11391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 t="s">
        <v>7943</v>
      </c>
      <c r="N875" s="22">
        <v>46197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11385</v>
      </c>
      <c r="C876" s="21" t="s">
        <v>11382</v>
      </c>
      <c r="D876" s="21" t="s">
        <v>11383</v>
      </c>
      <c r="E876" s="21" t="s">
        <v>11384</v>
      </c>
      <c r="F876" s="21" t="s">
        <v>3126</v>
      </c>
      <c r="G876" s="21" t="s">
        <v>6469</v>
      </c>
      <c r="H876" s="21" t="str">
        <f t="shared" ref="H876:H882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11386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11392</v>
      </c>
      <c r="C877" s="21" t="s">
        <v>11393</v>
      </c>
      <c r="D877" s="21" t="s">
        <v>11394</v>
      </c>
      <c r="E877" s="21" t="s">
        <v>11395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11399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11387</v>
      </c>
      <c r="C878" s="21" t="s">
        <v>11388</v>
      </c>
      <c r="D878" s="21" t="s">
        <v>11389</v>
      </c>
      <c r="E878" s="21" t="s">
        <v>11390</v>
      </c>
      <c r="F878" s="21" t="s">
        <v>98</v>
      </c>
      <c r="G878" s="21" t="s">
        <v>197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SRINAGAR</v>
      </c>
      <c r="I878" s="21" t="s">
        <v>11408</v>
      </c>
      <c r="J878" s="22">
        <v>46192</v>
      </c>
      <c r="K878" s="21">
        <v>9906594726</v>
      </c>
      <c r="L878" s="21" t="s">
        <v>68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11411</v>
      </c>
      <c r="C879" s="21" t="s">
        <v>11412</v>
      </c>
      <c r="D879" s="21" t="s">
        <v>11413</v>
      </c>
      <c r="E879" s="21" t="s">
        <v>11414</v>
      </c>
      <c r="F879" s="21" t="s">
        <v>12</v>
      </c>
      <c r="G879" s="21" t="s">
        <v>178</v>
      </c>
      <c r="H879" s="21" t="str">
        <f t="shared" si="29"/>
        <v>SRINAGAR</v>
      </c>
      <c r="I879" s="21" t="s">
        <v>11415</v>
      </c>
      <c r="J879" s="22">
        <v>46193</v>
      </c>
      <c r="K879" s="21">
        <v>8899566980</v>
      </c>
      <c r="L879" s="21" t="s">
        <v>2244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11424</v>
      </c>
      <c r="C880" s="21" t="s">
        <v>11425</v>
      </c>
      <c r="D880" s="21" t="s">
        <v>11426</v>
      </c>
      <c r="E880" s="21" t="s">
        <v>1137</v>
      </c>
      <c r="F880" s="21" t="s">
        <v>36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9596384041</v>
      </c>
      <c r="L880" s="21" t="s">
        <v>8591</v>
      </c>
      <c r="M880" s="23"/>
      <c r="N880" s="22"/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11429</v>
      </c>
      <c r="C881" s="21" t="s">
        <v>11430</v>
      </c>
      <c r="D881" s="21" t="s">
        <v>11431</v>
      </c>
      <c r="E881" s="21" t="s">
        <v>11432</v>
      </c>
      <c r="F881" s="21" t="s">
        <v>5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9622907844</v>
      </c>
      <c r="L881" s="21" t="s">
        <v>7228</v>
      </c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11435</v>
      </c>
      <c r="C882" s="21" t="s">
        <v>11436</v>
      </c>
      <c r="D882" s="21" t="s">
        <v>11437</v>
      </c>
      <c r="E882" s="21" t="s">
        <v>11438</v>
      </c>
      <c r="F882" s="21" t="s">
        <v>12</v>
      </c>
      <c r="G882" s="21" t="s">
        <v>178</v>
      </c>
      <c r="H882" s="21" t="str">
        <f t="shared" si="29"/>
        <v>PULWAMA</v>
      </c>
      <c r="I882" s="21" t="s">
        <v>11439</v>
      </c>
      <c r="J882" s="22">
        <v>46195</v>
      </c>
      <c r="K882" s="21">
        <v>7006623287</v>
      </c>
      <c r="L882" s="21" t="s">
        <v>9902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11440</v>
      </c>
      <c r="C883" s="21" t="s">
        <v>11441</v>
      </c>
      <c r="D883" s="21" t="s">
        <v>11442</v>
      </c>
      <c r="E883" s="21" t="s">
        <v>11443</v>
      </c>
      <c r="F883" s="21" t="s">
        <v>36</v>
      </c>
      <c r="G883" s="21" t="s">
        <v>171</v>
      </c>
      <c r="H883" s="21" t="str">
        <f t="shared" ref="H883:H888" si="30">IF(LEFT(I883,4)="JK13","PULWAMA",IF(LEFT(I883,4)="JK01","SRINAGAR",IF(LEFT(I883,4)="JK04","BUDGAM",IF(LEFT(I883,4)="JK03","ANANTNAG",IF(LEFT(I883,4)="LA01","KARGIL",IF(LEFT(I883,4)="JK05","BARAMULLA",IF(LEFT(I883,4)="26BH","BHARAT",IF(LEFT(I883,4)="25BH","BHARAT",IF(LEFT(I883,4)="JK12","POONCH",IF(LEFT(I883,4)="JK16","GANDERBAL",IF(LEFT(I883,4)="JK18","KULGAM",IF(LEFT(I883,4)="JK22","SHOPIAN",IF(LEFT(I883,4)="JK02","JAMMU",IF(LEFT(I883,4)="JK09","KUPWARA",IF(LEFT(I883,4)="JK15","BANDIPORA",IF(LEFT(I883,4)="JK17","KISHTWAR",IF(LEFT(I883,4)="LA01","KARGIL",IF(LEFT(I883,1)="T","TEMP","NEW"))))))))))))))))))</f>
        <v>PULWAMA</v>
      </c>
      <c r="I883" s="21" t="s">
        <v>11454</v>
      </c>
      <c r="J883" s="22">
        <v>46196</v>
      </c>
      <c r="K883" s="21">
        <v>9149740071</v>
      </c>
      <c r="L883" s="21" t="s">
        <v>7689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 t="s">
        <v>11447</v>
      </c>
      <c r="C884" s="21" t="s">
        <v>11444</v>
      </c>
      <c r="D884" s="21" t="s">
        <v>11445</v>
      </c>
      <c r="E884" s="21" t="s">
        <v>11446</v>
      </c>
      <c r="F884" s="21" t="s">
        <v>65</v>
      </c>
      <c r="G884" s="21" t="s">
        <v>197</v>
      </c>
      <c r="H884" s="21" t="str">
        <f t="shared" si="30"/>
        <v>KUPWARA</v>
      </c>
      <c r="I884" s="21" t="s">
        <v>11453</v>
      </c>
      <c r="J884" s="22">
        <v>46196</v>
      </c>
      <c r="K884" s="21">
        <v>9797226096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11451</v>
      </c>
      <c r="C885" s="21" t="s">
        <v>11448</v>
      </c>
      <c r="D885" s="21" t="s">
        <v>11449</v>
      </c>
      <c r="E885" s="21" t="s">
        <v>11450</v>
      </c>
      <c r="F885" s="21" t="s">
        <v>36</v>
      </c>
      <c r="G885" s="21" t="s">
        <v>196</v>
      </c>
      <c r="H885" s="21" t="str">
        <f t="shared" si="30"/>
        <v>ANANTNAG</v>
      </c>
      <c r="I885" s="21" t="s">
        <v>11452</v>
      </c>
      <c r="J885" s="22">
        <v>46196</v>
      </c>
      <c r="K885" s="21">
        <v>9797131308</v>
      </c>
      <c r="L885" s="21" t="s">
        <v>26</v>
      </c>
      <c r="M885" s="23"/>
      <c r="N885" s="22"/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11458</v>
      </c>
      <c r="C886" s="21" t="s">
        <v>11459</v>
      </c>
      <c r="D886" s="21" t="s">
        <v>11460</v>
      </c>
      <c r="E886" s="21" t="s">
        <v>11461</v>
      </c>
      <c r="F886" s="21" t="s">
        <v>7391</v>
      </c>
      <c r="G886" s="21" t="s">
        <v>178</v>
      </c>
      <c r="H886" s="21" t="str">
        <f t="shared" si="30"/>
        <v>SRINAGAR</v>
      </c>
      <c r="I886" s="21" t="s">
        <v>11462</v>
      </c>
      <c r="J886" s="22">
        <v>46196</v>
      </c>
      <c r="K886" s="21">
        <v>9906522960</v>
      </c>
      <c r="L886" s="21" t="s">
        <v>73</v>
      </c>
      <c r="M886" s="23" t="s">
        <v>7883</v>
      </c>
      <c r="N886" s="22">
        <v>46197</v>
      </c>
      <c r="O886" s="21" t="s">
        <v>23</v>
      </c>
      <c r="P886" s="24">
        <v>46196</v>
      </c>
      <c r="Q886" s="21" t="s">
        <v>6454</v>
      </c>
      <c r="R886" s="21"/>
    </row>
    <row r="887" spans="1:18" x14ac:dyDescent="0.25">
      <c r="A887" s="21">
        <f t="shared" si="26"/>
        <v>886</v>
      </c>
      <c r="B887" s="21" t="s">
        <v>11379</v>
      </c>
      <c r="C887" s="21" t="s">
        <v>11378</v>
      </c>
      <c r="D887" s="21" t="s">
        <v>11381</v>
      </c>
      <c r="E887" s="21" t="s">
        <v>11377</v>
      </c>
      <c r="F887" s="21" t="s">
        <v>98</v>
      </c>
      <c r="G887" s="21" t="s">
        <v>171</v>
      </c>
      <c r="H887" s="21" t="str">
        <f>IF(LEFT(I887,4)="JK13","PULWAMA",IF(LEFT(I887,4)="JK01","SRINAGAR",IF(LEFT(I887,4)="JK04","BUDGAM",IF(LEFT(I887,4)="JK03","ANANTNAG",IF(LEFT(I887,4)="LA01","KARGIL",IF(LEFT(I887,4)="JK05","BARAMULLA",IF(LEFT(I887,4)="26BH","BHARAT",IF(LEFT(I887,4)="25BH","BHARAT",IF(LEFT(I887,4)="JK12","POONCH",IF(LEFT(I887,4)="JK16","GANDERBAL",IF(LEFT(I887,4)="JK18","KULGAM",IF(LEFT(I887,4)="JK22","SHOPIAN",IF(LEFT(I887,4)="JK02","JAMMU",IF(LEFT(I887,4)="JK09","KUPWARA",IF(LEFT(I887,4)="JK15","BANDIPORA",IF(LEFT(I887,4)="JK17","KISHTWAR",IF(LEFT(I887,4)="LA01","KARGIL",IF(LEFT(I887,1)="T","TEMP","NEW"))))))))))))))))))</f>
        <v>BHARAT</v>
      </c>
      <c r="I887" s="21" t="s">
        <v>11463</v>
      </c>
      <c r="J887" s="22">
        <v>46192</v>
      </c>
      <c r="K887" s="21">
        <v>9978492818</v>
      </c>
      <c r="L887" s="21" t="s">
        <v>26</v>
      </c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 t="s">
        <v>11464</v>
      </c>
      <c r="C888" s="21" t="s">
        <v>11465</v>
      </c>
      <c r="D888" s="21" t="s">
        <v>11466</v>
      </c>
      <c r="E888" s="21" t="s">
        <v>11467</v>
      </c>
      <c r="F888" s="21" t="s">
        <v>98</v>
      </c>
      <c r="G888" s="21" t="s">
        <v>171</v>
      </c>
      <c r="H888" s="21" t="str">
        <f t="shared" si="30"/>
        <v>SHOPIAN</v>
      </c>
      <c r="I888" s="21" t="s">
        <v>11469</v>
      </c>
      <c r="J888" s="22">
        <v>46196</v>
      </c>
      <c r="K888" s="21">
        <v>7006467400</v>
      </c>
      <c r="L888" s="21" t="s">
        <v>11468</v>
      </c>
      <c r="M888" s="23"/>
      <c r="N888" s="22"/>
      <c r="O888" s="21" t="s">
        <v>23</v>
      </c>
      <c r="P888" s="24">
        <v>46196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11474</v>
      </c>
      <c r="C889" s="21" t="s">
        <v>11471</v>
      </c>
      <c r="D889" s="21" t="s">
        <v>11472</v>
      </c>
      <c r="E889" s="21" t="s">
        <v>11473</v>
      </c>
      <c r="F889" s="21" t="s">
        <v>12</v>
      </c>
      <c r="G889" s="21" t="s">
        <v>197</v>
      </c>
      <c r="H889" s="21" t="str">
        <f t="shared" ref="H889:H894" si="31">IF(LEFT(I889,4)="JK13","PULWAMA",IF(LEFT(I889,4)="JK01","SRINAGAR",IF(LEFT(I889,4)="JK04","BUDGAM",IF(LEFT(I889,4)="JK03","ANANTNAG",IF(LEFT(I889,4)="LA01","KARGIL",IF(LEFT(I889,4)="JK05","BARAMULLA",IF(LEFT(I889,4)="26BH","BHARAT",IF(LEFT(I889,4)="25BH","BHARAT",IF(LEFT(I889,4)="JK12","POONCH",IF(LEFT(I889,4)="JK16","GANDERBAL",IF(LEFT(I889,4)="JK18","KULGAM",IF(LEFT(I889,4)="JK22","SHOPIAN",IF(LEFT(I889,4)="JK02","JAMMU",IF(LEFT(I889,4)="JK09","KUPWARA",IF(LEFT(I889,4)="JK15","BANDIPORA",IF(LEFT(I889,4)="JK17","KISHTWAR",IF(LEFT(I889,4)="LA01","KARGIL",IF(LEFT(I889,1)="T","TEMP","NEW"))))))))))))))))))</f>
        <v>SRINAGAR</v>
      </c>
      <c r="I889" s="21" t="s">
        <v>11489</v>
      </c>
      <c r="J889" s="22">
        <v>46196</v>
      </c>
      <c r="K889" s="21">
        <v>9419944287</v>
      </c>
      <c r="L889" s="21" t="s">
        <v>10162</v>
      </c>
      <c r="M889" s="23"/>
      <c r="N889" s="22"/>
      <c r="O889" s="21"/>
      <c r="P889" s="24"/>
      <c r="Q889" s="21"/>
      <c r="R889" s="21"/>
    </row>
    <row r="890" spans="1:18" x14ac:dyDescent="0.25">
      <c r="A890" s="21">
        <f t="shared" si="26"/>
        <v>889</v>
      </c>
      <c r="B890" s="21" t="s">
        <v>11478</v>
      </c>
      <c r="C890" s="21" t="s">
        <v>11475</v>
      </c>
      <c r="D890" s="21" t="s">
        <v>11476</v>
      </c>
      <c r="E890" s="21" t="s">
        <v>11477</v>
      </c>
      <c r="F890" s="21" t="s">
        <v>12</v>
      </c>
      <c r="G890" s="21" t="s">
        <v>178</v>
      </c>
      <c r="H890" s="21" t="str">
        <f t="shared" si="31"/>
        <v>ANANTNAG</v>
      </c>
      <c r="I890" s="21" t="s">
        <v>11487</v>
      </c>
      <c r="J890" s="22">
        <v>46196</v>
      </c>
      <c r="K890" s="21">
        <v>9070193564</v>
      </c>
      <c r="L890" s="21" t="s">
        <v>26</v>
      </c>
      <c r="M890" s="23"/>
      <c r="N890" s="22"/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11482</v>
      </c>
      <c r="C891" s="21" t="s">
        <v>11479</v>
      </c>
      <c r="D891" s="21" t="s">
        <v>11480</v>
      </c>
      <c r="E891" s="21" t="s">
        <v>11481</v>
      </c>
      <c r="F891" s="21" t="s">
        <v>12</v>
      </c>
      <c r="G891" s="21" t="s">
        <v>171</v>
      </c>
      <c r="H891" s="21" t="str">
        <f t="shared" si="31"/>
        <v>SRINAGAR</v>
      </c>
      <c r="I891" s="21" t="s">
        <v>11488</v>
      </c>
      <c r="J891" s="22">
        <v>46196</v>
      </c>
      <c r="K891" s="21">
        <v>7006231817</v>
      </c>
      <c r="L891" s="21" t="s">
        <v>191</v>
      </c>
      <c r="M891" s="23" t="s">
        <v>7606</v>
      </c>
      <c r="N891" s="22">
        <v>46197</v>
      </c>
      <c r="O891" s="21" t="s">
        <v>23</v>
      </c>
      <c r="P891" s="24">
        <v>46197</v>
      </c>
      <c r="Q891" s="21" t="s">
        <v>6454</v>
      </c>
      <c r="R891" s="21"/>
    </row>
    <row r="892" spans="1:18" x14ac:dyDescent="0.25">
      <c r="A892" s="21">
        <f t="shared" si="26"/>
        <v>891</v>
      </c>
      <c r="B892" s="21" t="s">
        <v>11490</v>
      </c>
      <c r="C892" s="21" t="s">
        <v>11491</v>
      </c>
      <c r="D892" s="21" t="s">
        <v>11492</v>
      </c>
      <c r="E892" s="21" t="s">
        <v>11493</v>
      </c>
      <c r="F892" s="21" t="s">
        <v>65</v>
      </c>
      <c r="G892" s="21" t="s">
        <v>196</v>
      </c>
      <c r="H892" s="21" t="str">
        <f t="shared" si="31"/>
        <v>SRINAGAR</v>
      </c>
      <c r="I892" s="21" t="s">
        <v>11502</v>
      </c>
      <c r="J892" s="22">
        <v>46197</v>
      </c>
      <c r="K892" s="21">
        <v>9622647542</v>
      </c>
      <c r="L892" s="21" t="s">
        <v>2168</v>
      </c>
      <c r="M892" s="23"/>
      <c r="N892" s="22"/>
      <c r="O892" s="21"/>
      <c r="P892" s="24"/>
      <c r="Q892" s="21"/>
      <c r="R892" s="21" t="s">
        <v>11500</v>
      </c>
    </row>
    <row r="893" spans="1:18" x14ac:dyDescent="0.25">
      <c r="A893" s="21">
        <f t="shared" si="26"/>
        <v>892</v>
      </c>
      <c r="B893" s="21" t="s">
        <v>11497</v>
      </c>
      <c r="C893" s="21" t="s">
        <v>11494</v>
      </c>
      <c r="D893" s="21" t="s">
        <v>11495</v>
      </c>
      <c r="E893" s="21" t="s">
        <v>11496</v>
      </c>
      <c r="F893" s="21" t="s">
        <v>234</v>
      </c>
      <c r="G893" s="21" t="s">
        <v>178</v>
      </c>
      <c r="H893" s="21" t="str">
        <f t="shared" si="31"/>
        <v>SRINAGAR</v>
      </c>
      <c r="I893" s="21" t="s">
        <v>11501</v>
      </c>
      <c r="J893" s="22">
        <v>46197</v>
      </c>
      <c r="K893" s="21">
        <v>9419093820</v>
      </c>
      <c r="L893" s="21" t="s">
        <v>1513</v>
      </c>
      <c r="M893" s="23"/>
      <c r="N893" s="22"/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11504</v>
      </c>
      <c r="D894" s="21" t="s">
        <v>11505</v>
      </c>
      <c r="E894" s="21" t="s">
        <v>1946</v>
      </c>
      <c r="F894" s="21" t="s">
        <v>5</v>
      </c>
      <c r="G894" s="21" t="s">
        <v>197</v>
      </c>
      <c r="H894" s="21" t="str">
        <f t="shared" si="31"/>
        <v>BANDIPORA</v>
      </c>
      <c r="I894" s="21" t="s">
        <v>11510</v>
      </c>
      <c r="J894" s="56">
        <v>46197</v>
      </c>
      <c r="K894" s="21">
        <v>7006689027</v>
      </c>
      <c r="L894" s="21" t="s">
        <v>6823</v>
      </c>
      <c r="M894" s="58"/>
      <c r="N894" s="56"/>
      <c r="O894" s="54" t="s">
        <v>23</v>
      </c>
      <c r="P894" s="59">
        <v>46197</v>
      </c>
      <c r="Q894" s="54" t="s">
        <v>6454</v>
      </c>
      <c r="R894" s="54"/>
    </row>
    <row r="895" spans="1:18" x14ac:dyDescent="0.25">
      <c r="A895" s="21">
        <f t="shared" si="26"/>
        <v>894</v>
      </c>
      <c r="B895" s="21" t="s">
        <v>11506</v>
      </c>
      <c r="C895" s="21" t="s">
        <v>11508</v>
      </c>
      <c r="D895" s="21" t="s">
        <v>11509</v>
      </c>
      <c r="E895" s="21" t="s">
        <v>11507</v>
      </c>
      <c r="F895" s="21" t="s">
        <v>12</v>
      </c>
      <c r="G895" s="21" t="s">
        <v>178</v>
      </c>
      <c r="H895" s="55" t="str">
        <f t="shared" ref="H894:H905" si="32">IF(LEFT(I895,4)="JK13","PULWAMA",IF(LEFT(I895,4)="JK01","SRINAGAR",IF(LEFT(I895,4)="JK04","BUDGAM",IF(LEFT(I895,4)="JK03","ANANTNAG",IF(LEFT(I895,4)="LA01","KARGIL",IF(LEFT(I895,4)="JK05","BARAMULLA",IF(LEFT(I895,4)="26BH","BHARAT",IF(LEFT(I895,4)="25BH","BHARAT",IF(LEFT(I895,4)="JK12","POONCH",IF(LEFT(I895,4)="JK16","GANDERBAL",IF(LEFT(I895,4)="JK18","KULGAM",IF(LEFT(I895,4)="JK22","SHOPIAN",IF(LEFT(I895,4)="JK02","JAMMU",IF(LEFT(I895,4)="JK09","KUPWARA",IF(LEFT(I895,4)="JK15","BANDIPORA",IF(LEFT(I895,4)="JK17","KISHTWAR",IF(LEFT(I895,4)="LA01","KARGIL",IF(LEFT(I895,1)="T","TEMP","NEW"))))))))))))))))))</f>
        <v>BANDIPORA</v>
      </c>
      <c r="I895" s="21" t="s">
        <v>11511</v>
      </c>
      <c r="J895" s="56">
        <v>46197</v>
      </c>
      <c r="K895" s="21">
        <v>7889883897</v>
      </c>
      <c r="L895" s="21" t="s">
        <v>6823</v>
      </c>
      <c r="M895" s="58"/>
      <c r="N895" s="56"/>
      <c r="O895" s="54" t="s">
        <v>23</v>
      </c>
      <c r="P895" s="59">
        <v>46197</v>
      </c>
      <c r="Q895" s="54" t="s">
        <v>6454</v>
      </c>
      <c r="R895" s="54"/>
    </row>
    <row r="896" spans="1:18" x14ac:dyDescent="0.25">
      <c r="A896" s="21">
        <f t="shared" si="26"/>
        <v>895</v>
      </c>
      <c r="B896" s="21" t="s">
        <v>11514</v>
      </c>
      <c r="C896" s="21" t="s">
        <v>11512</v>
      </c>
      <c r="D896" s="21" t="s">
        <v>11513</v>
      </c>
      <c r="E896" s="21" t="s">
        <v>683</v>
      </c>
      <c r="F896" s="21" t="s">
        <v>3126</v>
      </c>
      <c r="G896" s="21" t="s">
        <v>197</v>
      </c>
      <c r="H896" s="55" t="str">
        <f t="shared" si="32"/>
        <v>BUDGAM</v>
      </c>
      <c r="I896" s="21" t="s">
        <v>11521</v>
      </c>
      <c r="J896" s="56">
        <v>46197</v>
      </c>
      <c r="K896" s="21">
        <v>7006246665</v>
      </c>
      <c r="L896" s="54" t="s">
        <v>8857</v>
      </c>
      <c r="M896" s="58"/>
      <c r="N896" s="56"/>
      <c r="O896" s="54"/>
      <c r="P896" s="59"/>
      <c r="Q896" s="54"/>
      <c r="R896" s="54"/>
    </row>
    <row r="897" spans="1:18" x14ac:dyDescent="0.25">
      <c r="A897" s="21">
        <f t="shared" si="26"/>
        <v>896</v>
      </c>
      <c r="B897" s="21"/>
      <c r="C897" s="21"/>
      <c r="D897" s="21"/>
      <c r="E897" s="21"/>
      <c r="F897" s="21"/>
      <c r="G897" s="21"/>
      <c r="H897" s="55" t="str">
        <f t="shared" si="32"/>
        <v>NEW</v>
      </c>
      <c r="I897" s="54"/>
      <c r="J897" s="56"/>
      <c r="K897" s="57"/>
      <c r="L897" s="54"/>
      <c r="M897" s="58"/>
      <c r="N897" s="56"/>
      <c r="O897" s="54"/>
      <c r="P897" s="59"/>
      <c r="Q897" s="54"/>
      <c r="R897" s="54"/>
    </row>
    <row r="898" spans="1:18" x14ac:dyDescent="0.25">
      <c r="A898" s="21">
        <f t="shared" ref="A898:A905" si="33">ROW()-1</f>
        <v>897</v>
      </c>
      <c r="B898" s="21"/>
      <c r="C898" s="21"/>
      <c r="D898" s="21"/>
      <c r="E898" s="21"/>
      <c r="F898" s="21"/>
      <c r="G898" s="21"/>
      <c r="H898" s="55" t="str">
        <f t="shared" si="32"/>
        <v>NEW</v>
      </c>
      <c r="I898" s="54"/>
      <c r="J898" s="56"/>
      <c r="K898" s="57"/>
      <c r="L898" s="54"/>
      <c r="M898" s="58"/>
      <c r="N898" s="56"/>
      <c r="O898" s="54"/>
      <c r="P898" s="59"/>
      <c r="Q898" s="54"/>
      <c r="R898" s="54"/>
    </row>
    <row r="899" spans="1:18" x14ac:dyDescent="0.25">
      <c r="A899" s="21">
        <f t="shared" si="33"/>
        <v>898</v>
      </c>
      <c r="B899" s="54"/>
      <c r="C899" s="54"/>
      <c r="D899" s="54"/>
      <c r="E899" s="54"/>
      <c r="F899" s="54"/>
      <c r="G899" s="54"/>
      <c r="H899" s="55" t="str">
        <f t="shared" si="32"/>
        <v>NEW</v>
      </c>
      <c r="I899" s="54"/>
      <c r="J899" s="56"/>
      <c r="K899" s="57"/>
      <c r="L899" s="54"/>
      <c r="M899" s="58"/>
      <c r="N899" s="56"/>
      <c r="O899" s="54"/>
      <c r="P899" s="59"/>
      <c r="Q899" s="54"/>
      <c r="R899" s="54"/>
    </row>
    <row r="900" spans="1:18" x14ac:dyDescent="0.25">
      <c r="A900" s="21">
        <f t="shared" si="33"/>
        <v>899</v>
      </c>
      <c r="B900" s="54"/>
      <c r="C900" s="54"/>
      <c r="D900" s="54"/>
      <c r="E900" s="54"/>
      <c r="F900" s="54"/>
      <c r="G900" s="54"/>
      <c r="H900" s="55" t="str">
        <f t="shared" si="32"/>
        <v>NEW</v>
      </c>
      <c r="I900" s="54"/>
      <c r="J900" s="56"/>
      <c r="K900" s="57"/>
      <c r="L900" s="54"/>
      <c r="M900" s="58"/>
      <c r="N900" s="56"/>
      <c r="O900" s="54"/>
      <c r="P900" s="59"/>
      <c r="Q900" s="54"/>
      <c r="R900" s="54"/>
    </row>
    <row r="901" spans="1:18" x14ac:dyDescent="0.25">
      <c r="A901" s="21">
        <f t="shared" si="33"/>
        <v>900</v>
      </c>
      <c r="B901" s="54"/>
      <c r="C901" s="54"/>
      <c r="D901" s="54"/>
      <c r="E901" s="54"/>
      <c r="F901" s="54"/>
      <c r="G901" s="54"/>
      <c r="H901" s="55" t="str">
        <f t="shared" si="32"/>
        <v>NEW</v>
      </c>
      <c r="I901" s="54"/>
      <c r="J901" s="56"/>
      <c r="K901" s="57"/>
      <c r="L901" s="54"/>
      <c r="M901" s="58"/>
      <c r="N901" s="56"/>
      <c r="O901" s="54"/>
      <c r="P901" s="59"/>
      <c r="Q901" s="54"/>
      <c r="R901" s="54"/>
    </row>
    <row r="902" spans="1:18" x14ac:dyDescent="0.25">
      <c r="A902" s="21">
        <f t="shared" si="33"/>
        <v>901</v>
      </c>
      <c r="B902" s="54"/>
      <c r="C902" s="54"/>
      <c r="D902" s="54"/>
      <c r="E902" s="54"/>
      <c r="F902" s="54"/>
      <c r="G902" s="54"/>
      <c r="H902" s="55" t="str">
        <f t="shared" si="32"/>
        <v>NEW</v>
      </c>
      <c r="I902" s="54"/>
      <c r="J902" s="56"/>
      <c r="K902" s="57"/>
      <c r="L902" s="54"/>
      <c r="M902" s="58"/>
      <c r="N902" s="56"/>
      <c r="O902" s="54"/>
      <c r="P902" s="59"/>
      <c r="Q902" s="54"/>
      <c r="R902" s="54"/>
    </row>
    <row r="903" spans="1:18" x14ac:dyDescent="0.25">
      <c r="A903" s="21">
        <f t="shared" si="33"/>
        <v>902</v>
      </c>
      <c r="B903" s="54"/>
      <c r="C903" s="54"/>
      <c r="D903" s="54"/>
      <c r="E903" s="54"/>
      <c r="F903" s="54"/>
      <c r="G903" s="54"/>
      <c r="H903" s="55" t="str">
        <f t="shared" si="32"/>
        <v>NEW</v>
      </c>
      <c r="I903" s="54"/>
      <c r="J903" s="56"/>
      <c r="K903" s="57"/>
      <c r="L903" s="54"/>
      <c r="M903" s="58"/>
      <c r="N903" s="56"/>
      <c r="O903" s="54"/>
      <c r="P903" s="59"/>
      <c r="Q903" s="54"/>
      <c r="R903" s="54"/>
    </row>
    <row r="904" spans="1:18" x14ac:dyDescent="0.25">
      <c r="A904" s="21">
        <f t="shared" si="33"/>
        <v>903</v>
      </c>
      <c r="B904" s="54"/>
      <c r="C904" s="54"/>
      <c r="D904" s="54"/>
      <c r="E904" s="54"/>
      <c r="F904" s="54"/>
      <c r="G904" s="54"/>
      <c r="H904" s="55" t="str">
        <f t="shared" si="32"/>
        <v>NEW</v>
      </c>
      <c r="I904" s="54"/>
      <c r="J904" s="56"/>
      <c r="K904" s="57"/>
      <c r="L904" s="54"/>
      <c r="M904" s="58"/>
      <c r="N904" s="56"/>
      <c r="O904" s="54"/>
      <c r="P904" s="59"/>
      <c r="Q904" s="54"/>
      <c r="R904" s="54"/>
    </row>
    <row r="905" spans="1:18" x14ac:dyDescent="0.25">
      <c r="A905" s="21">
        <f t="shared" si="33"/>
        <v>904</v>
      </c>
      <c r="B905" s="54"/>
      <c r="C905" s="54"/>
      <c r="D905" s="54"/>
      <c r="E905" s="54"/>
      <c r="F905" s="54"/>
      <c r="G905" s="54"/>
      <c r="H905" s="55" t="str">
        <f t="shared" si="32"/>
        <v>NEW</v>
      </c>
      <c r="I905" s="54"/>
      <c r="J905" s="56"/>
      <c r="K905" s="57"/>
      <c r="L905" s="54"/>
      <c r="M905" s="58"/>
      <c r="N905" s="56"/>
      <c r="O905" s="54"/>
      <c r="P905" s="59"/>
      <c r="Q905" s="54"/>
      <c r="R905" s="54"/>
    </row>
    <row r="906" spans="1:18" ht="15.75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12"/>
      <c r="K906" s="21"/>
      <c r="L906" s="21"/>
      <c r="M906" t="s">
        <v>43</v>
      </c>
    </row>
    <row r="907" spans="1:18" ht="15.75" x14ac:dyDescent="0.25">
      <c r="A907" s="21"/>
      <c r="B907" s="21"/>
      <c r="C907" s="21"/>
      <c r="D907" s="21"/>
      <c r="E907" s="21"/>
      <c r="F907" s="21"/>
      <c r="G907" s="21"/>
      <c r="H907" s="1"/>
      <c r="I907" s="13"/>
      <c r="K907" s="21"/>
      <c r="L907" s="21"/>
    </row>
    <row r="908" spans="1:18" x14ac:dyDescent="0.25">
      <c r="K908" s="21"/>
    </row>
    <row r="909" spans="1:18" x14ac:dyDescent="0.25">
      <c r="K909" s="21"/>
    </row>
    <row r="910" spans="1:18" x14ac:dyDescent="0.25">
      <c r="K910" s="21"/>
    </row>
    <row r="911" spans="1:18" x14ac:dyDescent="0.25">
      <c r="K911" s="21"/>
    </row>
    <row r="912" spans="1:18" x14ac:dyDescent="0.25">
      <c r="K912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x14ac:dyDescent="0.25">
      <c r="K1035" s="20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I866:J868 B866:H874 J869 I869:I874 J870:K874 B875:K876 B877:R881 J882:R882 B882:I888 J883:J886 J887:R887 J888 L906:L907 L883:R890 A897:R905 G889:J892 B893:J893 B894:H894 I893:I895 A865:A896 L896:R896 B886:G898 M891:R895 J894:J896 G895:I896">
    <cfRule type="expression" dxfId="20" priority="26">
      <formula>CELL("row")=ROW()</formula>
    </cfRule>
  </conditionalFormatting>
  <conditionalFormatting sqref="B257:G290 B291:B300 C291:G301">
    <cfRule type="expression" dxfId="19" priority="24">
      <formula>CELL("row")=ROW()</formula>
    </cfRule>
  </conditionalFormatting>
  <conditionalFormatting sqref="B772:G772">
    <cfRule type="expression" dxfId="18" priority="7">
      <formula>CELL("row")=ROW()</formula>
    </cfRule>
  </conditionalFormatting>
  <conditionalFormatting sqref="F398">
    <cfRule type="expression" dxfId="17" priority="19">
      <formula>CELL("row")=ROW()</formula>
    </cfRule>
  </conditionalFormatting>
  <conditionalFormatting sqref="F420">
    <cfRule type="expression" dxfId="16" priority="18">
      <formula>CELL("row")=ROW()</formula>
    </cfRule>
  </conditionalFormatting>
  <conditionalFormatting sqref="F326:G326">
    <cfRule type="expression" dxfId="15" priority="21">
      <formula>CELL("row")=ROW()</formula>
    </cfRule>
  </conditionalFormatting>
  <conditionalFormatting sqref="G266">
    <cfRule type="expression" dxfId="14" priority="23">
      <formula>CELL("row")=ROW()</formula>
    </cfRule>
  </conditionalFormatting>
  <conditionalFormatting sqref="I558">
    <cfRule type="expression" dxfId="13" priority="14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06:I906 K906:K912 A907:G907 K914:K985">
    <cfRule type="expression" dxfId="12" priority="12">
      <formula>CELL("row")=ROW()</formula>
    </cfRule>
  </conditionalFormatting>
  <conditionalFormatting sqref="K672:K697 K698:L700 L701">
    <cfRule type="expression" dxfId="11" priority="11">
      <formula>CELL("row")=ROW()</formula>
    </cfRule>
  </conditionalFormatting>
  <conditionalFormatting sqref="K883:K890 K891:L893 L894:L895 K892:K896">
    <cfRule type="expression" dxfId="10" priority="3">
      <formula>CELL("row")=ROW()</formula>
    </cfRule>
  </conditionalFormatting>
  <conditionalFormatting sqref="L532:L535">
    <cfRule type="expression" dxfId="9" priority="16">
      <formula>CELL("row")=ROW()</formula>
    </cfRule>
  </conditionalFormatting>
  <conditionalFormatting sqref="M718 M730 M733 M738:M739">
    <cfRule type="expression" dxfId="8" priority="6">
      <formula>CELL("row")=ROW()</formula>
    </cfRule>
  </conditionalFormatting>
  <conditionalFormatting sqref="M763:M764 M774">
    <cfRule type="expression" dxfId="7" priority="5">
      <formula>CELL("row")=ROW()</formula>
    </cfRule>
  </conditionalFormatting>
  <conditionalFormatting sqref="M906:O907">
    <cfRule type="expression" dxfId="6" priority="35">
      <formula>ROW(O93)=HighlightRow</formula>
    </cfRule>
  </conditionalFormatting>
  <conditionalFormatting sqref="N698">
    <cfRule type="expression" dxfId="5" priority="9">
      <formula>CELL("row")=ROW()</formula>
    </cfRule>
  </conditionalFormatting>
  <conditionalFormatting sqref="P906:Q907">
    <cfRule type="expression" dxfId="4" priority="39">
      <formula>ROW(S93)=HighlightRow</formula>
    </cfRule>
  </conditionalFormatting>
  <conditionalFormatting sqref="S105:XFD105">
    <cfRule type="expression" dxfId="3" priority="40">
      <formula>ROW(T94)=HighlightRow</formula>
    </cfRule>
  </conditionalFormatting>
  <conditionalFormatting sqref="S106:XFD114">
    <cfRule type="expression" dxfId="2" priority="37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9"/>
  <sheetViews>
    <sheetView topLeftCell="A588" zoomScaleNormal="100" workbookViewId="0">
      <selection activeCell="A600" sqref="A600:XFD61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599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/>
      <c r="D588" s="21" t="s">
        <v>11485</v>
      </c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/>
      <c r="C596" s="21"/>
      <c r="D596" s="21"/>
      <c r="E596" s="21"/>
      <c r="F596" s="14"/>
      <c r="G596" s="14"/>
      <c r="H596" s="12"/>
    </row>
    <row r="597" spans="1:8" ht="15.75" x14ac:dyDescent="0.25">
      <c r="A597" s="12">
        <f t="shared" si="9"/>
        <v>595</v>
      </c>
      <c r="B597" s="12"/>
      <c r="C597" s="12"/>
      <c r="D597" s="12"/>
      <c r="E597" s="12"/>
      <c r="F597" s="14"/>
      <c r="G597" s="14"/>
      <c r="H597" s="12"/>
    </row>
    <row r="598" spans="1:8" ht="15.75" x14ac:dyDescent="0.25">
      <c r="A598" s="12">
        <f t="shared" si="9"/>
        <v>596</v>
      </c>
      <c r="B598" s="12"/>
      <c r="C598" s="12"/>
      <c r="D598" s="12"/>
      <c r="E598" s="12"/>
      <c r="F598" s="14"/>
      <c r="G598" s="14"/>
      <c r="H598" s="12"/>
    </row>
    <row r="599" spans="1:8" ht="15.75" x14ac:dyDescent="0.25">
      <c r="A599" s="12">
        <f t="shared" si="9"/>
        <v>597</v>
      </c>
      <c r="B599" s="12"/>
      <c r="C599" s="12"/>
      <c r="D599" s="12"/>
      <c r="E599" s="12"/>
      <c r="F599" s="14"/>
      <c r="G599" s="14"/>
      <c r="H599" s="12"/>
    </row>
  </sheetData>
  <mergeCells count="1">
    <mergeCell ref="A1:H1"/>
  </mergeCells>
  <phoneticPr fontId="26" type="noConversion"/>
  <conditionalFormatting sqref="B589">
    <cfRule type="expression" dxfId="1" priority="1">
      <formula>CELL("row")=ROW()</formula>
    </cfRule>
  </conditionalFormatting>
  <conditionalFormatting sqref="B568:E596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2" t="s">
        <v>10712</v>
      </c>
      <c r="B1" s="52"/>
      <c r="C1" s="42"/>
      <c r="D1" s="36"/>
    </row>
    <row r="2" spans="1:6" ht="23.25" x14ac:dyDescent="0.35">
      <c r="A2" s="53" t="s">
        <v>10713</v>
      </c>
      <c r="B2" s="53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2026-06-24T11:45:23Z</dcterms:modified>
</cp:coreProperties>
</file>