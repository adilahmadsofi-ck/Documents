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7796CD8-E015-4D47-A9E5-FED2961069A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84" i="4" l="1"/>
  <c r="H885" i="4"/>
  <c r="H886" i="4"/>
  <c r="H887" i="4"/>
  <c r="H888" i="4"/>
  <c r="A884" i="4"/>
  <c r="A885" i="4"/>
  <c r="A886" i="4"/>
  <c r="A887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<sst xmlns="http://schemas.openxmlformats.org/spreadsheetml/2006/main" count="28428" uniqueCount="11440">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</sst>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1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8" totalsRowShown="0" headerRowDxfId="84" dataDxfId="83">
  <autoFilter ref="A1:R888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0" totalsRowShown="0" headerRowDxfId="28" dataDxfId="27">
  <autoFilter ref="A2:H59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6"/>
  <sheetViews>
    <sheetView tabSelected="1" topLeftCell="A871" zoomScale="96" zoomScaleNormal="96" workbookViewId="0">
      <selection activeCell="C881" sqref="C8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11403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11404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11405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11402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11424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11428</v>
      </c>
    </row>
    <row r="834" spans="1:18" x14ac:dyDescent="0.25">
      <c r="A834" s="21">
        <f t="shared" ref="A834:A888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11422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11406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11392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/>
      <c r="N875" s="22"/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11386</v>
      </c>
      <c r="C876" s="21" t="s">
        <v>11383</v>
      </c>
      <c r="D876" s="21" t="s">
        <v>11384</v>
      </c>
      <c r="E876" s="21" t="s">
        <v>11385</v>
      </c>
      <c r="F876" s="21" t="s">
        <v>3126</v>
      </c>
      <c r="G876" s="21" t="s">
        <v>6469</v>
      </c>
      <c r="H876" s="21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11387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11393</v>
      </c>
      <c r="C877" s="21" t="s">
        <v>11394</v>
      </c>
      <c r="D877" s="21" t="s">
        <v>11395</v>
      </c>
      <c r="E877" s="21" t="s">
        <v>11396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11400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11379</v>
      </c>
      <c r="C878" s="21" t="s">
        <v>11378</v>
      </c>
      <c r="D878" s="21" t="s">
        <v>11381</v>
      </c>
      <c r="E878" s="21" t="s">
        <v>11377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11382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11388</v>
      </c>
      <c r="C879" s="21" t="s">
        <v>11389</v>
      </c>
      <c r="D879" s="21" t="s">
        <v>11390</v>
      </c>
      <c r="E879" s="21" t="s">
        <v>11391</v>
      </c>
      <c r="F879" s="21" t="s">
        <v>98</v>
      </c>
      <c r="G879" s="21" t="s">
        <v>197</v>
      </c>
      <c r="H879" s="21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SRINAGAR</v>
      </c>
      <c r="I879" s="21" t="s">
        <v>11409</v>
      </c>
      <c r="J879" s="22">
        <v>46192</v>
      </c>
      <c r="K879" s="21">
        <v>9906594726</v>
      </c>
      <c r="L879" s="21" t="s">
        <v>68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11412</v>
      </c>
      <c r="C880" s="21" t="s">
        <v>11413</v>
      </c>
      <c r="D880" s="21" t="s">
        <v>11414</v>
      </c>
      <c r="E880" s="21" t="s">
        <v>11415</v>
      </c>
      <c r="F880" s="21" t="s">
        <v>12</v>
      </c>
      <c r="G880" s="21" t="s">
        <v>178</v>
      </c>
      <c r="H880" s="21" t="str">
        <f t="shared" si="29"/>
        <v>SRINAGAR</v>
      </c>
      <c r="I880" s="21" t="s">
        <v>11416</v>
      </c>
      <c r="J880" s="22">
        <v>46193</v>
      </c>
      <c r="K880" s="21">
        <v>8899566980</v>
      </c>
      <c r="L880" s="21" t="s">
        <v>2244</v>
      </c>
      <c r="M880" s="23"/>
      <c r="N880" s="22"/>
      <c r="O880" s="21" t="s">
        <v>23</v>
      </c>
      <c r="P880" s="24">
        <v>46193</v>
      </c>
      <c r="Q880" s="21" t="s">
        <v>6454</v>
      </c>
      <c r="R880" s="21"/>
    </row>
    <row r="881" spans="1:18" x14ac:dyDescent="0.25">
      <c r="A881" s="21">
        <f t="shared" si="26"/>
        <v>880</v>
      </c>
      <c r="B881" s="21" t="s">
        <v>11425</v>
      </c>
      <c r="C881" s="21" t="s">
        <v>11426</v>
      </c>
      <c r="D881" s="21" t="s">
        <v>11427</v>
      </c>
      <c r="E881" s="21" t="s">
        <v>1137</v>
      </c>
      <c r="F881" s="21" t="s">
        <v>36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9596384041</v>
      </c>
      <c r="L881" s="21" t="s">
        <v>8591</v>
      </c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11430</v>
      </c>
      <c r="C882" s="21" t="s">
        <v>11431</v>
      </c>
      <c r="D882" s="21" t="s">
        <v>11432</v>
      </c>
      <c r="E882" s="21" t="s">
        <v>11433</v>
      </c>
      <c r="F882" s="21" t="s">
        <v>5</v>
      </c>
      <c r="G882" s="21" t="s">
        <v>196</v>
      </c>
      <c r="H882" s="21" t="str">
        <f t="shared" si="29"/>
        <v>PULWAMA</v>
      </c>
      <c r="I882" s="21" t="s">
        <v>11435</v>
      </c>
      <c r="J882" s="22">
        <v>46195</v>
      </c>
      <c r="K882" s="21">
        <v>9622907844</v>
      </c>
      <c r="L882" s="21" t="s">
        <v>7228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11436</v>
      </c>
      <c r="C883" s="21" t="s">
        <v>11437</v>
      </c>
      <c r="D883" s="21" t="s">
        <v>11438</v>
      </c>
      <c r="E883" s="21" t="s">
        <v>11439</v>
      </c>
      <c r="F883" s="21" t="s">
        <v>12</v>
      </c>
      <c r="G883" s="21" t="s">
        <v>178</v>
      </c>
      <c r="H883" s="21" t="str">
        <f t="shared" si="29"/>
        <v>NEW</v>
      </c>
      <c r="I883" s="21"/>
      <c r="J883" s="22">
        <v>46195</v>
      </c>
      <c r="K883" s="21">
        <v>7006623287</v>
      </c>
      <c r="L883" s="21" t="s">
        <v>9902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/>
      <c r="C884" s="21"/>
      <c r="D884" s="21"/>
      <c r="E884" s="21"/>
      <c r="F884" s="21"/>
      <c r="G884" s="21"/>
      <c r="H884" s="55" t="str">
        <f t="shared" ref="H884:H888" si="30">IF(LEFT(I884,4)="JK13","PULWAMA",IF(LEFT(I884,4)="JK01","SRINAGAR",IF(LEFT(I884,4)="JK04","BUDGAM",IF(LEFT(I884,4)="JK03","ANANTNAG",IF(LEFT(I884,4)="LA01","KARGIL",IF(LEFT(I884,4)="JK05","BARAMULLA",IF(LEFT(I884,4)="26BH","BHARAT",IF(LEFT(I884,4)="25BH","BHARAT",IF(LEFT(I884,4)="JK12","POONCH",IF(LEFT(I884,4)="JK16","GANDERBAL",IF(LEFT(I884,4)="JK18","KULGAM",IF(LEFT(I884,4)="JK22","SHOPIAN",IF(LEFT(I884,4)="JK02","JAMMU",IF(LEFT(I884,4)="JK09","KUPWARA",IF(LEFT(I884,4)="JK15","BANDIPORA",IF(LEFT(I884,4)="JK17","KISHTWAR",IF(LEFT(I884,4)="LA01","KARGIL",IF(LEFT(I884,1)="T","TEMP","NEW"))))))))))))))))))</f>
        <v>NEW</v>
      </c>
      <c r="I884" s="54"/>
      <c r="J884" s="56"/>
      <c r="K884" s="57"/>
      <c r="L884" s="54"/>
      <c r="M884" s="58"/>
      <c r="N884" s="56"/>
      <c r="O884" s="54"/>
      <c r="P884" s="59"/>
      <c r="Q884" s="54"/>
      <c r="R884" s="54"/>
    </row>
    <row r="885" spans="1:18" x14ac:dyDescent="0.25">
      <c r="A885" s="21">
        <f t="shared" si="26"/>
        <v>884</v>
      </c>
      <c r="B885" s="54"/>
      <c r="C885" s="54"/>
      <c r="D885" s="54"/>
      <c r="E885" s="54"/>
      <c r="F885" s="54"/>
      <c r="G885" s="54"/>
      <c r="H885" s="55" t="str">
        <f t="shared" si="30"/>
        <v>NEW</v>
      </c>
      <c r="I885" s="54"/>
      <c r="J885" s="56"/>
      <c r="K885" s="57"/>
      <c r="L885" s="54"/>
      <c r="M885" s="58"/>
      <c r="N885" s="56"/>
      <c r="O885" s="54"/>
      <c r="P885" s="59"/>
      <c r="Q885" s="54"/>
      <c r="R885" s="54"/>
    </row>
    <row r="886" spans="1:18" x14ac:dyDescent="0.25">
      <c r="A886" s="21">
        <f t="shared" si="26"/>
        <v>885</v>
      </c>
      <c r="B886" s="54"/>
      <c r="C886" s="54"/>
      <c r="D886" s="54"/>
      <c r="E886" s="54"/>
      <c r="F886" s="54"/>
      <c r="G886" s="54"/>
      <c r="H886" s="55" t="str">
        <f t="shared" si="30"/>
        <v>NEW</v>
      </c>
      <c r="I886" s="54"/>
      <c r="J886" s="56"/>
      <c r="K886" s="57"/>
      <c r="L886" s="54"/>
      <c r="M886" s="58"/>
      <c r="N886" s="56"/>
      <c r="O886" s="54"/>
      <c r="P886" s="59"/>
      <c r="Q886" s="54"/>
      <c r="R886" s="54"/>
    </row>
    <row r="887" spans="1:18" x14ac:dyDescent="0.25">
      <c r="A887" s="21">
        <f t="shared" si="26"/>
        <v>886</v>
      </c>
      <c r="B887" s="54"/>
      <c r="C887" s="54"/>
      <c r="D887" s="54"/>
      <c r="E887" s="54"/>
      <c r="F887" s="54"/>
      <c r="G887" s="54"/>
      <c r="H887" s="55" t="str">
        <f t="shared" si="30"/>
        <v>NEW</v>
      </c>
      <c r="I887" s="54"/>
      <c r="J887" s="56"/>
      <c r="K887" s="57"/>
      <c r="L887" s="54"/>
      <c r="M887" s="58"/>
      <c r="N887" s="56"/>
      <c r="O887" s="54"/>
      <c r="P887" s="59"/>
      <c r="Q887" s="54"/>
      <c r="R887" s="54"/>
    </row>
    <row r="888" spans="1:18" x14ac:dyDescent="0.25">
      <c r="A888" s="21">
        <f t="shared" si="26"/>
        <v>887</v>
      </c>
      <c r="B888" s="54"/>
      <c r="C888" s="54"/>
      <c r="D888" s="54"/>
      <c r="E888" s="54"/>
      <c r="F888" s="54"/>
      <c r="G888" s="54"/>
      <c r="H888" s="55" t="str">
        <f t="shared" si="30"/>
        <v>NEW</v>
      </c>
      <c r="I888" s="54"/>
      <c r="J888" s="56"/>
      <c r="K888" s="57"/>
      <c r="L888" s="54"/>
      <c r="M888" s="58"/>
      <c r="N888" s="56"/>
      <c r="O888" s="54"/>
      <c r="P888" s="59"/>
      <c r="Q888" s="54"/>
      <c r="R888" s="54"/>
    </row>
    <row r="889" spans="1:18" ht="15.75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12"/>
      <c r="K889" s="21"/>
      <c r="L889" s="21"/>
      <c r="M889" t="s">
        <v>43</v>
      </c>
    </row>
    <row r="890" spans="1:18" ht="15.75" x14ac:dyDescent="0.25">
      <c r="A890" s="21"/>
      <c r="B890" s="21"/>
      <c r="C890" s="21"/>
      <c r="D890" s="21"/>
      <c r="E890" s="21"/>
      <c r="F890" s="21"/>
      <c r="G890" s="21"/>
      <c r="H890" s="1"/>
      <c r="I890" s="13"/>
      <c r="K890" s="21"/>
      <c r="L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x14ac:dyDescent="0.25">
      <c r="K1018" s="20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I866:J868 B866:H874 J869 I869:I874 J870:K874 B875:K876 L889:L890 B877:R879 H883 B880:H882 H884:R888 A865:A888 I880:R883 B878:G884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9:I889 K889:K968 A890:G890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9:O890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9:Q890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11418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11418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11418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11418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11418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11418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11418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11418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1"/>
  <sheetViews>
    <sheetView topLeftCell="A572" zoomScaleNormal="100" workbookViewId="0">
      <selection activeCell="B582" sqref="B582:E58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6648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11340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11397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11398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11399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11401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11407</v>
      </c>
      <c r="C577" s="21">
        <v>6005461613</v>
      </c>
      <c r="D577" s="21" t="s">
        <v>11408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11410</v>
      </c>
      <c r="C578" s="21">
        <v>7006079082</v>
      </c>
      <c r="D578" s="21" t="s">
        <v>11411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11385</v>
      </c>
      <c r="C579" s="21">
        <v>9469765393</v>
      </c>
      <c r="D579" s="21" t="s">
        <v>11417</v>
      </c>
      <c r="E579" s="21" t="s">
        <v>11387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11415</v>
      </c>
      <c r="C580" s="21">
        <v>8899566980</v>
      </c>
      <c r="D580" s="21" t="s">
        <v>11419</v>
      </c>
      <c r="E580" s="21" t="s">
        <v>11416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11420</v>
      </c>
      <c r="C581" s="21">
        <v>7006789699</v>
      </c>
      <c r="D581" s="21" t="s">
        <v>11421</v>
      </c>
      <c r="E581" s="21" t="s">
        <v>11409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11396</v>
      </c>
      <c r="C582" s="21">
        <v>9622847452</v>
      </c>
      <c r="D582" s="21" t="s">
        <v>11423</v>
      </c>
      <c r="E582" s="21" t="s">
        <v>11400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11429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0" si="9">ROW()-2</f>
        <v>582</v>
      </c>
      <c r="B584" s="21"/>
      <c r="C584" s="21"/>
      <c r="D584" s="21"/>
      <c r="E584" s="21"/>
      <c r="F584" s="14"/>
      <c r="G584" s="14"/>
      <c r="H584" s="12"/>
    </row>
    <row r="585" spans="1:8" ht="15.75" x14ac:dyDescent="0.25">
      <c r="A585" s="12">
        <f t="shared" si="9"/>
        <v>583</v>
      </c>
      <c r="B585" s="21"/>
      <c r="C585" s="21"/>
      <c r="D585" s="21"/>
      <c r="E585" s="21"/>
      <c r="F585" s="14"/>
      <c r="G585" s="14"/>
      <c r="H585" s="12"/>
    </row>
    <row r="586" spans="1:8" ht="15.75" x14ac:dyDescent="0.25">
      <c r="A586" s="12">
        <f t="shared" si="9"/>
        <v>584</v>
      </c>
      <c r="B586" s="21"/>
      <c r="C586" s="21"/>
      <c r="D586" s="21"/>
      <c r="E586" s="21"/>
      <c r="F586" s="14"/>
      <c r="G586" s="14"/>
      <c r="H586" s="12"/>
    </row>
    <row r="587" spans="1:8" ht="15.75" x14ac:dyDescent="0.25">
      <c r="A587" s="12">
        <f t="shared" si="9"/>
        <v>585</v>
      </c>
      <c r="B587" s="21"/>
      <c r="C587" s="21"/>
      <c r="D587" s="21"/>
      <c r="E587" s="21"/>
      <c r="F587" s="14"/>
      <c r="G587" s="14"/>
      <c r="H587" s="12"/>
    </row>
    <row r="588" spans="1:8" ht="15.75" x14ac:dyDescent="0.25">
      <c r="A588" s="12">
        <f t="shared" si="9"/>
        <v>586</v>
      </c>
      <c r="B588" s="21"/>
      <c r="C588" s="21"/>
      <c r="D588" s="21"/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/>
      <c r="C589" s="21"/>
      <c r="D589" s="21"/>
      <c r="E589" s="21"/>
      <c r="F589" s="14"/>
      <c r="G589" s="14"/>
      <c r="H589" s="12"/>
    </row>
    <row r="590" spans="1:8" ht="15.75" x14ac:dyDescent="0.25">
      <c r="A590" s="12">
        <f t="shared" si="9"/>
        <v>588</v>
      </c>
      <c r="B590" s="21"/>
      <c r="C590" s="21"/>
      <c r="D590" s="21"/>
      <c r="E590" s="21"/>
      <c r="F590" s="14"/>
      <c r="G590" s="14"/>
      <c r="H590" s="12"/>
    </row>
    <row r="591" spans="1:8" x14ac:dyDescent="0.25">
      <c r="B591" s="21"/>
      <c r="C591" s="21"/>
      <c r="D591" s="21"/>
      <c r="E591" s="21"/>
    </row>
  </sheetData>
  <mergeCells count="1">
    <mergeCell ref="A1:H1"/>
  </mergeCells>
  <phoneticPr fontId="26" type="noConversion"/>
  <conditionalFormatting sqref="B568:E591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2026-06-22T12:10:17Z</dcterms:modified>
</cp:coreProperties>
</file>