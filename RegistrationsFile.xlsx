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EAEE2E4-1DF7-4B82-B85D-00687B48593A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69" i="7" l="1"/>
  <c r="A168" i="7"/>
  <c r="A177" i="7"/>
  <c r="A178" i="7"/>
  <c r="A179" i="7"/>
  <c r="A180" i="7"/>
  <c r="H375" i="4"/>
  <c r="H376" i="4"/>
  <c r="H377" i="4"/>
  <c r="H378" i="4"/>
  <c r="H379" i="4"/>
  <c r="A375" i="4"/>
  <c r="A376" i="4"/>
  <c r="A377" i="4"/>
  <c r="A378" i="4"/>
  <c r="A379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170" i="7"/>
  <c r="A171" i="7"/>
  <c r="A172" i="7"/>
  <c r="A173" i="7"/>
  <c r="A174" i="7"/>
  <c r="A175" i="7"/>
  <c r="A176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H358" i="4"/>
  <c r="H359" i="4"/>
  <c r="H333" i="4"/>
  <c r="H326" i="4"/>
  <c r="H327" i="4"/>
  <c r="H328" i="4"/>
  <c r="H357" i="4"/>
  <c r="H330" i="4"/>
  <c r="H331" i="4"/>
  <c r="H332" i="4"/>
  <c r="H334" i="4"/>
  <c r="H201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29" i="4"/>
  <c r="H351" i="4"/>
  <c r="H352" i="4"/>
  <c r="H353" i="4"/>
  <c r="H335" i="4"/>
  <c r="H355" i="4"/>
  <c r="H356" i="4"/>
  <c r="H350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A326" i="4"/>
  <c r="A327" i="4"/>
  <c r="A328" i="4"/>
  <c r="A357" i="4"/>
  <c r="A330" i="4"/>
  <c r="A331" i="4"/>
  <c r="A332" i="4"/>
  <c r="A333" i="4"/>
  <c r="A334" i="4"/>
  <c r="A201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29" i="4"/>
  <c r="A351" i="4"/>
  <c r="A352" i="4"/>
  <c r="A353" i="4"/>
  <c r="A335" i="4"/>
  <c r="A355" i="4"/>
  <c r="A356" i="4"/>
  <c r="A350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H318" i="4"/>
  <c r="H319" i="4"/>
  <c r="H320" i="4"/>
  <c r="H321" i="4"/>
  <c r="H322" i="4"/>
  <c r="H323" i="4"/>
  <c r="H324" i="4"/>
  <c r="H325" i="4"/>
  <c r="A318" i="4"/>
  <c r="A319" i="4"/>
  <c r="A320" i="4"/>
  <c r="A321" i="4"/>
  <c r="A322" i="4"/>
  <c r="A323" i="4"/>
  <c r="A324" i="4"/>
  <c r="A325" i="4"/>
  <c r="H312" i="4"/>
  <c r="H313" i="4"/>
  <c r="H314" i="4"/>
  <c r="H315" i="4"/>
  <c r="H316" i="4"/>
  <c r="H317" i="4"/>
  <c r="A312" i="4"/>
  <c r="A313" i="4"/>
  <c r="A314" i="4"/>
  <c r="A315" i="4"/>
  <c r="A316" i="4"/>
  <c r="A317" i="4"/>
  <c r="A4" i="7"/>
  <c r="A3" i="7"/>
  <c r="H96" i="4"/>
  <c r="H302" i="4"/>
  <c r="H303" i="4"/>
  <c r="H221" i="4"/>
  <c r="H305" i="4"/>
  <c r="H306" i="4"/>
  <c r="H307" i="4"/>
  <c r="H308" i="4"/>
  <c r="H309" i="4"/>
  <c r="H310" i="4"/>
  <c r="H311" i="4"/>
  <c r="A96" i="4"/>
  <c r="A302" i="4"/>
  <c r="A303" i="4"/>
  <c r="A221" i="4"/>
  <c r="A305" i="4"/>
  <c r="A306" i="4"/>
  <c r="A307" i="4"/>
  <c r="A308" i="4"/>
  <c r="A309" i="4"/>
  <c r="A310" i="4"/>
  <c r="A311" i="4"/>
  <c r="H297" i="4"/>
  <c r="H298" i="4"/>
  <c r="H289" i="4"/>
  <c r="H300" i="4"/>
  <c r="A297" i="4"/>
  <c r="A298" i="4"/>
  <c r="A289" i="4"/>
  <c r="A300" i="4"/>
  <c r="H287" i="4"/>
  <c r="H288" i="4"/>
  <c r="H299" i="4"/>
  <c r="H290" i="4"/>
  <c r="H291" i="4"/>
  <c r="H292" i="4"/>
  <c r="H293" i="4"/>
  <c r="H294" i="4"/>
  <c r="H295" i="4"/>
  <c r="H304" i="4"/>
  <c r="A287" i="4"/>
  <c r="A288" i="4"/>
  <c r="A299" i="4"/>
  <c r="A290" i="4"/>
  <c r="A291" i="4"/>
  <c r="A292" i="4"/>
  <c r="A293" i="4"/>
  <c r="A294" i="4"/>
  <c r="A295" i="4"/>
  <c r="A304" i="4"/>
  <c r="H271" i="4"/>
  <c r="H284" i="4"/>
  <c r="H285" i="4"/>
  <c r="H286" i="4"/>
  <c r="A271" i="4"/>
  <c r="A284" i="4"/>
  <c r="A285" i="4"/>
  <c r="A286" i="4"/>
  <c r="H354" i="4"/>
  <c r="H276" i="4"/>
  <c r="H267" i="4"/>
  <c r="H268" i="4"/>
  <c r="H259" i="4"/>
  <c r="H269" i="4"/>
  <c r="H270" i="4"/>
  <c r="H183" i="4"/>
  <c r="H272" i="4"/>
  <c r="H184" i="4"/>
  <c r="H274" i="4"/>
  <c r="H277" i="4"/>
  <c r="H278" i="4"/>
  <c r="H279" i="4"/>
  <c r="H222" i="4"/>
  <c r="H281" i="4"/>
  <c r="H282" i="4"/>
  <c r="A267" i="4"/>
  <c r="A268" i="4"/>
  <c r="A259" i="4"/>
  <c r="A269" i="4"/>
  <c r="A270" i="4"/>
  <c r="A183" i="4"/>
  <c r="A272" i="4"/>
  <c r="A184" i="4"/>
  <c r="A274" i="4"/>
  <c r="A354" i="4"/>
  <c r="A276" i="4"/>
  <c r="A277" i="4"/>
  <c r="A278" i="4"/>
  <c r="A279" i="4"/>
  <c r="A222" i="4"/>
  <c r="A281" i="4"/>
  <c r="A282" i="4"/>
  <c r="H256" i="4"/>
  <c r="H257" i="4"/>
  <c r="H258" i="4"/>
  <c r="H260" i="4"/>
  <c r="H261" i="4"/>
  <c r="H262" i="4"/>
  <c r="H301" i="4"/>
  <c r="H264" i="4"/>
  <c r="H280" i="4"/>
  <c r="H266" i="4"/>
  <c r="A256" i="4"/>
  <c r="A257" i="4"/>
  <c r="A258" i="4"/>
  <c r="A260" i="4"/>
  <c r="A261" i="4"/>
  <c r="A262" i="4"/>
  <c r="A301" i="4"/>
  <c r="A264" i="4"/>
  <c r="A280" i="4"/>
  <c r="A266" i="4"/>
  <c r="H246" i="4"/>
  <c r="H247" i="4"/>
  <c r="H248" i="4"/>
  <c r="H249" i="4"/>
  <c r="H250" i="4"/>
  <c r="H251" i="4"/>
  <c r="H252" i="4"/>
  <c r="H253" i="4"/>
  <c r="H254" i="4"/>
  <c r="H255" i="4"/>
  <c r="A246" i="4"/>
  <c r="A247" i="4"/>
  <c r="A248" i="4"/>
  <c r="A249" i="4"/>
  <c r="A250" i="4"/>
  <c r="A251" i="4"/>
  <c r="A252" i="4"/>
  <c r="A253" i="4"/>
  <c r="A254" i="4"/>
  <c r="A255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H223" i="4"/>
  <c r="H224" i="4"/>
  <c r="H229" i="4"/>
  <c r="H265" i="4"/>
  <c r="H227" i="4"/>
  <c r="H228" i="4"/>
  <c r="H133" i="4"/>
  <c r="H230" i="4"/>
  <c r="H231" i="4"/>
  <c r="H232" i="4"/>
  <c r="A223" i="4"/>
  <c r="A224" i="4"/>
  <c r="A229" i="4"/>
  <c r="A265" i="4"/>
  <c r="A227" i="4"/>
  <c r="A228" i="4"/>
  <c r="A133" i="4"/>
  <c r="A230" i="4"/>
  <c r="A231" i="4"/>
  <c r="A232" i="4"/>
  <c r="H165" i="4"/>
  <c r="H132" i="4"/>
  <c r="H220" i="4"/>
  <c r="H187" i="4"/>
  <c r="H218" i="4"/>
  <c r="H217" i="4"/>
  <c r="H214" i="4"/>
  <c r="H215" i="4"/>
  <c r="H216" i="4"/>
  <c r="A216" i="4"/>
  <c r="A217" i="4"/>
  <c r="A218" i="4"/>
  <c r="A187" i="4"/>
  <c r="A220" i="4"/>
  <c r="A165" i="4"/>
  <c r="A13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H195" i="4"/>
  <c r="H196" i="4"/>
  <c r="H219" i="4"/>
  <c r="H198" i="4"/>
  <c r="H199" i="4"/>
  <c r="H200" i="4"/>
  <c r="H159" i="4"/>
  <c r="H202" i="4"/>
  <c r="H194" i="4"/>
  <c r="H193" i="4"/>
  <c r="H192" i="4"/>
  <c r="H191" i="4"/>
  <c r="H190" i="4"/>
  <c r="H156" i="4"/>
  <c r="H157" i="4"/>
  <c r="H158" i="4"/>
  <c r="H197" i="4"/>
  <c r="H160" i="4"/>
  <c r="H161" i="4"/>
  <c r="H162" i="4"/>
  <c r="H163" i="4"/>
  <c r="H164" i="4"/>
  <c r="H10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226" i="4"/>
  <c r="H263" i="4"/>
  <c r="H185" i="4"/>
  <c r="H186" i="4"/>
  <c r="H296" i="4"/>
  <c r="H188" i="4"/>
  <c r="H189" i="4"/>
  <c r="H130" i="4"/>
  <c r="H65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283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275" i="4"/>
  <c r="H97" i="4"/>
  <c r="H98" i="4"/>
  <c r="H99" i="4"/>
  <c r="H100" i="4"/>
  <c r="H101" i="4"/>
  <c r="H102" i="4"/>
  <c r="H103" i="4"/>
  <c r="H104" i="4"/>
  <c r="H273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225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275" i="4"/>
  <c r="A97" i="4"/>
  <c r="A98" i="4"/>
  <c r="A99" i="4"/>
  <c r="A100" i="4"/>
  <c r="A101" i="4"/>
  <c r="A102" i="4"/>
  <c r="A103" i="4"/>
  <c r="A104" i="4"/>
  <c r="A273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97" i="4"/>
  <c r="A160" i="4"/>
  <c r="A161" i="4"/>
  <c r="A162" i="4"/>
  <c r="A163" i="4"/>
  <c r="A164" i="4"/>
  <c r="A10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226" i="4"/>
  <c r="A263" i="4"/>
  <c r="A185" i="4"/>
  <c r="A186" i="4"/>
  <c r="A296" i="4"/>
  <c r="A188" i="4"/>
  <c r="A189" i="4"/>
  <c r="A190" i="4"/>
  <c r="A191" i="4"/>
  <c r="A192" i="4"/>
  <c r="A193" i="4"/>
  <c r="A194" i="4"/>
  <c r="A195" i="4"/>
  <c r="A196" i="4"/>
  <c r="A219" i="4"/>
  <c r="A198" i="4"/>
  <c r="A199" i="4"/>
  <c r="A200" i="4"/>
  <c r="A159" i="4"/>
  <c r="A202" i="4"/>
  <c r="A203" i="4"/>
  <c r="A204" i="4"/>
  <c r="A2" i="4"/>
</calcChain>
</file>

<file path=xl/sharedStrings.xml><?xml version="1.0" encoding="utf-8"?>
<sst xmlns="http://schemas.openxmlformats.org/spreadsheetml/2006/main" count="21096" uniqueCount="8234">
  <si>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</si>
  <si>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</si>
  <si>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</si>
  <si>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</si>
  <si>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</si>
  <si>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</si>
  <si>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</si>
  <si>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</si>
  <si>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</si>
  <si>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</si>
  <si>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</si>
  <si>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</si>
  <si>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</si>
  <si>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</si>
  <si>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</si>
  <si>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</si>
  <si>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</si>
  <si>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</si>
  <si>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</si>
  <si>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</si>
  <si>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</si>
  <si>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</si>
  <si>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</si>
  <si>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</si>
  <si>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</si>
  <si>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</si>
  <si>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</si>
  <si>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</si>
  <si>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</si>
  <si>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</si>
  <si>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</si>
  <si>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</si>
  <si>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</si>
  <si>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</si>
  <si>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</si>
  <si>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</si>
  <si>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</si>
  <si>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</si>
  <si>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</si>
  <si>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</si>
  <si>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</si>
  <si>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</si>
  <si>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</si>
  <si>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</si>
  <si>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</si>
  <si>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</si>
  <si>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</si>
  <si>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</si>
  <si>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</si>
  <si>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</si>
  <si>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</si>
  <si>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</si>
  <si>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</si>
  <si>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</si>
  <si>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</si>
  <si>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</si>
  <si>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</si>
  <si>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</si>
  <si>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</si>
  <si>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</si>
  <si>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</si>
  <si>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</si>
  <si>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</si>
  <si>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</si>
  <si>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</si>
  <si>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</si>
  <si>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</si>
  <si>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</si>
  <si>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</si>
  <si>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</si>
  <si>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</si>
  <si>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</si>
  <si>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</si>
  <si>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</si>
  <si>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</si>
  <si>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</si>
  <si>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</si>
  <si>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</si>
  <si>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</si>
  <si>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</si>
  <si>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</si>
  <si>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</si>
  <si>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</si>
  <si>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</si>
  <si>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</si>
  <si>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</si>
  <si>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</si>
  <si>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</si>
  <si>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</si>
  <si>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</si>
  <si>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</si>
  <si>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</si>
  <si>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</si>
  <si>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</si>
  <si>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</si>
  <si>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</si>
  <si>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</si>
  <si>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</si>
  <si>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</si>
  <si>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</si>
  <si>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</si>
  <si>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</si>
  <si>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</si>
  <si>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</si>
  <si>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</si>
  <si>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</si>
  <si>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</si>
  <si>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</si>
  <si>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</si>
  <si>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</si>
  <si>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</si>
  <si>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</si>
  <si>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</si>
  <si>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</si>
  <si>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</si>
  <si>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</si>
  <si>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</si>
  <si>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</si>
  <si>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</si>
  <si>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</si>
  <si>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</si>
  <si>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</si>
  <si>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</si>
  <si>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</si>
  <si>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</si>
  <si>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</si>
  <si>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</si>
  <si>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</si>
  <si>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</si>
  <si>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</si>
  <si>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</si>
  <si>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</si>
  <si>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</si>
  <si>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</si>
  <si>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</si>
  <si>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</si>
  <si>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</si>
  <si>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</si>
  <si>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</si>
  <si>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</si>
  <si>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</si>
  <si>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</si>
  <si>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</si>
  <si>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</si>
  <si>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</si>
  <si>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</si>
  <si>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</si>
  <si>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</si>
  <si>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</si>
  <si>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</si>
  <si>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</si>
  <si>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</si>
  <si>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</si>
  <si>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</si>
  <si>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</si>
  <si>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</si>
  <si>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</si>
  <si>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</si>
  <si>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</si>
  <si>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</si>
  <si>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</si>
  <si>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</si>
  <si>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</si>
  <si>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</si>
  <si>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</si>
  <si>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</si>
  <si>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</si>
  <si>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</si>
  <si>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</si>
  <si>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</si>
  <si>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</si>
  <si>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</si>
  <si>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</si>
  <si>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</si>
  <si>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</si>
  <si>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</si>
  <si>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</si>
  <si>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</si>
  <si>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</si>
  <si>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</si>
  <si>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</si>
  <si>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</si>
  <si>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</si>
  <si>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</si>
  <si>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</si>
  <si>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</si>
  <si>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</si>
  <si>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</si>
  <si>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</si>
  <si>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</si>
  <si>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</si>
  <si>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</si>
  <si>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</si>
  <si>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</si>
  <si>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</si>
  <si>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</si>
  <si>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</si>
  <si>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</si>
  <si>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</si>
  <si>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</si>
  <si>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</si>
  <si>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</si>
  <si>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</si>
  <si>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</si>
  <si>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</si>
  <si>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</si>
  <si>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</si>
  <si>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</si>
  <si>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</si>
  <si>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</si>
  <si>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</si>
  <si>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</si>
  <si>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</si>
  <si>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</si>
  <si>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</si>
  <si>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</si>
  <si>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</si>
  <si>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</si>
  <si>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</si>
  <si>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</si>
  <si>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</si>
  <si>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</si>
  <si>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</si>
  <si>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</si>
  <si>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</si>
  <si>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</si>
  <si>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</si>
  <si>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</si>
  <si>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</si>
  <si>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</si>
  <si>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</si>
  <si>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</si>
  <si>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</si>
  <si>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</si>
  <si>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</si>
  <si>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</si>
  <si>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</si>
  <si>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</si>
  <si>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</si>
  <si>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</si>
  <si>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</si>
  <si>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</si>
  <si>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</si>
  <si>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</si>
  <si>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</si>
  <si>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</si>
  <si>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</si>
  <si>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</si>
  <si>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</si>
  <si>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</si>
  <si>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</si>
  <si>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</si>
  <si>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</si>
  <si>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</si>
  <si>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</si>
  <si>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</si>
  <si>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</si>
  <si>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</si>
  <si>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</si>
  <si>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</si>
  <si>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</si>
  <si>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</si>
  <si>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</si>
  <si>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</si>
  <si>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</si>
  <si>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</si>
  <si>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</si>
  <si>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</si>
  <si>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</si>
  <si>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</si>
  <si>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</si>
  <si>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</si>
  <si>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</si>
  <si>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</si>
  <si>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</si>
  <si>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</si>
  <si>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</si>
  <si>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</si>
  <si>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</si>
  <si>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</si>
  <si>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</si>
  <si>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</si>
  <si>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</si>
  <si>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</si>
  <si>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</si>
  <si>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</si>
  <si>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</si>
  <si>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</si>
  <si>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</si>
  <si>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</si>
  <si>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</si>
  <si>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</si>
  <si>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</si>
  <si>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</si>
  <si>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</si>
  <si>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</si>
  <si>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</si>
  <si>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</si>
  <si>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</si>
  <si>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</si>
  <si>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</si>
  <si>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</si>
  <si>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</si>
  <si>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</si>
  <si>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</si>
  <si>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</si>
  <si>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</si>
  <si>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</si>
  <si>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</si>
  <si>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</si>
  <si>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</si>
  <si>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</si>
  <si>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</si>
  <si>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</si>
  <si>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</si>
  <si>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</si>
  <si>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</si>
  <si>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</si>
  <si>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</si>
  <si>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</si>
  <si>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</si>
  <si>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</si>
  <si>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</si>
  <si>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</si>
  <si>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</si>
  <si>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</si>
  <si>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</si>
  <si>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</si>
  <si>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</si>
  <si>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</si>
  <si>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</si>
  <si>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</si>
  <si>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</si>
  <si>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</si>
  <si>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</si>
  <si>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</si>
  <si>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</si>
  <si>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</si>
  <si>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</si>
  <si>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</si>
  <si>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</si>
  <si>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</si>
  <si>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</si>
  <si>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</si>
  <si>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</si>
  <si>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</si>
  <si>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</si>
  <si>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</si>
  <si>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</si>
  <si>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</si>
  <si>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</si>
  <si>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</si>
  <si>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</si>
  <si>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</si>
  <si>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</si>
  <si>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</si>
  <si>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</si>
  <si>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</si>
  <si>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</si>
  <si>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</si>
  <si>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</si>
  <si>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</si>
  <si>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</si>
  <si>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</si>
  <si>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</si>
  <si>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</si>
  <si>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</si>
  <si>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</si>
  <si>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</si>
  <si>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</si>
  <si>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</si>
  <si>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</si>
  <si>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</si>
  <si>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</si>
  <si>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</si>
  <si>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</si>
  <si>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</si>
  <si>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</si>
  <si>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</si>
  <si>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</si>
  <si>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</si>
  <si>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</si>
  <si>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</si>
  <si>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</si>
  <si>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</si>
  <si>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</si>
  <si>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</si>
  <si>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</si>
  <si>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</si>
  <si>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</si>
  <si>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</si>
  <si>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</si>
  <si>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</si>
  <si>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</si>
  <si>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</si>
  <si>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</si>
  <si>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</si>
  <si>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</si>
  <si>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</si>
  <si>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</si>
  <si>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</si>
  <si>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</si>
  <si>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</si>
  <si>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</si>
  <si>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</si>
  <si>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</si>
  <si>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</si>
  <si>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</si>
  <si>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</si>
  <si>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</si>
  <si>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</si>
  <si>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</si>
  <si>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</si>
  <si>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</si>
  <si>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</si>
  <si>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</si>
  <si>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</si>
  <si>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</si>
  <si>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</si>
  <si>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</si>
  <si>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</si>
  <si>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</si>
  <si>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</si>
  <si>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</si>
  <si>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</si>
  <si>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</si>
  <si>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</si>
  <si>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</si>
  <si>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</si>
  <si>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</si>
  <si>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</si>
  <si>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</si>
  <si>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</si>
  <si>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</si>
  <si>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</si>
  <si>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</si>
  <si>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</si>
  <si>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</si>
  <si>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</si>
  <si>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</si>
  <si>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</si>
  <si>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</si>
  <si>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</si>
  <si>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</si>
  <si>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</si>
  <si>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</si>
  <si>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</si>
  <si>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</si>
  <si>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</si>
  <si>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</si>
  <si>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</si>
  <si>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</si>
  <si>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</si>
  <si>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</si>
  <si>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</si>
  <si>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</si>
  <si>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</si>
  <si>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</si>
  <si>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</si>
  <si>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</si>
  <si>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</si>
  <si>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</si>
  <si>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</si>
  <si>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</si>
  <si>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</si>
  <si>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</si>
  <si>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</si>
  <si>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</si>
  <si>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</si>
  <si>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</si>
  <si>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</si>
  <si>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</si>
  <si>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</si>
  <si>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</si>
  <si>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</si>
  <si>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</si>
  <si>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</si>
  <si>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</si>
  <si>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</si>
  <si>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</si>
  <si>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</si>
  <si>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</si>
  <si>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</si>
  <si>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</si>
  <si>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</si>
  <si>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</si>
  <si>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</si>
  <si>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</si>
  <si>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</si>
  <si>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</si>
  <si>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</si>
  <si>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</si>
  <si>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</si>
  <si>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</si>
  <si>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</si>
  <si>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</si>
  <si>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</si>
  <si>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</si>
  <si>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</si>
  <si>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</si>
  <si>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</si>
  <si>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</si>
  <si>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</si>
  <si>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</si>
  <si>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</si>
  <si>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</si>
  <si>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</si>
  <si>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</si>
  <si>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</si>
  <si>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</si>
  <si>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</si>
  <si>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</si>
  <si>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</si>
  <si>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</si>
  <si>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</si>
  <si>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</si>
  <si>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</si>
  <si>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</si>
  <si>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</si>
  <si>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</si>
  <si>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</si>
  <si>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</si>
  <si>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</si>
  <si>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</si>
  <si>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</si>
  <si>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</si>
  <si>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</si>
  <si>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</si>
  <si>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</si>
  <si>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</si>
  <si>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</si>
  <si>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</si>
  <si>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</si>
  <si>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</si>
  <si>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</si>
  <si>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</si>
  <si>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</si>
  <si>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</si>
  <si>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</si>
  <si>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</si>
  <si>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</si>
  <si>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</si>
  <si>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</si>
  <si>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</si>
  <si>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</si>
  <si>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</si>
  <si>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</si>
  <si>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</si>
  <si>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</si>
  <si>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</si>
  <si>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</si>
  <si>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</si>
  <si>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</si>
  <si>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</si>
  <si>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</si>
  <si>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</si>
  <si>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</si>
  <si>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</si>
  <si>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</si>
  <si>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</si>
  <si>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</si>
  <si>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</si>
  <si>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</si>
  <si>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</si>
  <si>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</si>
  <si>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</si>
  <si>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</si>
  <si>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</si>
  <si>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</si>
  <si>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</si>
  <si>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</si>
  <si>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</si>
  <si>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</si>
  <si>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</si>
  <si>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</si>
  <si>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</si>
  <si>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</si>
  <si>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</si>
  <si>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</si>
  <si>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</si>
  <si>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</si>
  <si>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</si>
  <si>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</si>
  <si>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</si>
  <si>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</si>
  <si>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</si>
  <si>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</si>
  <si>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</si>
  <si>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</si>
  <si>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</si>
  <si>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</si>
  <si>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</si>
  <si>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</si>
  <si>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</si>
  <si>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</si>
  <si>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</si>
  <si>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</si>
  <si>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</si>
  <si>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</si>
  <si>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</si>
  <si>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</si>
  <si>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</si>
  <si>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</si>
  <si>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</si>
  <si>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</si>
  <si>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</si>
  <si>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</si>
  <si>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</si>
  <si>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</si>
  <si>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</si>
  <si>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</si>
  <si>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</si>
  <si>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</si>
  <si>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</si>
  <si>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</si>
  <si>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</si>
  <si>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</si>
  <si>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</si>
  <si>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</si>
  <si>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</si>
  <si>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</si>
  <si>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</si>
  <si>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</si>
  <si>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</si>
  <si>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</si>
  <si>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</si>
  <si>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</si>
  <si>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</si>
  <si>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</si>
  <si>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</si>
  <si>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</si>
  <si>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</si>
  <si>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</si>
  <si>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</si>
  <si>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</si>
  <si>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</si>
  <si>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</si>
  <si>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</si>
  <si>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</si>
  <si>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</si>
  <si>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</si>
  <si>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</si>
  <si>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</si>
  <si>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</si>
  <si>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</si>
  <si>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</si>
  <si>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</si>
  <si>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</si>
  <si>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</si>
  <si>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</si>
  <si>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</si>
  <si>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</si>
  <si>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</si>
  <si>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</si>
  <si>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</si>
  <si>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</si>
  <si>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</si>
  <si>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</si>
  <si>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</si>
  <si>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</si>
  <si>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</si>
  <si>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</si>
  <si>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</si>
  <si>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</si>
  <si>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</si>
  <si>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</si>
  <si>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</si>
  <si>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</si>
  <si>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</si>
  <si>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</si>
  <si>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</si>
  <si>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</si>
  <si>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</si>
  <si>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</si>
  <si>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</si>
  <si>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</si>
  <si>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</si>
  <si>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</si>
  <si>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</si>
  <si>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</si>
  <si>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</si>
  <si>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</si>
  <si>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</si>
  <si>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</si>
  <si>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</si>
  <si>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</si>
  <si>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</si>
  <si>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</si>
  <si>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</si>
  <si>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</si>
  <si>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</si>
  <si>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</si>
  <si>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</si>
  <si>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</si>
  <si>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</si>
  <si>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</si>
  <si>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</si>
  <si>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</si>
  <si>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</si>
  <si>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</si>
  <si>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</si>
  <si>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</si>
  <si>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</si>
  <si>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</si>
  <si>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</si>
  <si>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</si>
  <si>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</si>
  <si>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</si>
  <si>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</si>
  <si>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</si>
  <si>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</si>
  <si>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</si>
  <si>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</si>
  <si>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</si>
  <si>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</si>
  <si>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</si>
  <si>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</si>
  <si>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</si>
  <si>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</si>
  <si>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</si>
  <si>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</si>
  <si>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</si>
  <si>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</si>
  <si>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</si>
  <si>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</si>
  <si>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</si>
  <si>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</si>
  <si>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</si>
  <si>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</si>
  <si>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</si>
  <si>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</si>
  <si>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</si>
  <si>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</si>
  <si>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</si>
  <si>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</si>
  <si>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</si>
  <si>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</si>
  <si>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</si>
  <si>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</si>
  <si>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</si>
  <si>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</si>
  <si>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</si>
  <si>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</si>
  <si>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</si>
  <si>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</si>
  <si>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</si>
  <si>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</si>
  <si>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</si>
  <si>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</si>
  <si>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</si>
  <si>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</si>
  <si>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</si>
  <si>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</si>
  <si>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</si>
  <si>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</si>
  <si>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</si>
  <si>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</si>
  <si>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</si>
  <si>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</si>
  <si>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</si>
  <si>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</si>
  <si>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</si>
  <si>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</si>
  <si>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</si>
  <si>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</si>
  <si>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</si>
  <si>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</si>
  <si>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</si>
  <si>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</si>
  <si>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</si>
  <si>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</si>
  <si>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</si>
  <si>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</si>
  <si>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</si>
  <si>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</si>
  <si>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</si>
  <si>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</si>
  <si>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</si>
  <si>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</si>
  <si>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</si>
  <si>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</si>
  <si>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</si>
  <si>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</si>
  <si>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</si>
  <si>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</si>
  <si>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</si>
  <si>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</si>
  <si>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</si>
  <si>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</si>
  <si>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</si>
  <si>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</si>
  <si>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</si>
  <si>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</si>
  <si>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</si>
  <si>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</si>
  <si>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</si>
  <si>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</si>
  <si>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</si>
  <si>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</si>
  <si>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</si>
  <si>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</si>
  <si>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</si>
  <si>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</si>
  <si>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</si>
  <si>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</si>
  <si>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</si>
  <si>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</si>
  <si>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</si>
  <si>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</si>
  <si>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</si>
  <si>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</si>
  <si>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</si>
  <si>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</si>
  <si>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</si>
  <si>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</si>
  <si>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</si>
  <si>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</si>
  <si>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</si>
  <si>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</si>
  <si>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</si>
  <si>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</si>
  <si>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</si>
  <si>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</si>
  <si>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</si>
  <si>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</si>
  <si>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</si>
  <si>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</si>
  <si>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</si>
  <si>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</si>
  <si>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</si>
  <si>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</si>
  <si>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</si>
  <si>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</si>
  <si>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</si>
  <si>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</si>
  <si>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</si>
  <si>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</si>
  <si>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</si>
  <si>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</si>
  <si>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</si>
  <si>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</si>
  <si>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</si>
  <si>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</si>
  <si>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</si>
  <si>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</si>
  <si>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</si>
  <si>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</si>
  <si>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</si>
  <si>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</si>
  <si>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</si>
  <si>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</si>
  <si>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</si>
  <si>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</si>
  <si>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</si>
  <si>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</si>
  <si>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</si>
  <si>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</si>
  <si>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</si>
  <si>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</si>
  <si>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</si>
  <si>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</si>
  <si>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</si>
  <si>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</si>
  <si>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</si>
  <si>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</si>
  <si>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</si>
  <si>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</si>
  <si>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</si>
  <si>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</si>
  <si>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</si>
  <si>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</si>
  <si>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</si>
  <si>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</si>
  <si>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</si>
  <si>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</si>
  <si>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</si>
  <si>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</si>
  <si>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</si>
  <si>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</si>
  <si>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</si>
  <si>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</si>
  <si>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</si>
  <si>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</si>
  <si>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</si>
  <si>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</si>
  <si>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</si>
  <si>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</si>
  <si>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</si>
  <si>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</si>
  <si>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</si>
  <si>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</si>
  <si>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</si>
  <si>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</si>
  <si>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</si>
  <si>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</si>
  <si>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</si>
  <si>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</si>
  <si>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</si>
  <si>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</si>
  <si>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</si>
  <si>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</si>
  <si>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</si>
  <si>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</si>
  <si>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</si>
  <si>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</si>
  <si>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</si>
  <si>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</si>
  <si>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</si>
  <si>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</si>
  <si>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</si>
  <si>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</si>
  <si>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</si>
  <si>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</si>
  <si>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</si>
  <si>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</si>
  <si>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</si>
  <si>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</si>
  <si>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</si>
  <si>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</si>
  <si>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</si>
  <si>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</si>
  <si>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</si>
  <si>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</si>
  <si>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</si>
  <si>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</si>
  <si>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</si>
  <si>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</si>
  <si>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</si>
  <si>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</si>
  <si>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</si>
  <si>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</si>
  <si>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</si>
  <si>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</si>
  <si>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</si>
  <si>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</si>
  <si>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</si>
  <si>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</si>
  <si>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</si>
  <si>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</si>
  <si>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</si>
  <si>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</si>
  <si>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</si>
  <si>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</si>
  <si>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</si>
  <si>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</si>
  <si>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</si>
  <si>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</si>
  <si>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</si>
  <si>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</si>
  <si>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</si>
  <si>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</si>
  <si>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</si>
  <si>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</si>
  <si>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</si>
  <si>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</si>
  <si>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</si>
  <si>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</si>
  <si>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</si>
  <si>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</si>
  <si>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</si>
  <si>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</si>
  <si>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</si>
  <si>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</si>
  <si>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</si>
  <si>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</si>
  <si>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</si>
  <si>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</si>
  <si>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</si>
  <si>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</si>
  <si>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</si>
  <si>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</si>
  <si>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</si>
  <si>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</si>
  <si>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</si>
  <si>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</si>
  <si>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</si>
  <si>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</si>
  <si>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</si>
  <si>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</si>
  <si>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</si>
  <si>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</si>
  <si>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</si>
  <si>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</si>
  <si>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</si>
  <si>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</si>
  <si>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</si>
  <si>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</si>
  <si>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</si>
  <si>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</si>
  <si>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</si>
  <si>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</si>
  <si>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</si>
  <si>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</si>
  <si>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</si>
  <si>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</si>
  <si>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</si>
  <si>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</si>
  <si>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</si>
  <si>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</si>
  <si>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</si>
  <si>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</si>
  <si>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</si>
  <si>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</si>
  <si>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</si>
  <si>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</si>
  <si>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</si>
  <si>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</si>
  <si>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</si>
  <si>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</si>
  <si>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</si>
  <si>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</si>
  <si>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</si>
  <si>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</si>
  <si>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</si>
  <si>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</si>
  <si>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</si>
  <si>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</si>
  <si>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</si>
  <si>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</si>
  <si>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</si>
  <si>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</si>
  <si>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</si>
  <si>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</si>
  <si>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</si>
  <si>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</si>
  <si>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</si>
  <si>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</si>
  <si>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</si>
  <si>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</si>
  <si>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</si>
  <si>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</si>
  <si>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</si>
  <si>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</si>
  <si>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</si>
  <si>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</si>
  <si>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</si>
  <si>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</si>
  <si>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</si>
  <si>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</si>
  <si>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</si>
  <si>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</si>
  <si>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</si>
  <si>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</si>
  <si>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</si>
  <si>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</si>
  <si>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</si>
  <si>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</si>
  <si>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</si>
  <si>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</si>
  <si>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</si>
  <si>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</si>
  <si>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</si>
  <si>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</si>
  <si>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</si>
  <si>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</si>
  <si>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</si>
  <si>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</si>
  <si>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</si>
  <si>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</si>
  <si>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</si>
  <si>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</si>
  <si>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</si>
  <si>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</si>
  <si>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</si>
  <si>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</si>
  <si>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</si>
  <si>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</si>
  <si>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</si>
  <si>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</si>
  <si>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</si>
  <si>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</si>
  <si>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</si>
  <si>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</si>
  <si>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</si>
  <si>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</si>
  <si>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</si>
  <si>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</si>
  <si>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</si>
  <si>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</si>
  <si>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</si>
  <si>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</si>
  <si>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</si>
  <si>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</si>
  <si>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</si>
  <si>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</si>
  <si>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</si>
  <si>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</si>
  <si>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</si>
  <si>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</si>
  <si>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</si>
  <si>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</si>
  <si>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</si>
  <si>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</si>
  <si>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</si>
  <si>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</si>
  <si>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</si>
  <si>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</si>
  <si>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</si>
  <si>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</si>
  <si>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</si>
  <si>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</si>
  <si>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</si>
  <si>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</si>
  <si>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</si>
  <si>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</si>
  <si>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</si>
  <si>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</si>
  <si>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</si>
  <si>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</si>
  <si>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</si>
  <si>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</si>
  <si>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</si>
  <si>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</si>
  <si>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</si>
  <si>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</si>
  <si>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</si>
  <si>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</si>
  <si>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</si>
  <si>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</si>
  <si>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</si>
  <si>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</si>
  <si>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</si>
  <si>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</si>
  <si>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</si>
  <si>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</si>
  <si>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</si>
  <si>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</si>
  <si>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</si>
  <si>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</si>
  <si>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</si>
  <si>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</si>
  <si>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</si>
  <si>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</si>
  <si>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</si>
  <si>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</si>
  <si>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</si>
  <si>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</si>
  <si>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</si>
  <si>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</si>
  <si>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</si>
  <si>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</si>
  <si>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</si>
  <si>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</si>
  <si>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</si>
  <si>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</si>
  <si>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</si>
  <si>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</si>
  <si>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</si>
  <si>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</si>
  <si>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</si>
  <si>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</si>
  <si>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</si>
  <si>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</si>
  <si>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</si>
  <si>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</si>
  <si>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</si>
  <si>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</si>
  <si>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</si>
  <si>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</si>
  <si>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</si>
  <si>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</si>
  <si>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</si>
  <si>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</si>
  <si>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</si>
  <si>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</si>
  <si>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</si>
  <si>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</si>
  <si>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</si>
  <si>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</si>
  <si>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</si>
  <si>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</si>
  <si>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</si>
  <si>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</si>
  <si>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</si>
  <si>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</si>
  <si>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</si>
  <si>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</si>
  <si>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</si>
  <si>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</si>
  <si>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</si>
  <si>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</si>
  <si>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</si>
  <si>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</si>
  <si>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</si>
  <si>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</si>
  <si>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</si>
  <si>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</si>
  <si>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</si>
  <si>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</si>
  <si>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</si>
  <si>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</si>
  <si>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</si>
  <si>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</si>
  <si>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</si>
  <si>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</si>
  <si>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</si>
  <si>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</si>
  <si>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</si>
  <si>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</si>
  <si>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</si>
  <si>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</si>
  <si>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</si>
  <si>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</si>
  <si>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</si>
  <si>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</si>
  <si>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</si>
  <si>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</si>
  <si>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</si>
  <si>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</si>
  <si>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</si>
  <si>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</si>
  <si>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</si>
  <si>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</si>
  <si>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</si>
  <si>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</si>
  <si>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</si>
  <si>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</si>
  <si>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</si>
  <si>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</si>
  <si>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</si>
  <si>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</si>
  <si>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</si>
  <si>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</si>
  <si>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</si>
  <si>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</si>
  <si>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</si>
  <si>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</si>
  <si>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</si>
  <si>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</si>
  <si>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</si>
  <si>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</si>
  <si>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</si>
  <si>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</si>
  <si>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</si>
  <si>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</si>
  <si>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</si>
  <si>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</si>
  <si>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</si>
  <si>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</si>
  <si>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</si>
  <si>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</si>
  <si>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</si>
  <si>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</si>
  <si>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</si>
  <si>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</si>
  <si>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</si>
  <si>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</si>
  <si>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</si>
  <si>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</si>
  <si>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</si>
  <si>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</si>
  <si>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</si>
  <si>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</si>
  <si>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</si>
  <si>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</si>
  <si>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</si>
  <si>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</si>
  <si>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</si>
  <si>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</si>
  <si>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</si>
  <si>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</si>
  <si>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</si>
  <si>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</si>
  <si>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</si>
  <si>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</si>
  <si>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</si>
  <si>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</si>
  <si>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</si>
  <si>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</si>
  <si>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</si>
  <si>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</si>
  <si>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</si>
  <si>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</si>
  <si>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</si>
  <si>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</si>
  <si>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</si>
  <si>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</si>
  <si>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</si>
  <si>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</si>
  <si>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</si>
  <si>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</si>
  <si>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</si>
  <si>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</si>
  <si>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</si>
  <si>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</si>
  <si>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</si>
  <si>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</si>
  <si>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</si>
  <si>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</si>
  <si>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</si>
  <si>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</si>
  <si>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</si>
  <si>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</si>
  <si>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</si>
  <si>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</si>
  <si>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</si>
  <si>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</si>
  <si>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</si>
  <si>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</si>
  <si>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</si>
  <si>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</si>
  <si>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</si>
  <si>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</si>
  <si>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</si>
  <si>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</si>
  <si>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</si>
  <si>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</si>
  <si>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</si>
  <si>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</si>
  <si>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</si>
  <si>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</si>
  <si>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</si>
  <si>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</si>
  <si>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</si>
  <si>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</si>
  <si>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</si>
  <si>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</si>
  <si>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</si>
  <si>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</si>
  <si>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</si>
  <si>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</si>
  <si>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</si>
  <si>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</si>
  <si>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</si>
  <si>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</si>
  <si>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</si>
  <si>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</si>
  <si>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</si>
  <si>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</si>
  <si>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</si>
  <si>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</si>
  <si>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</si>
  <si>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</si>
  <si>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</si>
  <si>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</si>
  <si>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</si>
  <si>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</si>
  <si>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</si>
  <si>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</si>
  <si>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</si>
  <si>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</si>
  <si>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</si>
  <si>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</si>
  <si>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</si>
  <si>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</si>
  <si>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</si>
  <si>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</si>
  <si>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</si>
  <si>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</si>
  <si>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</si>
  <si>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</si>
  <si>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</si>
  <si>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</si>
  <si>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</si>
  <si>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</si>
  <si>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</si>
  <si>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</si>
  <si>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</si>
  <si>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</si>
  <si>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</si>
  <si>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</si>
  <si>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</si>
  <si>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</si>
  <si>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</si>
  <si>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</si>
  <si>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</si>
  <si>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</si>
  <si>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</si>
  <si>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</si>
  <si>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</si>
  <si>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</si>
  <si>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</si>
  <si>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</si>
  <si>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</si>
  <si>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</si>
  <si>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</si>
  <si>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</si>
  <si>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</si>
  <si>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</si>
  <si>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</si>
  <si>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</si>
  <si>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</si>
  <si>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</si>
  <si>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</si>
  <si>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</si>
  <si>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</si>
  <si>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</si>
  <si>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</si>
  <si>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</si>
  <si>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</si>
  <si>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</si>
  <si>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</si>
  <si>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</si>
  <si>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</si>
  <si>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</si>
  <si>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</si>
  <si>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</si>
  <si>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</si>
  <si>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</si>
  <si>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</si>
  <si>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</si>
  <si>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</si>
  <si>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</si>
  <si>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</si>
  <si>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</si>
  <si>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</si>
  <si>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</si>
  <si>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</si>
  <si>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</si>
  <si>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</si>
  <si>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</si>
  <si>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</si>
  <si>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</si>
  <si>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</si>
  <si>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</si>
  <si>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</si>
  <si>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</si>
  <si>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</si>
  <si>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</si>
  <si>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</si>
  <si>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</si>
  <si>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</si>
  <si>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</si>
  <si>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</si>
  <si>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</si>
  <si>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</si>
  <si>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</si>
  <si>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</si>
  <si>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</si>
  <si>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</si>
  <si>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</si>
  <si>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</si>
  <si>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</si>
  <si>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</si>
  <si>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</si>
  <si>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</si>
  <si>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</si>
  <si>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</si>
  <si>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</si>
  <si>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</si>
  <si>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</si>
  <si>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</si>
  <si>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</si>
  <si>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</si>
  <si>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</si>
  <si>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</si>
  <si>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</si>
  <si>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</si>
  <si>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</si>
  <si>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</si>
  <si>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</si>
  <si>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</si>
  <si>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</si>
  <si>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</si>
  <si>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</si>
  <si>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</si>
  <si>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</si>
  <si>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</si>
  <si>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</si>
  <si>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</si>
  <si>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</si>
  <si>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</si>
  <si>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</si>
  <si>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</si>
  <si>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</si>
  <si>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</si>
  <si>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</si>
  <si>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</si>
  <si>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</si>
  <si>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</si>
  <si>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</si>
  <si>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</si>
  <si>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</si>
  <si>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</si>
  <si>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</si>
  <si>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</si>
  <si>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</si>
  <si>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</si>
  <si>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</si>
  <si>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</si>
  <si>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</si>
  <si>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</si>
  <si>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</si>
  <si>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</si>
  <si>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</si>
  <si>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</si>
  <si>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</si>
  <si>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</si>
  <si>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</si>
  <si>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</si>
  <si>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</si>
  <si>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</si>
  <si>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</si>
  <si>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</si>
  <si>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</si>
  <si>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</si>
  <si>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</si>
  <si>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</si>
  <si>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</si>
  <si>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</si>
  <si>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</si>
  <si>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</si>
  <si>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</si>
  <si>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</si>
  <si>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</si>
  <si>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</si>
  <si>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</si>
  <si>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</si>
  <si>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</si>
  <si>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</si>
  <si>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</si>
  <si>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</si>
  <si>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</si>
  <si>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</si>
  <si>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</si>
  <si>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</si>
  <si>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</si>
  <si>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</si>
  <si>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</si>
  <si>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</si>
  <si>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</si>
  <si>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</si>
  <si>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</si>
  <si>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</si>
  <si>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</si>
  <si>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</si>
  <si>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</si>
  <si>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</si>
  <si>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</si>
  <si>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</si>
  <si>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</si>
  <si>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</si>
  <si>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</si>
  <si>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</si>
  <si>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</si>
  <si>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</si>
  <si>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</si>
  <si>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</si>
  <si>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</si>
  <si>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</si>
  <si>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</si>
  <si>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</si>
  <si>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</si>
  <si>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</si>
  <si>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</si>
  <si>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</si>
  <si>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</si>
  <si>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</si>
  <si>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</si>
  <si>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</si>
  <si>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</si>
  <si>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</si>
  <si>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</si>
  <si>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</si>
  <si>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</si>
  <si>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</si>
  <si>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</si>
  <si>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</si>
  <si>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</si>
  <si>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</si>
  <si>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</si>
  <si>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</si>
  <si>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</si>
  <si>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</si>
  <si>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</si>
  <si>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</si>
  <si>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</si>
  <si>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</si>
  <si>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</si>
  <si>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</si>
  <si>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</si>
  <si>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</si>
  <si>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</si>
  <si>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</si>
  <si>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</si>
  <si>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</si>
  <si>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</si>
  <si>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</si>
  <si>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</si>
  <si>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</si>
  <si>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</si>
  <si>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</si>
  <si>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</si>
  <si>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</si>
  <si>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</si>
  <si>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</si>
  <si>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</si>
  <si>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</si>
  <si>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</si>
  <si>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</si>
  <si>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</si>
  <si>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</si>
  <si>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</si>
  <si>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</si>
  <si>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</si>
  <si>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</si>
  <si>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</si>
  <si>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</si>
  <si>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</si>
  <si>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</si>
  <si>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</si>
  <si>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</si>
  <si>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</si>
  <si>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</si>
  <si>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</si>
  <si>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</si>
  <si>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</si>
  <si>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</si>
  <si>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</si>
  <si>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</si>
  <si>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</si>
  <si>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</si>
  <si>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</si>
  <si>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</si>
  <si>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</si>
  <si>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</si>
  <si>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</si>
  <si>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</si>
  <si>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</si>
  <si>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</si>
  <si>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</si>
  <si>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</si>
  <si>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</si>
  <si>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</si>
  <si>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</si>
  <si>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</si>
  <si>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</si>
  <si>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</si>
  <si>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</si>
  <si>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</si>
  <si>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</si>
  <si>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</si>
  <si>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</si>
  <si>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</si>
  <si>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</si>
  <si>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</si>
  <si>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</si>
  <si>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</si>
  <si>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</si>
  <si>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</si>
  <si>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</si>
  <si>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</si>
  <si>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</si>
  <si>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</si>
  <si>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</si>
  <si>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</si>
  <si>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</si>
  <si>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</si>
  <si>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</si>
  <si>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</si>
  <si>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</si>
  <si>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</si>
  <si>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</si>
  <si>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</si>
  <si>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</si>
  <si>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</si>
  <si>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</si>
  <si>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</si>
  <si>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</si>
  <si>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</si>
  <si>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</si>
  <si>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</si>
  <si>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</si>
  <si>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</si>
  <si>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</si>
  <si>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</si>
  <si>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</si>
  <si>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</si>
  <si>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</si>
  <si>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</si>
  <si>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</si>
  <si>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</si>
  <si>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</si>
  <si>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</si>
  <si>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</si>
  <si>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</si>
  <si>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</si>
  <si>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</si>
  <si>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</si>
  <si>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</si>
  <si>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</si>
  <si>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</si>
  <si>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</si>
  <si>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</si>
  <si>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</si>
  <si>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</si>
  <si>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</si>
  <si>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</si>
  <si>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</si>
  <si>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</si>
  <si>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</si>
  <si>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</si>
  <si>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</si>
  <si>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</si>
  <si>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</si>
  <si>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</si>
  <si>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</si>
  <si>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</si>
  <si>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</si>
  <si>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</si>
  <si>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</si>
  <si>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</si>
  <si>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</si>
  <si>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</si>
  <si>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</si>
  <si>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</si>
  <si>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</si>
  <si>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</si>
  <si>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</si>
  <si>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</si>
  <si>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</si>
  <si>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</si>
  <si>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</si>
  <si>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</si>
  <si>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</si>
  <si>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</si>
  <si>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</si>
  <si>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</si>
  <si>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</si>
  <si>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</si>
  <si>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</si>
  <si>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</si>
  <si>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</si>
  <si>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</si>
  <si>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</si>
  <si>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</si>
  <si>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</si>
  <si>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</si>
  <si>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</si>
  <si>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</si>
  <si>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</si>
  <si>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</si>
  <si>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</si>
  <si>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</si>
  <si>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</si>
  <si>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</si>
  <si>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</si>
  <si>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</si>
  <si>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</si>
  <si>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</si>
  <si>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</si>
  <si>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</si>
  <si>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</si>
  <si>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</si>
  <si>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</si>
  <si>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</si>
  <si>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</si>
  <si>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</si>
  <si>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</si>
  <si>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</si>
  <si>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</si>
  <si>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</si>
  <si>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</si>
  <si>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</si>
  <si>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</si>
  <si>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</si>
  <si>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</si>
  <si>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</si>
  <si>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</si>
  <si>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</si>
  <si>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</si>
  <si>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</si>
  <si>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</si>
  <si>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</si>
  <si>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</si>
  <si>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</si>
  <si>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</si>
  <si>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</si>
  <si>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</si>
  <si>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</si>
  <si>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</si>
  <si>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</si>
  <si>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</si>
  <si>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</si>
  <si>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</si>
  <si>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</si>
  <si>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</si>
  <si>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</si>
  <si>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</si>
  <si>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</si>
  <si>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</si>
  <si>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</si>
  <si>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</si>
  <si>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</si>
  <si>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</si>
  <si>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</si>
  <si>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</si>
  <si>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</si>
  <si>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</si>
  <si>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</si>
  <si>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</si>
  <si>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</si>
  <si>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</si>
  <si>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</si>
  <si>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</si>
  <si>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</si>
  <si>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</si>
  <si>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</si>
  <si>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</si>
  <si>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</si>
  <si>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</si>
  <si>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</si>
  <si>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</si>
  <si>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</si>
  <si>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</si>
  <si>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</si>
  <si>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</si>
  <si>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</si>
  <si>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</si>
  <si>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</si>
  <si>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</si>
  <si>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</si>
  <si>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</si>
  <si>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</si>
  <si>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</si>
  <si>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</si>
  <si>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</si>
  <si>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</si>
  <si>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</si>
  <si>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</si>
  <si>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</si>
  <si>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</si>
  <si>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</si>
  <si>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</si>
  <si>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</si>
  <si>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</si>
  <si>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</si>
  <si>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</si>
  <si>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</si>
  <si>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</si>
  <si>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</si>
  <si>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</si>
  <si>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</si>
  <si>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</si>
  <si>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</si>
  <si>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</si>
  <si>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</si>
  <si>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</si>
  <si>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</si>
  <si>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</si>
  <si>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</si>
  <si>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</si>
  <si>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</si>
  <si>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</si>
  <si>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</si>
  <si>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</si>
  <si>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</si>
  <si>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</si>
  <si>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</si>
  <si>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</si>
  <si>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</si>
  <si>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</si>
  <si>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</si>
  <si>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</si>
  <si>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</si>
  <si>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</si>
  <si>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</si>
  <si>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</si>
  <si>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</si>
  <si>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</si>
  <si>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</si>
  <si>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</si>
  <si>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</si>
  <si>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</si>
  <si>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</si>
  <si>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</si>
  <si>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</si>
  <si>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</si>
  <si>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</si>
  <si>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</si>
  <si>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</si>
  <si>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</si>
  <si>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</si>
  <si>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</si>
  <si>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</si>
  <si>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</si>
  <si>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</si>
  <si>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</si>
  <si>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</si>
  <si>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</si>
  <si>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</si>
  <si>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</si>
  <si>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</si>
  <si>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</si>
  <si>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</si>
  <si>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</si>
  <si>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</si>
  <si>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</si>
  <si>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</si>
  <si>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</si>
  <si>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</si>
  <si>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</si>
  <si>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</si>
  <si>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</si>
  <si>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</si>
  <si>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</si>
  <si>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</si>
  <si>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</si>
  <si>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</si>
  <si>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</si>
  <si>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</si>
  <si>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</si>
  <si>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</si>
  <si>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</si>
  <si>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</si>
  <si>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</si>
  <si>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</si>
  <si>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</si>
  <si>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</si>
  <si>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</si>
  <si>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</si>
  <si>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</si>
  <si>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</si>
  <si>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</si>
  <si>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</si>
  <si>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</si>
  <si>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</si>
  <si>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</si>
  <si>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</si>
  <si>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</si>
  <si>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</si>
  <si>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</si>
  <si>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</si>
  <si>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</si>
  <si>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</si>
  <si>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</si>
  <si>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</si>
  <si>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</si>
  <si>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</si>
  <si>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</si>
  <si>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</si>
  <si>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</si>
  <si>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</si>
  <si>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</si>
  <si>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</si>
  <si>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</si>
  <si>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</si>
  <si>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</si>
  <si>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</si>
  <si>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</si>
  <si>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</si>
  <si>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</si>
  <si>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</si>
  <si>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</si>
  <si>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</si>
  <si>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</si>
  <si>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</si>
  <si>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</si>
  <si>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</si>
  <si>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</si>
  <si>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</si>
  <si>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</si>
  <si>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</si>
  <si>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</si>
  <si>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</si>
  <si>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</si>
  <si>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</si>
  <si>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</si>
  <si>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</si>
  <si>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</si>
  <si>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</si>
  <si>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</si>
  <si>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</si>
  <si>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</si>
  <si>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</si>
  <si>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</si>
  <si>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</si>
  <si>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</si>
  <si>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</si>
  <si>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</si>
  <si>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</si>
  <si>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</si>
  <si>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</si>
  <si>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</si>
  <si>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</si>
  <si>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</si>
  <si>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</si>
  <si>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</si>
  <si>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</si>
  <si>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</si>
  <si>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</si>
  <si>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</si>
  <si>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</si>
  <si>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</si>
  <si>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</si>
  <si>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</si>
  <si>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</si>
  <si>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</si>
  <si>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</si>
  <si>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</si>
  <si>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</si>
  <si>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</si>
  <si>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</si>
  <si>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</si>
  <si>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</si>
  <si>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</si>
  <si>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</si>
  <si>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</si>
  <si>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</si>
  <si>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</si>
  <si>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</si>
  <si>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</si>
  <si>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</si>
  <si>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</si>
  <si>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</si>
  <si>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</si>
  <si>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</si>
  <si>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</si>
  <si>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</si>
  <si>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</si>
  <si>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</si>
  <si>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</si>
  <si>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</si>
  <si>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</si>
  <si>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</si>
  <si>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</si>
  <si>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</si>
  <si>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</si>
  <si>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</si>
  <si>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</si>
  <si>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</si>
  <si>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</si>
  <si>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</si>
  <si>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</si>
  <si>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</si>
  <si>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</si>
  <si>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</si>
  <si>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</si>
  <si>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</si>
  <si>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</si>
  <si>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</si>
  <si>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</si>
  <si>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</si>
  <si>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</si>
  <si>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</si>
  <si>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</si>
  <si>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</si>
  <si>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</si>
  <si>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</si>
  <si>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</si>
  <si>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</si>
  <si>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</si>
  <si>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</si>
  <si>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</si>
  <si>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</si>
  <si>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</si>
  <si>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</si>
  <si>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</si>
  <si>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</si>
  <si>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</si>
  <si>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</si>
  <si>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</si>
  <si>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</si>
  <si>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</si>
  <si>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</si>
  <si>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</si>
  <si>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</si>
  <si>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</si>
  <si>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</si>
  <si>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</si>
  <si>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</si>
  <si>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</si>
  <si>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</si>
  <si>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</si>
  <si>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</si>
  <si>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</si>
  <si>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</si>
  <si>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</si>
  <si>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</si>
  <si>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</si>
  <si>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</si>
  <si>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</si>
  <si>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</si>
  <si>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</si>
  <si>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</si>
  <si>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</si>
  <si>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</si>
  <si>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</si>
  <si>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</si>
  <si>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</si>
  <si>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</si>
  <si>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</si>
  <si>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</si>
  <si>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</si>
  <si>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</si>
  <si>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</si>
  <si>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</si>
  <si>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</si>
  <si>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</si>
  <si>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</si>
  <si>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</si>
  <si>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</si>
  <si>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</si>
  <si>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</si>
  <si>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</si>
  <si>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</si>
  <si>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</si>
  <si>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</si>
  <si>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</si>
  <si>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</si>
  <si>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</si>
  <si>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</si>
  <si>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</si>
  <si>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</si>
  <si>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</si>
  <si>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</si>
  <si>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</si>
  <si>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</si>
  <si>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</si>
  <si>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</si>
  <si>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</si>
  <si>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</si>
  <si>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</si>
  <si>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</si>
  <si>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</si>
  <si>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</si>
  <si>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</si>
  <si>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</si>
  <si>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</si>
  <si>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</si>
  <si>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</si>
  <si>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</si>
  <si>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</si>
  <si>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</si>
  <si>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</si>
  <si>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</si>
  <si>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</si>
  <si>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</si>
  <si>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</si>
  <si>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</si>
  <si>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</si>
  <si>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</si>
  <si>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</si>
  <si>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</si>
  <si>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</si>
  <si>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</si>
  <si>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</si>
  <si>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</si>
  <si>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</si>
  <si>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</si>
  <si>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</si>
  <si>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</si>
  <si>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</si>
  <si>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</si>
  <si>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</si>
  <si>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</si>
  <si>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</si>
  <si>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</si>
  <si>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</si>
  <si>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</si>
  <si>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</si>
  <si>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</si>
  <si>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</si>
  <si>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</si>
  <si>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</si>
  <si>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</si>
  <si>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</si>
  <si>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</si>
  <si>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</si>
  <si>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</si>
  <si>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</si>
  <si>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</si>
  <si>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</si>
  <si>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</si>
  <si>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</si>
  <si>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</si>
  <si>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</si>
  <si>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</si>
  <si>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</si>
  <si>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</si>
  <si>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</si>
  <si>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</si>
  <si>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</si>
  <si>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</si>
  <si>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</si>
  <si>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</si>
  <si>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</si>
  <si>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</si>
  <si>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</si>
  <si>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</si>
  <si>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</si>
  <si>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</si>
  <si>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</si>
  <si>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</si>
  <si>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</si>
  <si>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</si>
  <si>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</si>
  <si>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</si>
  <si>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</si>
  <si>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</si>
  <si>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</si>
  <si>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</si>
  <si>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</si>
  <si>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</si>
  <si>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</si>
  <si>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</si>
  <si>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</si>
  <si>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</si>
  <si>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</si>
  <si>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</si>
  <si>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</si>
  <si>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</si>
  <si>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</si>
  <si>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</si>
  <si>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</si>
  <si>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</si>
  <si>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</si>
  <si>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</si>
  <si>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</si>
  <si>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</si>
  <si>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</si>
  <si>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</si>
  <si>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</si>
  <si>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</si>
  <si>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</si>
  <si>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</si>
  <si>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</si>
  <si>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</si>
  <si>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</si>
  <si>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</si>
  <si>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</si>
  <si>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</si>
  <si>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</si>
  <si>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</si>
  <si>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</si>
  <si>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</si>
  <si>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</si>
  <si>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</si>
  <si>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</si>
  <si>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</si>
  <si>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</si>
  <si>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</si>
  <si>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</si>
  <si>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</si>
  <si>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</si>
  <si>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</si>
  <si>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</si>
  <si>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</si>
  <si>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</si>
  <si>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</si>
  <si>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</si>
  <si>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</si>
  <si>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</si>
  <si>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</si>
  <si>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</si>
  <si>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</si>
  <si>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</si>
  <si>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</si>
  <si>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</si>
  <si>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</si>
  <si>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</si>
  <si>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</si>
  <si>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</si>
  <si>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</si>
  <si>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</si>
  <si>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</si>
  <si>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</si>
  <si>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</si>
  <si>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</si>
  <si>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</si>
  <si>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</si>
  <si>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</si>
  <si>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</si>
  <si>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</si>
  <si>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</si>
  <si>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</si>
  <si>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</si>
  <si>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</si>
  <si>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</si>
  <si>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</si>
  <si>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</si>
  <si>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</si>
  <si>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</si>
  <si>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</si>
  <si>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</si>
  <si>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</si>
  <si>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</si>
  <si>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</si>
  <si>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</si>
  <si>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</si>
  <si>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</si>
  <si>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</si>
  <si>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</si>
  <si>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</si>
  <si>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</si>
  <si>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</si>
  <si>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</si>
  <si>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</si>
  <si>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</si>
  <si>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</si>
  <si>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</si>
  <si>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</si>
  <si>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</si>
  <si>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</si>
  <si>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</si>
  <si>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</si>
  <si>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</si>
  <si>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</si>
  <si>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</si>
  <si>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</si>
  <si>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</si>
  <si>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</si>
  <si>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</si>
  <si>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</si>
  <si>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</si>
  <si>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</si>
  <si>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</si>
  <si>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</si>
  <si>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</si>
  <si>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</si>
  <si>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</si>
  <si>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</si>
  <si>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</si>
  <si>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</si>
  <si>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</si>
  <si>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</si>
  <si>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</si>
  <si>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</si>
  <si>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</si>
  <si>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</si>
  <si>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</si>
  <si>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</si>
  <si>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</si>
  <si>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</si>
  <si>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</si>
  <si>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</si>
  <si>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</si>
  <si>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</si>
  <si>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</si>
  <si>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</si>
  <si>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</si>
  <si>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</si>
  <si>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</si>
  <si>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</si>
  <si>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</si>
  <si>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</si>
  <si>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</si>
  <si>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</si>
  <si>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</si>
  <si>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</si>
  <si>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</si>
  <si>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</si>
  <si>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</si>
  <si>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</si>
  <si>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</si>
  <si>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</si>
  <si>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</si>
  <si>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</si>
  <si>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</si>
  <si>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</si>
  <si>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</si>
  <si>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</si>
  <si>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</si>
  <si>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</si>
  <si>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</si>
  <si>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</si>
  <si>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</si>
  <si>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</si>
  <si>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</si>
  <si>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</si>
  <si>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</si>
  <si>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</si>
  <si>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</si>
  <si>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</si>
  <si>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</si>
  <si>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</si>
  <si>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</si>
  <si>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</si>
  <si>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</si>
  <si>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</si>
  <si>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</si>
  <si>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</si>
  <si>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</si>
  <si>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</si>
  <si>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</si>
  <si>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</si>
  <si>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</si>
  <si>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</si>
  <si>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</si>
  <si>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</si>
  <si>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</si>
  <si>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</si>
  <si>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</si>
  <si>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</si>
  <si>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</si>
  <si>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</si>
  <si>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</si>
  <si>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</si>
  <si>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</si>
  <si>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</si>
  <si>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</si>
  <si>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</si>
  <si>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</si>
  <si>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</si>
  <si>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</si>
  <si>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</si>
  <si>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</si>
  <si>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</si>
  <si>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</si>
  <si>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</si>
  <si>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</si>
  <si>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</si>
  <si>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</si>
  <si>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</si>
  <si>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</si>
  <si>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</si>
  <si>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</si>
  <si>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</si>
  <si>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</si>
  <si>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</si>
  <si>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</si>
  <si>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</si>
  <si>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</si>
  <si>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</si>
  <si>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</si>
  <si>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</si>
  <si>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</si>
  <si>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</si>
  <si>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</si>
  <si>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</si>
  <si>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</si>
  <si>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</si>
  <si>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</si>
  <si>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</si>
  <si>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</si>
  <si>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</si>
  <si>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</si>
  <si>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</si>
  <si>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</si>
  <si>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</si>
  <si>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</si>
  <si>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</si>
  <si>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</si>
  <si>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</si>
  <si>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</si>
  <si>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</si>
  <si>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</si>
  <si>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</si>
  <si>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</si>
  <si>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</si>
  <si>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</si>
  <si>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</si>
  <si>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</si>
  <si>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</si>
  <si>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</si>
  <si>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</si>
  <si>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</si>
  <si>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</si>
  <si>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</si>
  <si>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</si>
  <si>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</si>
  <si>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</si>
  <si>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</si>
  <si>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</si>
  <si>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</si>
  <si>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</si>
  <si>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</si>
  <si>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</si>
  <si>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</si>
  <si>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</si>
  <si>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</si>
  <si>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</si>
  <si>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</si>
  <si>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</si>
  <si>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</si>
  <si>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</si>
  <si>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</si>
  <si>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</si>
  <si>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</si>
  <si>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</si>
  <si>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</si>
  <si>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</si>
  <si>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</si>
  <si>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</si>
  <si>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</si>
  <si>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</si>
  <si>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</si>
  <si>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</si>
  <si>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</si>
  <si>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</si>
  <si>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</si>
  <si>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</si>
  <si>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</si>
  <si>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</si>
  <si>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</si>
  <si>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</si>
  <si>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</si>
  <si>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</si>
  <si>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</si>
  <si>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</si>
  <si>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</si>
  <si>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</si>
  <si>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</si>
  <si>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</si>
  <si>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</si>
  <si>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</si>
  <si>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</si>
  <si>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</si>
  <si>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</si>
  <si>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</si>
  <si>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</si>
  <si>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</si>
  <si>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</si>
  <si>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</si>
  <si>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</si>
  <si>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</si>
  <si>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</si>
  <si>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</si>
  <si>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</si>
  <si>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</si>
  <si>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</si>
  <si>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</si>
  <si>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</si>
  <si>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</si>
  <si>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</si>
  <si>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</si>
  <si>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</si>
  <si>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</si>
  <si>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</si>
  <si>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</si>
  <si>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</si>
  <si>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</si>
  <si>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</si>
  <si>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</si>
  <si>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</si>
  <si>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</si>
  <si>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</si>
  <si>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</si>
  <si>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</si>
  <si>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</si>
  <si>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</si>
  <si>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</si>
  <si>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</si>
  <si>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</si>
  <si>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</si>
  <si>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</si>
  <si>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</si>
  <si>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</si>
  <si>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</si>
  <si>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</si>
  <si>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</si>
  <si>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</si>
  <si>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</si>
  <si>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</si>
  <si>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</si>
  <si>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</si>
  <si>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</si>
  <si>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</si>
  <si>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</si>
  <si>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</si>
  <si>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</si>
  <si>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</si>
  <si>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</si>
  <si>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</si>
  <si>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</si>
  <si>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</si>
  <si>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</si>
  <si>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</si>
  <si>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</si>
  <si>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</si>
  <si>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</si>
  <si>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</si>
  <si>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</si>
  <si>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</si>
  <si>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</si>
  <si>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</si>
  <si>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</si>
  <si>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</si>
  <si>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</si>
  <si>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</si>
  <si>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</si>
  <si>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</si>
  <si>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</si>
  <si>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</si>
  <si>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</si>
  <si>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</si>
  <si>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</si>
  <si>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</si>
  <si>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</si>
  <si>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</si>
  <si>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</si>
  <si>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</si>
  <si>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</si>
  <si>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</si>
  <si>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</si>
  <si>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</si>
  <si>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</si>
  <si>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</si>
  <si>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</si>
  <si>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</si>
  <si>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</si>
  <si>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</si>
  <si>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</si>
  <si>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</si>
  <si>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</si>
  <si>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</si>
  <si>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</si>
  <si>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</si>
  <si>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</si>
  <si>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</si>
  <si>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</si>
  <si>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</si>
  <si>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</si>
  <si>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</si>
  <si>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</si>
  <si>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</si>
  <si>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</si>
  <si>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</si>
  <si>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</si>
  <si>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</si>
  <si>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</si>
  <si>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</si>
  <si>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</si>
  <si>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</si>
  <si>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</si>
  <si>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</si>
  <si>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</si>
  <si>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</si>
  <si>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</si>
  <si>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</si>
  <si>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</si>
  <si>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</si>
  <si>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</si>
  <si>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</si>
  <si>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</si>
  <si>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</si>
  <si>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</si>
  <si>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</si>
  <si>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</si>
  <si>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</si>
  <si>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</si>
  <si>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</si>
  <si>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</si>
  <si>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</si>
  <si>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</si>
  <si>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</si>
  <si>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</si>
  <si>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</si>
  <si>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</si>
  <si>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</si>
  <si>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</si>
  <si>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</si>
  <si>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</si>
  <si>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</si>
  <si>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</si>
  <si>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</si>
  <si>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</si>
  <si>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</si>
  <si>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</si>
  <si>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</si>
  <si>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</si>
  <si>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</si>
  <si>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</si>
  <si>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</si>
  <si>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</si>
  <si>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</si>
  <si>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</si>
  <si>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</si>
  <si>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</si>
  <si>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</si>
  <si>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</si>
  <si>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</si>
  <si>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</si>
  <si>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</si>
  <si>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</si>
  <si>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</si>
  <si>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</si>
  <si>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</si>
  <si>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</si>
  <si>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</si>
  <si>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</si>
  <si>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</si>
  <si>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</si>
  <si>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</si>
  <si>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</si>
  <si>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</si>
  <si>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</si>
  <si>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</si>
  <si>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</si>
  <si>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</si>
  <si>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</si>
  <si>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</si>
  <si>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</si>
  <si>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</si>
  <si>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</si>
  <si>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</si>
  <si>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</si>
  <si>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</si>
  <si>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</si>
  <si>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</si>
  <si>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</si>
  <si>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</si>
  <si>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</si>
  <si>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</si>
  <si>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</si>
  <si>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</si>
  <si>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</si>
  <si>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</si>
  <si>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</si>
  <si>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</si>
  <si>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</si>
  <si>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</si>
  <si>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</si>
  <si>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</si>
  <si>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</si>
  <si>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</si>
  <si>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</si>
  <si>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</si>
  <si>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</si>
  <si>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</si>
  <si>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</si>
  <si>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</si>
  <si>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</si>
  <si>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</si>
  <si>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</si>
  <si>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</si>
  <si>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</si>
  <si>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</si>
  <si>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</si>
  <si>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</si>
  <si>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</si>
  <si>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</si>
  <si>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</si>
  <si>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</si>
  <si>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</si>
  <si>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</si>
  <si>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</si>
  <si>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</si>
  <si>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</si>
  <si>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</si>
  <si>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</si>
  <si>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</si>
  <si>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</si>
  <si>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</si>
  <si>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</si>
  <si>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</si>
  <si>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</si>
  <si>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</si>
  <si>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</si>
  <si>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</si>
  <si>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</si>
  <si>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</si>
  <si>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</si>
  <si>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</si>
  <si>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</si>
  <si>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</si>
  <si>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</si>
  <si>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</si>
  <si>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</si>
  <si>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</si>
  <si>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</si>
  <si>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</si>
  <si>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</si>
  <si>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</si>
  <si>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</si>
  <si>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</si>
  <si>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</si>
  <si>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</si>
  <si>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</si>
  <si>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</si>
  <si>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</si>
  <si>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</si>
  <si>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</si>
  <si>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</si>
  <si>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</si>
  <si>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</si>
  <si>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</si>
  <si>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</si>
  <si>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</si>
  <si>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</si>
  <si>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</si>
  <si>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</si>
  <si>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</si>
  <si>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</si>
  <si>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</si>
  <si>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</si>
  <si>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</si>
  <si>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</si>
  <si>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</si>
  <si>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</si>
  <si>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</si>
  <si>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</si>
  <si>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</si>
  <si>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</si>
  <si>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</si>
  <si>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</si>
  <si>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</si>
  <si>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</si>
  <si>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</si>
  <si>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</si>
  <si>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</si>
  <si>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</si>
  <si>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</si>
  <si>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</si>
  <si>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</si>
  <si>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</si>
  <si>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</si>
  <si>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</si>
  <si>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</si>
  <si>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</si>
  <si>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</si>
  <si>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</si>
  <si>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</si>
  <si>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</si>
  <si>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</si>
  <si>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</si>
  <si>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</si>
  <si>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</si>
  <si>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</si>
  <si>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</si>
  <si>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</si>
  <si>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</si>
  <si>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</si>
  <si>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</si>
  <si>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</si>
  <si>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</si>
  <si>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</si>
  <si>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</si>
  <si>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</si>
  <si>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</si>
  <si>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</si>
  <si>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</si>
  <si>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</si>
  <si>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</si>
  <si>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</si>
  <si>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</si>
  <si>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</si>
  <si>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</si>
  <si>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</si>
  <si>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</si>
  <si>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</si>
  <si>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</si>
  <si>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</si>
  <si>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</si>
  <si>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</si>
  <si>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</si>
  <si>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</si>
  <si>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</si>
  <si>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</si>
  <si>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</si>
  <si>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</si>
  <si>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</si>
  <si>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</si>
  <si>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</si>
  <si>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</si>
  <si>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</si>
  <si>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</si>
  <si>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</si>
  <si>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</si>
  <si>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</si>
  <si>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</si>
  <si>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</si>
  <si>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</si>
  <si>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</si>
  <si>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</si>
  <si>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</si>
  <si>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</si>
  <si>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</si>
  <si>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</si>
  <si>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</si>
  <si>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</si>
  <si>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</si>
  <si>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</si>
  <si>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</si>
  <si>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</si>
  <si>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</si>
  <si>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</si>
  <si>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</si>
  <si>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</si>
  <si>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</si>
  <si>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</si>
  <si>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</si>
  <si>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</si>
  <si>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</si>
  <si>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</si>
  <si>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</si>
  <si>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</si>
  <si>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</si>
  <si>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</si>
  <si>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</si>
  <si>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</si>
  <si>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</si>
  <si>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</si>
  <si>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</si>
  <si>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</si>
  <si>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</si>
  <si>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</si>
  <si>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</si>
  <si>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</si>
  <si>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</si>
  <si>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</si>
  <si>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</si>
  <si>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</si>
  <si>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</si>
  <si>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</si>
  <si>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</si>
  <si>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</si>
  <si>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</si>
  <si>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</si>
  <si>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</si>
  <si>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</si>
  <si>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</si>
  <si>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</si>
  <si>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</si>
  <si>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</si>
  <si>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</si>
  <si>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</si>
  <si>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</si>
  <si>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</si>
  <si>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</si>
  <si>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</si>
  <si>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</si>
  <si>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</si>
  <si>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</si>
  <si>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</si>
  <si>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</si>
  <si>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</si>
  <si>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</si>
  <si>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</si>
  <si>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</si>
  <si>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</si>
  <si>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</si>
  <si>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</si>
  <si>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</si>
  <si>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</si>
  <si>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</si>
  <si>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</si>
  <si>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</si>
  <si>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</si>
  <si>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</si>
  <si>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</si>
  <si>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</si>
  <si>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</si>
  <si>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</si>
  <si>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</si>
  <si>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</si>
  <si>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</si>
  <si>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</si>
  <si>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</si>
  <si>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</si>
  <si>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</si>
  <si>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</si>
  <si>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</si>
  <si>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</si>
  <si>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</si>
  <si>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</si>
  <si>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</si>
  <si>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</si>
  <si>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</si>
  <si>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</si>
  <si>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</si>
  <si>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</si>
  <si>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</si>
  <si>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</si>
  <si>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</si>
  <si>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</si>
  <si>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</si>
  <si>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</si>
  <si>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</si>
  <si>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</si>
  <si>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</si>
  <si>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</si>
  <si>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</si>
  <si>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</si>
  <si>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</si>
  <si>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</si>
  <si>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</si>
  <si>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</si>
  <si>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</si>
  <si>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</si>
  <si>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</si>
  <si>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</si>
  <si>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</si>
  <si>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</si>
  <si>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</si>
  <si>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</si>
  <si>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</si>
  <si>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</si>
  <si>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</si>
  <si>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</si>
  <si>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</si>
  <si>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</si>
  <si>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</si>
  <si>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</si>
  <si>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</si>
  <si>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</si>
  <si>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</si>
  <si>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</si>
  <si>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</si>
  <si>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</si>
  <si>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</si>
  <si>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</si>
  <si>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</si>
  <si>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</si>
  <si>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</si>
  <si>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</si>
  <si>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</si>
  <si>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</si>
  <si>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</si>
  <si>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</si>
  <si>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</si>
  <si>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</si>
  <si>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</si>
  <si>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</si>
  <si>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</si>
  <si>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</si>
  <si>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</si>
  <si>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</si>
  <si>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</si>
  <si>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</si>
  <si>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</si>
  <si>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</si>
  <si>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</si>
  <si>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</si>
  <si>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</si>
  <si>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</si>
  <si>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</si>
  <si>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</si>
  <si>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</si>
  <si>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</si>
  <si>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</si>
  <si>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</si>
  <si>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</si>
  <si>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</si>
  <si>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</si>
  <si>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</si>
  <si>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</si>
  <si>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</si>
  <si>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</si>
  <si>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</si>
  <si>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</si>
  <si>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</si>
  <si>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</si>
  <si>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</si>
  <si>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</si>
  <si>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</si>
  <si>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</si>
  <si>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</si>
  <si>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</si>
  <si>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</si>
  <si>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</si>
  <si>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</si>
  <si>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</si>
  <si>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</si>
  <si>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</si>
  <si>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</si>
  <si>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</si>
  <si>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</si>
  <si>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</si>
  <si>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</si>
  <si>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</si>
  <si>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</si>
  <si>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</si>
  <si>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</si>
  <si>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</si>
  <si>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</si>
  <si>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</si>
  <si>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</si>
  <si>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</si>
  <si>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</si>
  <si>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</si>
  <si>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</si>
  <si>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</si>
  <si>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</si>
  <si>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</si>
  <si>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</si>
  <si>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</si>
  <si>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</si>
  <si>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</si>
  <si>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</si>
  <si>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</si>
  <si>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</si>
  <si>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</si>
  <si>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</si>
  <si>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</si>
  <si>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</si>
  <si>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</si>
  <si>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</si>
  <si>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</si>
  <si>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</si>
  <si>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</si>
  <si>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</si>
  <si>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</si>
  <si>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</si>
  <si>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</si>
  <si>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</si>
  <si>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</si>
  <si>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</si>
  <si>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</si>
  <si>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</si>
  <si>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</si>
  <si>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</si>
  <si>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</si>
  <si>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</si>
  <si>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</si>
  <si>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</si>
  <si>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</si>
  <si>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</si>
  <si>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</si>
  <si>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</si>
  <si>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</si>
  <si>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</si>
  <si>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</si>
  <si>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</si>
  <si>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</si>
  <si>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</si>
  <si>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</si>
  <si>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</si>
  <si>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</si>
  <si>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</si>
  <si>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</si>
  <si>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</si>
  <si>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</si>
  <si>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</si>
  <si>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</si>
  <si>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</si>
  <si>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</si>
  <si>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</si>
  <si>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</si>
  <si>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</si>
  <si>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</si>
  <si>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</si>
  <si>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</si>
  <si>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</si>
  <si>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</si>
  <si>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</si>
  <si>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</si>
  <si>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</si>
  <si>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</si>
  <si>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</si>
  <si>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</si>
  <si>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</si>
  <si>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</si>
  <si>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</si>
  <si>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</si>
  <si>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</si>
  <si>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</si>
  <si>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</si>
  <si>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</si>
  <si>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</si>
  <si>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</si>
  <si>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</si>
  <si>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</si>
  <si>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</si>
  <si>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</si>
  <si>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</si>
  <si>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</si>
  <si>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</si>
  <si>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</si>
  <si>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</si>
  <si>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</si>
  <si>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</si>
  <si>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</si>
  <si>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</si>
  <si>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</si>
  <si>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</si>
  <si>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</si>
  <si>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</si>
  <si>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</si>
  <si>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</si>
  <si>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</si>
  <si>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</si>
  <si>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</si>
  <si>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</si>
  <si>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</si>
  <si>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</si>
  <si>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</si>
  <si>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</si>
  <si>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</si>
  <si>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</si>
  <si>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</si>
  <si>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</si>
  <si>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</si>
  <si>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</si>
  <si>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</si>
  <si>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</si>
  <si>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</si>
  <si>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</si>
  <si>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</si>
  <si>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</si>
  <si>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</si>
  <si>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</si>
  <si>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</si>
  <si>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</si>
  <si>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</si>
  <si>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</si>
  <si>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</si>
  <si>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</si>
  <si>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</si>
  <si>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</si>
  <si>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</si>
  <si>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</si>
  <si>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</si>
  <si>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</si>
  <si>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</si>
  <si>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</si>
  <si>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</si>
  <si>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</si>
  <si>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</si>
  <si>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</si>
  <si>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</si>
  <si>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</si>
  <si>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</si>
  <si>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</si>
  <si>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</si>
  <si>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</si>
  <si>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</si>
  <si>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</si>
  <si>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</si>
  <si>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</si>
  <si>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</si>
  <si>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</si>
  <si>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</si>
  <si>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</si>
  <si>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</si>
  <si>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</si>
  <si>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</si>
  <si>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</si>
  <si>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</si>
  <si>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</si>
  <si>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</si>
  <si>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</si>
  <si>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</si>
  <si>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</si>
  <si>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</si>
  <si>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</si>
  <si>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</si>
  <si>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</si>
  <si>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</si>
  <si>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</si>
  <si>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</si>
  <si>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</si>
  <si>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</si>
  <si>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</si>
  <si>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</si>
  <si>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</si>
  <si>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</si>
  <si>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</si>
  <si>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</si>
  <si>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</si>
  <si>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</si>
  <si>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</si>
  <si>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</si>
  <si>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</si>
  <si>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</si>
  <si>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</si>
  <si>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</si>
  <si>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</si>
  <si>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</si>
  <si>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</si>
  <si>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</si>
  <si>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</si>
  <si>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</si>
  <si>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</si>
  <si>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</si>
  <si>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</si>
  <si>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</si>
  <si>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</si>
  <si>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</si>
  <si>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</si>
  <si>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</si>
  <si>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</si>
  <si>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</si>
  <si>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</si>
  <si>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</si>
  <si>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</si>
  <si>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</si>
  <si>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</si>
  <si>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</si>
  <si>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</si>
  <si>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</si>
  <si>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</si>
  <si>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</si>
  <si>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</si>
  <si>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</si>
  <si>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</si>
  <si>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</si>
  <si>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</si>
  <si>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</si>
  <si>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</si>
  <si>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</si>
  <si>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</si>
  <si>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</si>
  <si>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</si>
  <si>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</si>
  <si>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</si>
  <si>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</si>
  <si>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</si>
  <si>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</si>
  <si>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</si>
  <si>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</si>
  <si>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</si>
  <si>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</si>
  <si>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</si>
  <si>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</si>
  <si>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</si>
  <si>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</si>
  <si>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</si>
  <si>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</si>
  <si>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</si>
  <si>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</si>
  <si>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</si>
  <si>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</si>
  <si>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</si>
  <si>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</si>
  <si>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</si>
  <si>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</si>
  <si>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</si>
  <si>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</si>
  <si>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</si>
  <si>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</si>
  <si>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</si>
  <si>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</si>
  <si>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</si>
  <si>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</si>
  <si>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</si>
  <si>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</si>
  <si>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</si>
  <si>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</si>
  <si>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</si>
  <si>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</si>
  <si>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</si>
  <si>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</si>
  <si>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</si>
  <si>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</si>
  <si>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</si>
  <si>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</si>
  <si>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</si>
  <si>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</si>
  <si>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</si>
  <si>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</si>
  <si>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</si>
  <si>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</si>
  <si>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</si>
  <si>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</si>
  <si>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</si>
  <si>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</si>
  <si>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</si>
  <si>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</si>
  <si>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</si>
  <si>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</si>
  <si>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</si>
  <si>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</si>
  <si>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</si>
  <si>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</si>
  <si>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</si>
  <si>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</si>
  <si>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</si>
  <si>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</si>
  <si>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</si>
  <si>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</si>
  <si>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</si>
  <si>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</si>
  <si>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</si>
  <si>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</si>
  <si>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</si>
  <si>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</si>
  <si>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</si>
  <si>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</si>
  <si>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</si>
  <si>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</si>
  <si>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</si>
  <si>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</si>
  <si>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</si>
  <si>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</si>
  <si>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</si>
  <si>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</si>
  <si>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</si>
  <si>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</si>
  <si>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</si>
  <si>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</si>
  <si>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</si>
  <si>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</si>
  <si>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</si>
  <si>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</si>
  <si>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</si>
  <si>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</si>
  <si>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</si>
  <si>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</si>
  <si>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</si>
  <si>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</si>
  <si>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</si>
  <si>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</si>
  <si>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</si>
  <si>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</si>
  <si>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</si>
  <si>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</si>
  <si>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</si>
  <si>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</si>
  <si>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</si>
  <si>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</si>
  <si>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</si>
  <si>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</si>
  <si>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</si>
  <si>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</si>
  <si>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</si>
  <si>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</si>
  <si>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</si>
  <si>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</si>
  <si>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</si>
  <si>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</si>
  <si>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</si>
  <si>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</si>
  <si>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</si>
  <si>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</si>
  <si>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</si>
  <si>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</si>
  <si>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</si>
  <si>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</si>
  <si>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</si>
  <si>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</si>
  <si>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</si>
  <si>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</si>
  <si>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</si>
  <si>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</si>
  <si>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</si>
  <si>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</si>
  <si>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</si>
  <si>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</si>
  <si>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</si>
  <si>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</si>
  <si>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</si>
  <si>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</si>
  <si>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</si>
  <si>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</si>
  <si>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</si>
  <si>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</si>
  <si>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</si>
  <si>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</si>
  <si>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</si>
  <si>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</si>
  <si>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</si>
  <si>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</si>
  <si>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</si>
  <si>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</si>
  <si>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</si>
  <si>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</si>
  <si>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</si>
  <si>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</si>
  <si>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</si>
  <si>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</si>
  <si>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</si>
  <si>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</si>
  <si>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</si>
  <si>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</si>
  <si>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</si>
  <si>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</si>
  <si>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</si>
  <si>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</si>
  <si>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</si>
  <si>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</si>
  <si>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</si>
  <si>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</si>
  <si>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</si>
  <si>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</si>
  <si>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</si>
  <si>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</si>
  <si>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</si>
  <si>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</si>
  <si>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</si>
  <si>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</si>
  <si>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</si>
  <si>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</si>
  <si>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</si>
  <si>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</si>
  <si>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</si>
  <si>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</si>
  <si>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</si>
  <si>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</si>
  <si>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</si>
  <si>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</si>
  <si>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</si>
  <si>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</si>
  <si>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</si>
  <si>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</si>
  <si>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</si>
  <si>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</si>
  <si>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</si>
  <si>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</si>
  <si>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</si>
  <si>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</si>
  <si>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</si>
  <si>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</si>
  <si>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</si>
  <si>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</si>
  <si>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</si>
  <si>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</si>
  <si>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</si>
  <si>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</si>
  <si>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</si>
  <si>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</si>
  <si>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</si>
  <si>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</si>
  <si>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</si>
  <si>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</si>
  <si>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</si>
  <si>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</si>
  <si>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</si>
  <si>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</si>
  <si>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</si>
  <si>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</si>
  <si>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</si>
  <si>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</si>
  <si>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</si>
  <si>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</si>
  <si>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</si>
  <si>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</si>
  <si>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</si>
  <si>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</si>
  <si>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</si>
  <si>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</si>
  <si>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</si>
  <si>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</si>
  <si>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</si>
  <si>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</si>
  <si>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</si>
  <si>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</si>
  <si>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</si>
  <si>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</si>
  <si>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</si>
  <si>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</si>
  <si>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</si>
  <si>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</si>
  <si>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</si>
  <si>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</si>
  <si>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</si>
  <si>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</si>
  <si>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</si>
  <si>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</si>
  <si>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</si>
  <si>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</si>
  <si>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</si>
  <si>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</si>
  <si>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</si>
  <si>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</si>
  <si>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</si>
  <si>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</si>
  <si>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</si>
  <si>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</si>
  <si>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</si>
  <si>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</si>
  <si>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</si>
  <si>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</si>
  <si>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</si>
  <si>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</si>
  <si>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</si>
  <si>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</si>
  <si>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</si>
  <si>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</si>
  <si>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</si>
  <si>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</si>
  <si>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</si>
  <si>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</si>
  <si>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</si>
  <si>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</si>
  <si>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</si>
  <si>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</si>
  <si>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</si>
  <si>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</si>
  <si>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</si>
  <si>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</si>
  <si>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</si>
  <si>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</si>
  <si>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</si>
  <si>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</si>
  <si>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</si>
  <si>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</si>
  <si>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</si>
  <si>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</si>
  <si>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</si>
  <si>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</si>
  <si>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</si>
  <si>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</si>
  <si>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</si>
  <si>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</si>
  <si>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</si>
  <si>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</si>
  <si>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</si>
  <si>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</si>
  <si>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</si>
  <si>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</si>
  <si>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</si>
  <si>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</si>
  <si>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</si>
  <si>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</si>
  <si>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</si>
  <si>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</si>
  <si>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</si>
  <si>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</si>
  <si>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</si>
  <si>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</si>
  <si>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</si>
  <si>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</si>
  <si>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</si>
  <si>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</si>
  <si>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</si>
  <si>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</si>
  <si>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</si>
  <si>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</si>
  <si>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</si>
  <si>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</si>
  <si>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</si>
  <si>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</si>
  <si>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</si>
  <si>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</si>
  <si>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</si>
  <si>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</si>
  <si>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</si>
  <si>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</si>
  <si>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</si>
  <si>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</si>
  <si>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</si>
  <si>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</si>
  <si>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</si>
  <si>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</si>
  <si>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</si>
  <si>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</si>
  <si>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</si>
  <si>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</si>
  <si>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</si>
  <si>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</si>
  <si>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</si>
  <si>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</si>
  <si>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</si>
  <si>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</si>
  <si>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</si>
  <si>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</si>
  <si>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</si>
  <si>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</si>
  <si>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</si>
  <si>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</si>
  <si>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</si>
  <si>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</si>
  <si>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</si>
  <si>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</si>
  <si>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</si>
  <si>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</si>
  <si>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</si>
  <si>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</si>
  <si>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</si>
  <si>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</si>
  <si>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</si>
  <si>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</si>
  <si>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</si>
  <si>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</si>
  <si>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</si>
  <si>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</si>
  <si>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</si>
  <si>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</si>
  <si>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</si>
  <si>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</si>
  <si>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</si>
  <si>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</si>
  <si>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</si>
  <si>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</si>
  <si>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</si>
  <si>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</si>
  <si>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</si>
  <si>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</si>
  <si>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</si>
  <si>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</si>
  <si>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</si>
  <si>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</si>
  <si>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</si>
  <si>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</si>
  <si>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</si>
  <si>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</si>
  <si>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</si>
  <si>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</si>
  <si>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</si>
  <si>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</si>
  <si>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</si>
  <si>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</si>
  <si>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</si>
  <si>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</si>
  <si>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</si>
  <si>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</si>
  <si>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</si>
  <si>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</si>
  <si>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</si>
  <si>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</si>
  <si>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</si>
  <si>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</si>
  <si>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</si>
  <si>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</si>
  <si>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</si>
  <si>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</si>
  <si>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</si>
  <si>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</si>
  <si>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</si>
  <si>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</si>
  <si>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</si>
  <si>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</si>
  <si>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</si>
  <si>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</si>
  <si>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</si>
  <si>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</si>
  <si>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</si>
  <si>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</si>
  <si>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</si>
  <si>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</si>
  <si>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</si>
  <si>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</si>
  <si>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</si>
  <si>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</si>
  <si>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</si>
  <si>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</si>
  <si>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</si>
  <si>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</si>
  <si>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</si>
  <si>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</si>
  <si>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</si>
  <si>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</si>
  <si>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</si>
  <si>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</si>
  <si>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</si>
  <si>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</si>
  <si>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</si>
  <si>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</si>
  <si>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</si>
  <si>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</si>
  <si>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</si>
  <si>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</si>
  <si>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</si>
  <si>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</si>
  <si>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</si>
  <si>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</si>
  <si>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</si>
  <si>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</si>
  <si>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</si>
  <si>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</si>
  <si>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</si>
  <si>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</si>
  <si>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</si>
  <si>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</si>
  <si>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</si>
  <si>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</si>
  <si>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</si>
  <si>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</si>
  <si>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</si>
  <si>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</si>
  <si>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</si>
  <si>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</si>
  <si>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</si>
  <si>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</si>
  <si>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</si>
  <si>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</si>
  <si>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</si>
  <si>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</si>
  <si>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</si>
  <si>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</si>
  <si>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</si>
  <si>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</si>
  <si>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</si>
  <si>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</si>
  <si>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</si>
  <si>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</si>
  <si>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</si>
  <si>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</si>
  <si>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</si>
  <si>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</si>
  <si>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</si>
  <si>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</si>
  <si>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</si>
  <si>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</si>
  <si>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</si>
  <si>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</si>
  <si>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</si>
  <si>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</si>
  <si>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</si>
  <si>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</si>
  <si>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</si>
  <si>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</si>
  <si>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</si>
  <si>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</si>
  <si>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</si>
  <si>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</si>
  <si>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</si>
  <si>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</si>
  <si>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</si>
  <si>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</si>
  <si>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</si>
  <si>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</si>
  <si>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</si>
  <si>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</si>
  <si>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</si>
  <si>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</si>
  <si>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</si>
  <si>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</si>
  <si>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</si>
  <si>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</si>
  <si>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</si>
  <si>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</si>
  <si>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</si>
  <si>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</si>
  <si>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</si>
  <si>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</si>
  <si>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</si>
  <si>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</si>
  <si>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</si>
  <si>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</si>
  <si>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</si>
  <si>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</si>
  <si>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</si>
  <si>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</si>
  <si>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</si>
  <si>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</si>
  <si>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</si>
  <si>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</si>
  <si>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</si>
  <si>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</si>
  <si>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</si>
  <si>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</si>
  <si>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</si>
  <si>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</si>
  <si>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</si>
  <si>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</si>
  <si>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</si>
  <si>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</si>
  <si>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</si>
  <si>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</si>
  <si>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</si>
  <si>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</si>
  <si>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</si>
  <si>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</si>
  <si>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</si>
  <si>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</si>
  <si>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</si>
  <si>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</si>
  <si>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</si>
  <si>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</si>
  <si>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</si>
  <si>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</si>
  <si>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</si>
  <si>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</si>
  <si>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</si>
  <si>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</si>
  <si>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</si>
  <si>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</si>
  <si>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</si>
  <si>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</si>
  <si>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</si>
  <si>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</si>
  <si>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</si>
  <si>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</si>
  <si>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</si>
  <si>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</si>
  <si>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</si>
  <si>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</si>
  <si>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</si>
  <si>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</si>
  <si>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</si>
  <si>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</si>
  <si>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</si>
  <si>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</si>
  <si>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</si>
  <si>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</si>
  <si>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</si>
  <si>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</si>
  <si>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</si>
  <si>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</si>
  <si>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</si>
  <si>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</si>
  <si>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</si>
  <si>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</si>
  <si>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</si>
  <si>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</si>
  <si>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</si>
  <si>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</si>
  <si>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</si>
  <si>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</si>
  <si>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</si>
  <si>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</si>
  <si>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</si>
  <si>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</si>
  <si>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</si>
  <si>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</si>
  <si>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</si>
  <si>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</si>
  <si>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</si>
  <si>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</si>
  <si>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</si>
  <si>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</si>
  <si>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</si>
  <si>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</si>
  <si>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</si>
  <si>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</si>
  <si>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</si>
  <si>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</si>
  <si>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</si>
  <si>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</si>
  <si>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</si>
  <si>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</si>
  <si>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</si>
  <si>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</si>
  <si>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</si>
  <si>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</si>
  <si>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</si>
  <si>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</si>
  <si>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</si>
  <si>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</si>
  <si>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</si>
  <si>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</si>
  <si>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</si>
  <si>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</si>
  <si>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</si>
  <si>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</si>
  <si>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</si>
  <si>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</si>
  <si>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</si>
  <si>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</si>
  <si>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</si>
  <si>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</si>
  <si>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</si>
  <si>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</si>
  <si>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</si>
  <si>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</si>
  <si>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</si>
  <si>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</si>
  <si>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</si>
  <si>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</si>
  <si>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</si>
  <si>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</si>
  <si>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</si>
  <si>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</si>
  <si>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</si>
  <si>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</si>
  <si>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</si>
  <si>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</si>
  <si>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</si>
  <si>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</si>
  <si>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</si>
  <si>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</si>
  <si>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</si>
  <si>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</si>
  <si>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</si>
  <si>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</si>
  <si>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</si>
  <si>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</si>
  <si>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</si>
  <si>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</si>
  <si>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</si>
  <si>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</si>
  <si>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</si>
  <si>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</si>
  <si>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</si>
  <si>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</si>
  <si>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</si>
  <si>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</si>
  <si>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</si>
  <si>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</si>
  <si>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</si>
  <si>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</si>
  <si>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</si>
  <si>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</si>
  <si>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</si>
  <si>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</si>
  <si>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</si>
  <si>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</si>
  <si>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</si>
  <si>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</si>
  <si>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</si>
  <si>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</si>
  <si>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</si>
  <si>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</si>
  <si>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</si>
  <si>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</si>
  <si>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</si>
  <si>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</si>
  <si>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</si>
  <si>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</si>
  <si>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</si>
  <si>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</si>
  <si>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</si>
  <si>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</si>
  <si>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</si>
  <si>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</si>
  <si>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</si>
  <si>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</si>
  <si>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</si>
  <si>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</si>
  <si>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</si>
  <si>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</si>
  <si>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</si>
  <si>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</si>
  <si>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</si>
  <si>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</si>
  <si>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</si>
  <si>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</si>
  <si>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</si>
  <si>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</si>
  <si>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</si>
  <si>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</si>
  <si>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</si>
  <si>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</si>
  <si>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</si>
  <si>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</si>
  <si>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</si>
  <si>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</si>
  <si>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</si>
  <si>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</si>
  <si>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</si>
  <si>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</si>
  <si>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</si>
  <si>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</si>
  <si>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</si>
  <si>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</si>
  <si>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</si>
  <si>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</si>
  <si>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</si>
  <si>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</si>
  <si>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</si>
  <si>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</si>
  <si>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</si>
  <si>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</si>
  <si>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</si>
  <si>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</si>
  <si>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</si>
  <si>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</si>
  <si>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</si>
  <si>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</si>
  <si>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</si>
  <si>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</si>
  <si>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</si>
  <si>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</si>
  <si>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</si>
  <si>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</si>
  <si>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</si>
  <si>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</si>
  <si>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</si>
  <si>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</si>
  <si>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</si>
  <si>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</si>
  <si>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</si>
  <si>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</si>
  <si>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</si>
  <si>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</si>
  <si>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</si>
  <si>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</si>
  <si>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</si>
  <si>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</si>
  <si>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</si>
  <si>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</si>
  <si>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</si>
  <si>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</si>
  <si>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</si>
  <si>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</si>
  <si>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</si>
  <si>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</si>
  <si>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</si>
  <si>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</si>
  <si>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</si>
  <si>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</si>
  <si>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</si>
  <si>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</si>
  <si>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</si>
  <si>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</si>
  <si>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</si>
  <si>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</si>
  <si>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</si>
  <si>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</si>
  <si>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</si>
  <si>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</si>
  <si>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</si>
  <si>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</si>
  <si>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</si>
  <si>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</si>
  <si>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</si>
  <si>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</si>
  <si>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</si>
  <si>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</si>
  <si>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</si>
  <si>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</si>
  <si>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</si>
  <si>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</si>
  <si>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</si>
  <si>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</si>
  <si>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</si>
  <si>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</si>
  <si>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</si>
  <si>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</si>
  <si>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</si>
  <si>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</si>
  <si>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</si>
  <si>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</si>
  <si>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</si>
  <si>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</si>
  <si>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</si>
  <si>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</si>
  <si>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</si>
  <si>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</si>
  <si>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</si>
  <si>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</si>
  <si>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</si>
  <si>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</si>
  <si>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</si>
  <si>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</si>
  <si>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</si>
  <si>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</si>
  <si>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</si>
  <si>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</si>
  <si>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</si>
  <si>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</si>
  <si>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</si>
  <si>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</si>
  <si>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</si>
  <si>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</si>
  <si>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</si>
  <si>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</si>
  <si>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</si>
  <si>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</si>
  <si>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</si>
  <si>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</si>
  <si>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</si>
  <si>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</si>
  <si>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</si>
  <si>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</si>
  <si>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</si>
  <si>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</si>
  <si>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</si>
  <si>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</si>
  <si>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</si>
  <si>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</si>
  <si>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</si>
  <si>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</si>
  <si>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</si>
  <si>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</si>
  <si>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</si>
  <si>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</si>
  <si>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</si>
  <si>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</si>
  <si>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</si>
  <si>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</si>
  <si>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</si>
  <si>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</si>
  <si>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</si>
  <si>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</si>
  <si>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</si>
  <si>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</si>
  <si>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</si>
  <si>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</si>
  <si>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</si>
  <si>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</si>
  <si>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</si>
  <si>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</si>
  <si>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</si>
  <si>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</si>
  <si>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</si>
  <si>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</si>
  <si>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</si>
  <si>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</si>
  <si>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</si>
  <si>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</si>
  <si>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</si>
  <si>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</si>
  <si>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</si>
  <si>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</si>
  <si>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</si>
  <si>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</si>
  <si>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</si>
  <si>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</si>
  <si>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</si>
  <si>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</si>
  <si>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</si>
  <si>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</si>
  <si>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</si>
  <si>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</si>
  <si>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</si>
  <si>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</si>
  <si>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</si>
  <si>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</si>
  <si>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</si>
  <si>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</si>
  <si>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</si>
  <si>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</si>
  <si>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</si>
  <si>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</si>
  <si>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</si>
  <si>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</si>
  <si>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</si>
  <si>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</si>
  <si>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</si>
  <si>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</si>
  <si>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</si>
  <si>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</si>
  <si>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</si>
  <si>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</si>
  <si>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</si>
  <si>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</si>
  <si>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</si>
  <si>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</si>
  <si>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</si>
  <si>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</si>
  <si>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</si>
  <si>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</si>
  <si>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</si>
  <si>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</si>
  <si>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</si>
  <si>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</si>
  <si>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</si>
  <si>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</si>
  <si>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</si>
  <si>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</si>
  <si>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</si>
  <si>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</si>
  <si>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</si>
  <si>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</si>
  <si>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</si>
  <si>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</si>
  <si>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</si>
  <si>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</si>
  <si>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</si>
  <si>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</si>
  <si>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</si>
  <si>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</si>
  <si>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</si>
  <si>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</si>
  <si>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</si>
  <si>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</si>
  <si>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</si>
  <si>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</si>
  <si>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</si>
  <si>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</si>
  <si>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</si>
  <si>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</si>
  <si>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</si>
  <si>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</si>
  <si>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</si>
  <si>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</si>
  <si>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</si>
  <si>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</si>
  <si>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</si>
  <si>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</si>
  <si>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</si>
  <si>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</si>
  <si>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</si>
  <si>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</si>
  <si>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</si>
  <si>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</si>
  <si>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</si>
  <si>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</si>
  <si>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</si>
  <si>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</si>
  <si>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</si>
  <si>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</si>
  <si>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</si>
  <si>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</si>
  <si>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</si>
  <si>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</si>
  <si>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</si>
  <si>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</si>
  <si>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</si>
  <si>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</si>
  <si>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</si>
  <si>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</si>
  <si>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</si>
  <si>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</si>
  <si>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</si>
  <si>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</si>
  <si>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</si>
  <si>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</si>
  <si>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</si>
  <si>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</si>
  <si>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</si>
  <si>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</si>
  <si>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</si>
  <si>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</si>
  <si>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</si>
  <si>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</si>
  <si>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</si>
  <si>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</si>
  <si>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</si>
  <si>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</si>
  <si>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</si>
  <si>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</si>
  <si>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</si>
  <si>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</si>
  <si>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</si>
  <si>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</si>
  <si>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</si>
  <si>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</si>
  <si>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</si>
  <si>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</si>
  <si>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</si>
  <si>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</si>
  <si>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</si>
  <si>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</si>
  <si>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</si>
  <si>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</si>
  <si>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</si>
  <si>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</si>
  <si>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</si>
  <si>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</si>
  <si>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</si>
  <si>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</si>
  <si>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</si>
  <si>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</si>
  <si>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</si>
  <si>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</si>
  <si>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</si>
  <si>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</si>
  <si>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</si>
  <si>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</si>
  <si>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</si>
  <si>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</si>
  <si>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</si>
  <si>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</si>
  <si>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</si>
  <si>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</si>
  <si>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</si>
  <si>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</si>
  <si>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</si>
  <si>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</si>
  <si>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</si>
  <si>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</si>
  <si>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</si>
  <si>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</si>
  <si>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</si>
  <si>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</si>
  <si>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</si>
  <si>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</si>
  <si>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</si>
  <si>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</si>
  <si>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</si>
  <si>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</si>
  <si>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</si>
  <si>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</si>
  <si>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</si>
  <si>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</si>
  <si>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</si>
  <si>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</si>
  <si>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</si>
  <si>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</si>
  <si>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</si>
  <si>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</si>
  <si>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</si>
  <si>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</si>
  <si>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</si>
  <si>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</si>
  <si>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</si>
  <si>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</si>
  <si>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</si>
  <si>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</si>
  <si>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</si>
  <si>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</si>
  <si>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</si>
  <si>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</si>
  <si>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</si>
  <si>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</si>
  <si>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</si>
  <si>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</si>
  <si>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</si>
  <si>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</si>
  <si>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</si>
  <si>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</si>
  <si>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</si>
  <si>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</si>
  <si>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</si>
  <si>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</si>
  <si>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</si>
  <si>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</si>
  <si>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</si>
  <si>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</si>
  <si>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</si>
  <si>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</si>
  <si>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</si>
  <si>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</si>
  <si>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</si>
  <si>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</si>
  <si>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</si>
  <si>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</si>
  <si>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</si>
  <si>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</si>
  <si>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</si>
  <si>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</si>
  <si>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</si>
  <si>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</si>
  <si>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</si>
  <si>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</si>
  <si>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</si>
  <si>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</si>
  <si>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</si>
  <si>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</si>
  <si>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</si>
  <si>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</si>
  <si>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</si>
  <si>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</si>
  <si>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</si>
  <si>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</si>
  <si>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</si>
  <si>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</si>
  <si>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</si>
  <si>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</si>
  <si>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</si>
  <si>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</si>
  <si>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</si>
  <si>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</si>
  <si>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</si>
  <si>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</si>
  <si>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</si>
  <si>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</si>
  <si>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</si>
  <si>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</si>
  <si>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</si>
  <si>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</si>
  <si>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</si>
  <si>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</si>
  <si>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</si>
  <si>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</si>
  <si>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</si>
  <si>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</si>
  <si>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</si>
  <si>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</si>
  <si>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</si>
  <si>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</si>
  <si>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</si>
  <si>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</si>
  <si>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</si>
  <si>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</si>
  <si>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</si>
  <si>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</si>
  <si>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</si>
  <si>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</si>
  <si>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</si>
  <si>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</si>
  <si>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</si>
  <si>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</si>
  <si>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</si>
  <si>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</si>
  <si>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</si>
  <si>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</si>
  <si>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</si>
  <si>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</si>
  <si>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</si>
  <si>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</si>
  <si>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</si>
  <si>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</si>
  <si>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</si>
  <si>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</si>
  <si>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</si>
  <si>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</si>
  <si>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</si>
  <si>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</si>
  <si>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</si>
  <si>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</si>
  <si>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</si>
  <si>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</si>
  <si>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</si>
  <si>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</si>
  <si>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</si>
  <si>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</si>
  <si>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</si>
  <si>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</si>
  <si>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</si>
  <si>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</si>
  <si>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</si>
  <si>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</si>
  <si>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</si>
  <si>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</si>
  <si>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</si>
  <si>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</si>
  <si>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</si>
  <si>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</si>
  <si>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</si>
  <si>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</si>
  <si>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</si>
  <si>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</si>
  <si>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</si>
  <si>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</si>
  <si>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</si>
  <si>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</si>
  <si>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</si>
  <si>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</si>
  <si>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</si>
  <si>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</si>
  <si>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</si>
  <si>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</si>
  <si>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</si>
  <si>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</si>
  <si>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</si>
  <si>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</si>
  <si>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</si>
  <si>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</si>
  <si>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</si>
  <si>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</si>
  <si>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</si>
  <si>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</si>
  <si>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</si>
  <si>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</si>
  <si>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</si>
  <si>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</si>
  <si>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</si>
  <si>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</si>
  <si>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</si>
  <si>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</si>
  <si>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</si>
  <si>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</si>
  <si>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</si>
  <si>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</si>
  <si>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</si>
  <si>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</si>
  <si>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</si>
  <si>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</si>
  <si>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</si>
  <si>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</si>
  <si>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</si>
  <si>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</si>
  <si>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</si>
  <si>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</si>
  <si>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</si>
  <si>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</si>
  <si>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</si>
  <si>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</si>
  <si>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</si>
  <si>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</si>
  <si>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</si>
  <si>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</si>
  <si>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</si>
  <si>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</si>
  <si>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</si>
  <si>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</si>
  <si>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</si>
  <si>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</si>
  <si>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</si>
  <si>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</si>
  <si>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</si>
  <si>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</si>
  <si>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</si>
  <si>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</si>
  <si>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</si>
  <si>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</si>
  <si>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</si>
  <si>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</si>
  <si>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</si>
  <si>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</si>
  <si>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</si>
  <si>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</si>
  <si>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</si>
  <si>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</si>
  <si>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</si>
  <si>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</si>
  <si>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</si>
  <si>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</si>
  <si>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</si>
  <si>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</si>
  <si>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</si>
  <si>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</si>
  <si>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</si>
  <si>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</si>
  <si>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</si>
  <si>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</si>
  <si>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</si>
  <si>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</si>
  <si>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</si>
  <si>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</si>
  <si>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</si>
  <si>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</si>
  <si>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</si>
  <si>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</si>
  <si>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</si>
  <si>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</si>
  <si>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</si>
  <si>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</si>
  <si>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</si>
  <si>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</si>
  <si>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</si>
  <si>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</si>
  <si>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</si>
  <si>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</si>
  <si>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</si>
  <si>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</si>
  <si>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</si>
  <si>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</si>
  <si>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</si>
  <si>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</si>
  <si>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</si>
  <si>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</si>
  <si>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</si>
  <si>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</si>
  <si>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</si>
  <si>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</si>
  <si>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</si>
  <si>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</si>
  <si>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</si>
  <si>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</si>
  <si>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</si>
  <si>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</si>
  <si>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</si>
  <si>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</si>
  <si>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</si>
  <si>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</si>
  <si>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</si>
  <si>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</si>
  <si>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</si>
  <si>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</si>
  <si>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</si>
  <si>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</si>
  <si>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</si>
  <si>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</si>
  <si>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</si>
  <si>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</si>
  <si>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</si>
  <si>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</si>
  <si>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</si>
  <si>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</si>
  <si>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</si>
  <si>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</si>
  <si>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</si>
  <si>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</si>
  <si>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</si>
  <si>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</si>
  <si>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</si>
  <si>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</si>
  <si>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</si>
  <si>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</si>
  <si>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</si>
  <si>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</si>
  <si>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</si>
  <si>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</si>
  <si>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</si>
  <si>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</si>
  <si>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</si>
  <si>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</si>
  <si>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</si>
  <si>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</si>
  <si>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</si>
  <si>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</si>
  <si>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</si>
  <si>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</si>
  <si>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</si>
  <si>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</si>
  <si>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</si>
  <si>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</si>
  <si>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</si>
  <si>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</si>
  <si>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</si>
  <si>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</si>
  <si>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</si>
  <si>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</si>
  <si>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</si>
  <si>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</si>
  <si>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</si>
  <si>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</si>
  <si>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</si>
  <si>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</si>
  <si>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</si>
  <si>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</si>
  <si>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</si>
  <si>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</si>
  <si>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</si>
  <si>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</si>
  <si>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</si>
  <si>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</si>
  <si>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</si>
  <si>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</si>
  <si>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</si>
  <si>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</si>
  <si>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</si>
  <si>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</si>
  <si>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</si>
  <si>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</si>
  <si>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</si>
  <si>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</si>
  <si>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</si>
  <si>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</si>
  <si>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</si>
  <si>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</si>
  <si>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</si>
  <si>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</si>
  <si>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</si>
  <si>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</si>
  <si>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</si>
  <si>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</si>
  <si>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</si>
  <si>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</si>
  <si>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</si>
  <si>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</si>
  <si>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</si>
  <si>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</si>
  <si>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</si>
  <si>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</si>
  <si>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</si>
  <si>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</si>
  <si>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</si>
  <si>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</si>
  <si>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</si>
  <si>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</si>
  <si>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</si>
  <si>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</si>
  <si>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</si>
  <si>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</si>
  <si>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</si>
  <si>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</si>
  <si>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</si>
  <si>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</si>
  <si>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</si>
  <si>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</si>
  <si>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</si>
  <si>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</si>
  <si>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</si>
  <si>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</si>
  <si>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</si>
  <si>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</si>
  <si>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</si>
  <si>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</si>
  <si>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</si>
  <si>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</si>
  <si>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</si>
  <si>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</si>
  <si>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</si>
  <si>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</si>
  <si>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</si>
  <si>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</si>
  <si>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</si>
  <si>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</si>
  <si>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</si>
  <si>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</si>
  <si>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</si>
  <si>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</si>
  <si>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</si>
  <si>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</si>
  <si>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</si>
  <si>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</si>
  <si>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</si>
  <si>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</si>
  <si>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</si>
  <si>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</si>
  <si>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</si>
  <si>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</si>
  <si>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</si>
  <si>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</si>
  <si>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</si>
  <si>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</si>
  <si>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</si>
  <si>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</si>
  <si>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</si>
  <si>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</si>
  <si>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</si>
  <si>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</si>
  <si>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</si>
  <si>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</si>
  <si>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</si>
  <si>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</si>
  <si>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</si>
  <si>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</si>
  <si>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</si>
  <si>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</si>
  <si>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</si>
  <si>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</si>
  <si>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</si>
  <si>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</si>
  <si>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</si>
  <si>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</si>
  <si>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</si>
  <si>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</si>
  <si>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</si>
  <si>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</si>
  <si>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</si>
  <si>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</si>
  <si>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</si>
  <si>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</si>
  <si>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</si>
  <si>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</si>
  <si>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</si>
  <si>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</si>
  <si>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</si>
  <si>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</si>
  <si>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</si>
  <si>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</si>
  <si>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</si>
  <si>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</si>
  <si>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</si>
  <si>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</si>
  <si>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</si>
  <si>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</si>
  <si>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</si>
  <si>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</si>
  <si>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</si>
  <si>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</si>
  <si>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</si>
  <si>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</si>
  <si>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</si>
  <si>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</si>
  <si>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</si>
  <si>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</si>
  <si>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</si>
  <si>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</si>
  <si>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</si>
  <si>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</si>
  <si>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</si>
  <si>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</si>
  <si>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</si>
  <si>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</si>
  <si>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</si>
  <si>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</si>
  <si>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</si>
  <si>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</si>
  <si>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</si>
  <si>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</si>
  <si>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</si>
  <si>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</si>
  <si>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</si>
  <si>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</si>
  <si>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</si>
  <si>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</si>
  <si>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</si>
  <si>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</si>
  <si>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</si>
  <si>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</si>
  <si>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</si>
  <si>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</si>
  <si>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</si>
  <si>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</si>
  <si>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</si>
  <si>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</si>
  <si>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</si>
  <si>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</si>
  <si>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</si>
  <si>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</si>
  <si>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</si>
  <si>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</si>
  <si>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</si>
  <si>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</si>
  <si>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</si>
  <si>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</si>
  <si>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</si>
  <si>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</si>
  <si>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</si>
  <si>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</si>
  <si>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</si>
  <si>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</si>
  <si>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</si>
  <si>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</si>
  <si>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</si>
  <si>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</si>
  <si>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</si>
  <si>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</si>
  <si>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</si>
  <si>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</si>
  <si>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</si>
  <si>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</si>
  <si>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</si>
  <si>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</si>
  <si>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</si>
  <si>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</si>
  <si>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</si>
  <si>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</si>
  <si>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</si>
  <si>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</si>
  <si>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</si>
  <si>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</si>
  <si>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</si>
  <si>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</si>
  <si>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</si>
  <si>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</si>
  <si>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</si>
  <si>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</si>
  <si>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</si>
  <si>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</si>
  <si>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</si>
  <si>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</si>
  <si>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</si>
  <si>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</si>
  <si>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</si>
  <si>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</si>
  <si>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</si>
  <si>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</si>
  <si>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</si>
  <si>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</si>
  <si>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</si>
  <si>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</si>
  <si>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</si>
  <si>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</si>
  <si>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</si>
  <si>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</si>
  <si>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</si>
  <si>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</si>
  <si>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</si>
  <si>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</si>
  <si>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</si>
  <si>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</si>
  <si>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</si>
  <si>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</si>
  <si>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</si>
  <si>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</si>
  <si>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</si>
  <si>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</si>
  <si>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</si>
  <si>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</si>
  <si>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</si>
  <si>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</si>
  <si>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</si>
  <si>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</si>
  <si>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</si>
  <si>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</si>
  <si>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</si>
  <si>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</si>
  <si>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</si>
  <si>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</si>
  <si>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</si>
  <si>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</si>
  <si>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</si>
  <si>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</si>
  <si>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</si>
  <si>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</si>
  <si>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</si>
  <si>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</si>
  <si>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</si>
  <si>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</si>
  <si>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</si>
  <si>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</si>
  <si>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</si>
  <si>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</si>
  <si>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</si>
  <si>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</si>
  <si>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</si>
  <si>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</si>
  <si>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</si>
  <si>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</si>
  <si>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</si>
  <si>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</si>
  <si>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</si>
  <si>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</si>
  <si>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</si>
  <si>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</si>
  <si>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</si>
  <si>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</si>
  <si>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</si>
  <si>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</si>
  <si>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</si>
  <si>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</si>
  <si>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</si>
  <si>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</si>
  <si>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</si>
  <si>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</si>
  <si>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</si>
  <si>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</si>
  <si>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</si>
  <si>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</si>
  <si>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</si>
  <si>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</si>
  <si>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</si>
  <si>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</si>
  <si>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</si>
  <si>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</si>
  <si>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</si>
  <si>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</si>
  <si>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</si>
  <si>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</si>
  <si>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</si>
  <si>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</si>
  <si>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</si>
  <si>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</si>
  <si>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</si>
  <si>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</si>
  <si>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</si>
  <si>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</si>
  <si>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</si>
  <si>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</si>
  <si>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</si>
  <si>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</si>
  <si>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</si>
  <si>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</si>
  <si>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</si>
  <si>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</si>
  <si>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</si>
  <si>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</si>
  <si>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</si>
  <si>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</si>
  <si>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</si>
  <si>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</si>
  <si>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</si>
  <si>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</si>
  <si>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</si>
  <si>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</si>
  <si>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</si>
  <si>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</si>
  <si>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</si>
  <si>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</si>
  <si>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</si>
  <si>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</si>
  <si>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</si>
  <si>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</si>
  <si>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</si>
  <si>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</si>
  <si>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</si>
  <si>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</si>
  <si>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</si>
  <si>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</si>
  <si>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</si>
  <si>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</si>
  <si>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</si>
  <si>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</si>
  <si>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</si>
  <si>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</si>
  <si>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</si>
  <si>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</si>
  <si>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</si>
  <si>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</si>
  <si>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</si>
  <si>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</si>
  <si>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</si>
  <si>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</si>
  <si>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</si>
  <si>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</si>
  <si>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</si>
  <si>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</si>
  <si>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</si>
  <si>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</si>
  <si>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</si>
  <si>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</si>
  <si>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</si>
  <si>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</si>
  <si>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</si>
  <si>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</si>
  <si>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</si>
  <si>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</si>
  <si>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</si>
  <si>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</si>
  <si>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</si>
  <si>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</si>
  <si>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</si>
  <si>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</si>
  <si>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</si>
  <si>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</si>
  <si>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</si>
  <si>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</si>
  <si>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</si>
  <si>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</si>
  <si>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</si>
  <si>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</si>
  <si>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</si>
  <si>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</si>
  <si>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</si>
  <si>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</si>
  <si>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</si>
  <si>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</si>
  <si>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</si>
  <si>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</si>
  <si>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</si>
  <si>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</si>
  <si>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</si>
  <si>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</si>
  <si>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</si>
  <si>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</si>
  <si>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</si>
  <si>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</si>
  <si>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</si>
  <si>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</si>
  <si>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</si>
  <si>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</si>
  <si>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</si>
  <si>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</si>
  <si>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</si>
  <si>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</si>
  <si>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</si>
  <si>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</si>
  <si>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</si>
  <si>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</si>
  <si>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</si>
  <si>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</si>
  <si>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</si>
  <si>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</si>
  <si>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</si>
  <si>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</si>
  <si>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</si>
  <si>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</si>
  <si>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</si>
  <si>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</si>
  <si>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</si>
  <si>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</si>
  <si>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</si>
  <si>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</si>
  <si>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</si>
  <si>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</si>
  <si>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</si>
  <si>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</si>
  <si>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</si>
  <si>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</si>
  <si>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</si>
  <si>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</si>
  <si>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</si>
  <si>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</si>
  <si>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</si>
  <si>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</si>
  <si>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</si>
  <si>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</si>
  <si>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</si>
  <si>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</si>
  <si>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</si>
  <si>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</si>
  <si>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</si>
  <si>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</si>
  <si>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</si>
  <si>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</si>
  <si>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</si>
  <si>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</si>
  <si>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</si>
  <si>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</si>
  <si>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</si>
  <si>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</si>
  <si>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</si>
  <si>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</si>
  <si>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</si>
  <si>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</si>
  <si>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</si>
  <si>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</si>
  <si>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</si>
  <si>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</si>
  <si>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</si>
  <si>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</si>
  <si>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</si>
  <si>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</si>
  <si>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</si>
  <si>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</si>
  <si>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</si>
  <si>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</si>
  <si>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</si>
  <si>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</si>
  <si>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</si>
  <si>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</si>
  <si>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</si>
  <si>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</si>
  <si>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</si>
  <si>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</si>
  <si>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</si>
  <si>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</si>
  <si>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</si>
  <si>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</si>
  <si>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</si>
  <si>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</si>
  <si>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</si>
  <si>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</si>
  <si>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</si>
  <si>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</si>
  <si>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</si>
  <si>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</si>
  <si>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</si>
  <si>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</si>
  <si>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</si>
  <si>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</si>
  <si>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</si>
  <si>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</si>
  <si>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</si>
  <si>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</si>
  <si>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</si>
  <si>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</si>
  <si>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</si>
  <si>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</si>
  <si>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</si>
  <si>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</si>
  <si>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</si>
  <si>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</si>
  <si>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</si>
  <si>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</si>
  <si>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</si>
  <si>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</si>
  <si>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</si>
  <si>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</si>
  <si>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</si>
  <si>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</si>
  <si>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</si>
  <si>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</si>
  <si>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</si>
  <si>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</si>
  <si>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</si>
  <si>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</si>
  <si>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</si>
  <si>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</si>
  <si>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</si>
  <si>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</si>
  <si>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</si>
  <si>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</si>
  <si>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</si>
  <si>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</si>
  <si>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</si>
  <si>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</si>
  <si>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</si>
  <si>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</si>
  <si>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</si>
  <si>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</si>
  <si>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</si>
  <si>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</si>
  <si>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</si>
  <si>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</si>
  <si>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</si>
  <si>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</si>
  <si>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</si>
  <si>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</si>
  <si>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</si>
  <si>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</si>
  <si>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</si>
  <si>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</si>
  <si>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</si>
  <si>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</si>
  <si>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</si>
  <si>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</si>
  <si>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</si>
  <si>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</si>
  <si>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</si>
  <si>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</si>
  <si>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</si>
  <si>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</si>
  <si>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</si>
  <si>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</si>
  <si>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</si>
  <si>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</si>
  <si>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</si>
  <si>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</si>
  <si>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</si>
  <si>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</si>
  <si>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</si>
  <si>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</si>
  <si>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</si>
  <si>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</si>
  <si>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</si>
  <si>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</si>
  <si>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</si>
  <si>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</si>
  <si>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</si>
  <si>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</si>
  <si>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</si>
  <si>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</si>
  <si>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</si>
  <si>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</si>
  <si>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</si>
  <si>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</si>
  <si>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</si>
  <si>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</si>
  <si>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</si>
  <si>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</si>
  <si>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</si>
  <si>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</si>
  <si>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</si>
  <si>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</si>
  <si>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</si>
  <si>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</si>
  <si>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</si>
  <si>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</si>
  <si>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</si>
  <si>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</si>
  <si>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</si>
  <si>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</si>
  <si>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</si>
  <si>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</si>
  <si>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</si>
  <si>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</si>
  <si>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</si>
  <si>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</si>
  <si>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</si>
  <si>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</si>
  <si>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</si>
  <si>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</si>
  <si>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</si>
  <si>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</si>
  <si>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</si>
  <si>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</si>
  <si>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</si>
  <si>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</si>
  <si>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</si>
  <si>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</si>
  <si>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</si>
  <si>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</si>
  <si>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</si>
  <si>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</si>
  <si>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</si>
  <si>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</si>
  <si>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</si>
  <si>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</si>
  <si>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</si>
  <si>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</si>
  <si>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</si>
  <si>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</si>
  <si>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</si>
  <si>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</si>
  <si>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</si>
  <si>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</si>
  <si>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</si>
  <si>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</si>
  <si>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</si>
  <si>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</si>
  <si>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</si>
  <si>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</si>
  <si>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</si>
  <si>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</si>
  <si>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</si>
  <si>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</si>
  <si>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</si>
  <si>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</si>
  <si>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</si>
  <si>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</si>
  <si>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</si>
  <si>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</si>
  <si>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</si>
  <si>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</si>
  <si>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</si>
  <si>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</si>
  <si>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</si>
  <si>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</si>
  <si>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</si>
  <si>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</si>
  <si>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</si>
  <si>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</si>
  <si>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</si>
  <si>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</si>
  <si>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</si>
  <si>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</si>
  <si>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</si>
  <si>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</si>
  <si>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</si>
  <si>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</si>
  <si>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</si>
  <si>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</si>
  <si>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</si>
  <si>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</si>
  <si>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</si>
  <si>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</si>
  <si>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</si>
  <si>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</si>
  <si>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</si>
  <si>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</si>
  <si>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</si>
  <si>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</si>
  <si>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</si>
  <si>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</si>
  <si>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</si>
  <si>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</si>
  <si>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</si>
  <si>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</si>
  <si>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</si>
  <si>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</si>
  <si>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</si>
  <si>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</si>
  <si>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</si>
  <si>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</si>
  <si>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</si>
  <si>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</si>
  <si>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</si>
  <si>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</si>
  <si>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</si>
  <si>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</si>
  <si>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</si>
  <si>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</si>
  <si>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</si>
  <si>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</si>
  <si>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</si>
  <si>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</si>
  <si>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</si>
  <si>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</si>
  <si>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</si>
  <si>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</si>
  <si>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</si>
  <si>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</si>
  <si>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</si>
  <si>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</si>
  <si>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</si>
  <si>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</si>
  <si>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</si>
  <si>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</si>
  <si>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</si>
  <si>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</si>
  <si>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</si>
  <si>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</si>
  <si>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</si>
  <si>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</si>
  <si>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</si>
  <si>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</si>
  <si>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</si>
  <si>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</si>
  <si>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</si>
  <si>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</si>
  <si>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</si>
  <si>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</si>
  <si>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</si>
  <si>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</si>
  <si>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</si>
  <si>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</si>
  <si>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</si>
  <si>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</si>
  <si>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</si>
  <si>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</si>
  <si>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</si>
  <si>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</si>
  <si>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</si>
  <si>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</si>
  <si>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</si>
  <si>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</si>
  <si>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</si>
  <si>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</si>
  <si>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</si>
  <si>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</si>
  <si>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</si>
  <si>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</si>
  <si>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</si>
  <si>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</si>
  <si>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</si>
  <si>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</si>
  <si>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</si>
  <si>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</si>
  <si>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</si>
  <si>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</si>
  <si>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</si>
  <si>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</si>
  <si>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</si>
  <si>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</si>
  <si>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</si>
  <si>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</si>
  <si>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</si>
  <si>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</si>
  <si>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</si>
  <si>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</si>
  <si>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</si>
  <si>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</si>
  <si>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</si>
  <si>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</si>
  <si>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</si>
  <si>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</si>
  <si>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</si>
  <si>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</si>
  <si>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</si>
  <si>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</si>
  <si>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</si>
  <si>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</si>
  <si>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</si>
  <si>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</si>
  <si>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</si>
  <si>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</si>
  <si>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</si>
  <si>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</si>
  <si>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</si>
  <si>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</si>
  <si>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</si>
  <si>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</si>
  <si>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</si>
  <si>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</si>
  <si>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</si>
  <si>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</si>
  <si>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</si>
  <si>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</si>
  <si>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</si>
  <si>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</si>
  <si>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</si>
  <si>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</si>
  <si>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</si>
  <si>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</si>
  <si>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</si>
  <si>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</si>
  <si>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</si>
  <si>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</si>
  <si>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</si>
  <si>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</si>
  <si>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</si>
  <si>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</si>
  <si>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</si>
  <si>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</si>
  <si>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</si>
  <si>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</si>
  <si>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</si>
  <si>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</si>
  <si>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</si>
  <si>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</si>
  <si>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</si>
  <si>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</si>
  <si>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</si>
  <si>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</si>
  <si>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</si>
  <si>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</si>
  <si>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</si>
  <si>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</si>
  <si>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</si>
  <si>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</si>
  <si>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</si>
  <si>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</si>
  <si>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</si>
  <si>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</si>
  <si>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</si>
  <si>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</si>
  <si>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</si>
  <si>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</si>
  <si>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</si>
  <si>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</si>
  <si>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</si>
  <si>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</si>
  <si>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</si>
  <si>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</si>
  <si>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</si>
  <si>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</si>
  <si>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</si>
  <si>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</si>
  <si>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</si>
  <si>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</si>
  <si>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</si>
  <si>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</si>
  <si>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</si>
  <si>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</si>
  <si>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</si>
  <si>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</si>
  <si>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</si>
  <si>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</si>
  <si>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</si>
  <si>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</si>
  <si>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</si>
  <si>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</si>
  <si>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</si>
  <si>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</si>
  <si>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</si>
  <si>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</si>
  <si>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</si>
  <si>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</si>
  <si>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</si>
  <si>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</si>
  <si>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</si>
  <si>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</si>
  <si>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</si>
  <si>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</si>
  <si>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</si>
  <si>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</si>
  <si>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</si>
  <si>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</si>
  <si>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</si>
  <si>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</si>
  <si>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</si>
  <si>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</si>
  <si>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</si>
  <si>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</si>
  <si>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</si>
  <si>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</si>
  <si>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</si>
  <si>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</si>
  <si>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</si>
  <si>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</si>
  <si>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</si>
  <si>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</si>
  <si>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</si>
  <si>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</si>
  <si>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</si>
  <si>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</si>
  <si>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</si>
  <si>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</si>
  <si>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</si>
  <si>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</si>
  <si>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</si>
  <si>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</si>
  <si>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</si>
  <si>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</si>
  <si>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</si>
  <si>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</si>
  <si>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</si>
  <si>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</si>
  <si>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</si>
  <si>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</si>
  <si>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</si>
  <si>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</si>
  <si>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</si>
  <si>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</si>
  <si>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</si>
  <si>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</si>
  <si>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</si>
  <si>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</si>
  <si>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</si>
  <si>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</si>
  <si>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</si>
  <si>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</si>
  <si>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</si>
  <si>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</si>
  <si>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</si>
  <si>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</si>
  <si>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</si>
  <si>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</si>
  <si>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</si>
  <si>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</si>
  <si>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</si>
  <si>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</si>
  <si>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</si>
  <si>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</si>
  <si>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</si>
  <si>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</si>
  <si>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</si>
  <si>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</si>
  <si>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</si>
  <si>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</si>
  <si>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</si>
  <si>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</si>
  <si>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</si>
  <si>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</si>
  <si>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</si>
  <si>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</si>
  <si>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</si>
  <si>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</si>
  <si>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</si>
  <si>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</si>
  <si>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</si>
  <si>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</si>
  <si>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</si>
  <si>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</si>
  <si>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</si>
  <si>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</si>
  <si>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</si>
  <si>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</si>
  <si>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</si>
  <si>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</si>
  <si>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</si>
  <si>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</si>
  <si>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</si>
  <si>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</si>
  <si>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</si>
  <si>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</si>
  <si>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</si>
  <si>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</si>
  <si>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</si>
  <si>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</si>
  <si>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</si>
  <si>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</si>
  <si>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</si>
  <si>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</si>
  <si>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</si>
  <si>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</si>
  <si>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</si>
  <si>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</si>
  <si>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</si>
  <si>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</si>
  <si>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</si>
  <si>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</si>
  <si>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</si>
  <si>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</si>
  <si>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</si>
  <si>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</si>
  <si>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</si>
  <si>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</si>
  <si>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</si>
  <si>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</si>
  <si>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</si>
  <si>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</si>
  <si>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</si>
  <si>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</si>
  <si>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</si>
  <si>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</si>
  <si>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</si>
  <si>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</si>
  <si>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</si>
  <si>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</si>
  <si>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</si>
  <si>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</si>
  <si>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</si>
  <si>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</si>
  <si>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</si>
  <si>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</si>
  <si>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</si>
  <si>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</si>
  <si>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</si>
  <si>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</si>
  <si>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</si>
  <si>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</si>
  <si>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</si>
  <si>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</si>
  <si>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</si>
  <si>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</si>
  <si>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</si>
  <si>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</si>
  <si>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</si>
  <si>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</si>
  <si>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</si>
  <si>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</si>
  <si>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</si>
  <si>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</si>
  <si>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</si>
  <si>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</si>
  <si>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</si>
  <si>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</si>
  <si>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</si>
  <si>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</si>
  <si>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</si>
  <si>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</si>
  <si>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</si>
  <si>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</si>
  <si>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</si>
  <si>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</si>
  <si>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</si>
  <si>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</si>
  <si>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</si>
  <si>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</si>
  <si>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</si>
  <si>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</si>
  <si>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</si>
  <si>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</si>
  <si>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</si>
  <si>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</si>
  <si>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</si>
  <si>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</si>
  <si>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</si>
  <si>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</si>
  <si>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</si>
  <si>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</si>
  <si>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</si>
  <si>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</si>
  <si>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</si>
  <si>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</si>
  <si>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</si>
  <si>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</si>
  <si>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</si>
  <si>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</si>
  <si>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</si>
  <si>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</si>
  <si>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</si>
  <si>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</si>
  <si>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</si>
  <si>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</si>
  <si>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</si>
  <si>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</si>
  <si>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</si>
  <si>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</si>
  <si>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</si>
  <si>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</si>
  <si>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</si>
  <si>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</si>
  <si>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</si>
  <si>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</si>
  <si>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</si>
  <si>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</si>
  <si>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</si>
  <si>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</si>
  <si>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</si>
  <si>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</si>
  <si>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</si>
  <si>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</si>
  <si>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</si>
  <si>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</si>
  <si>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</si>
  <si>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</si>
  <si>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</si>
  <si>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</si>
  <si>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</si>
  <si>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</si>
  <si>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</si>
  <si>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</si>
  <si>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</si>
  <si>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</si>
  <si>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</si>
  <si>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</si>
  <si>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</si>
  <si>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</si>
  <si>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</si>
  <si>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</si>
  <si>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</si>
  <si>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</si>
  <si>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</si>
  <si>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</si>
  <si>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</si>
  <si>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</si>
  <si>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</si>
  <si>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</si>
  <si>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</si>
  <si>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</si>
  <si>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</si>
  <si>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</si>
  <si>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</si>
  <si>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</si>
  <si>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</si>
  <si>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</si>
  <si>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</si>
  <si>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</si>
  <si>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</si>
  <si>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</si>
  <si>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</si>
  <si>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</si>
  <si>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</si>
  <si>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</si>
  <si>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</si>
  <si>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</si>
  <si>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</si>
  <si>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</si>
  <si>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</si>
  <si>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</si>
  <si>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</si>
  <si>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</si>
  <si>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</si>
  <si>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</si>
  <si>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</si>
  <si>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</si>
  <si>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</si>
  <si>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</si>
  <si>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</si>
  <si>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</si>
  <si>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</si>
  <si>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</si>
  <si>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</si>
  <si>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</si>
  <si>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</si>
  <si>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</si>
  <si>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</si>
  <si>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</si>
  <si>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</si>
  <si>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</si>
  <si>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</si>
  <si>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</si>
  <si>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</si>
  <si>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</si>
  <si>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</si>
  <si>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</si>
  <si>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</si>
  <si>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</si>
  <si>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</si>
  <si>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</si>
  <si>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</si>
  <si>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</si>
  <si>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</si>
  <si>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</si>
  <si>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</si>
  <si>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</si>
  <si>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</si>
  <si>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</si>
  <si>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</si>
  <si>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</si>
  <si>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</si>
  <si>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</si>
  <si>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</si>
  <si>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</si>
  <si>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</si>
  <si>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</si>
  <si>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</si>
  <si>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</si>
  <si>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</si>
  <si>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</si>
  <si>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</si>
  <si>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</si>
  <si>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</si>
  <si>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</si>
  <si>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</si>
  <si>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</si>
  <si>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</si>
  <si>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</si>
  <si>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</si>
  <si>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</si>
  <si>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</si>
  <si>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</si>
  <si>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</si>
  <si>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</si>
  <si>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</si>
  <si>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</si>
  <si>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</si>
  <si>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</si>
  <si>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</si>
  <si>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</si>
  <si>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</si>
  <si>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</si>
  <si>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</si>
  <si>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</si>
  <si>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</si>
  <si>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</si>
  <si>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</si>
  <si>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</si>
  <si>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</si>
  <si>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</si>
  <si>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</si>
  <si>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</si>
  <si>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</si>
  <si>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</si>
  <si>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</si>
  <si>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</si>
  <si>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</si>
  <si>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</si>
  <si>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</si>
  <si>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</si>
  <si>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</si>
  <si>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</si>
  <si>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</si>
  <si>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</si>
  <si>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</si>
  <si>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</si>
  <si>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</si>
  <si>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</si>
  <si>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</si>
  <si>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</si>
  <si>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</si>
  <si>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</si>
  <si>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</si>
  <si>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</si>
  <si>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</si>
  <si>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</si>
  <si>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</si>
  <si>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</si>
  <si>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</si>
  <si>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</si>
  <si>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</si>
  <si>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</si>
  <si>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</si>
  <si>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</si>
  <si>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</si>
  <si>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</si>
  <si>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</si>
  <si>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</si>
  <si>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</si>
  <si>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</si>
  <si>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</si>
  <si>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</si>
  <si>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</si>
  <si>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</si>
  <si>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</si>
  <si>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</si>
  <si>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</si>
  <si>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</si>
  <si>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</si>
  <si>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</si>
  <si>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</si>
  <si>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</si>
  <si>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</si>
  <si>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</si>
  <si>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</si>
  <si>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</si>
  <si>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</si>
  <si>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</si>
  <si>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</si>
  <si>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</si>
  <si>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</si>
  <si>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</si>
  <si>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</si>
  <si>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</si>
  <si>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</si>
  <si>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</si>
  <si>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</si>
  <si>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</si>
  <si>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</si>
  <si>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</si>
  <si>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</si>
  <si>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</si>
  <si>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</si>
  <si>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</si>
  <si>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</si>
  <si>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</si>
  <si>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</si>
  <si>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</si>
  <si>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</si>
  <si>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</si>
  <si>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</si>
  <si>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</si>
  <si>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</si>
  <si>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</si>
  <si>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</si>
  <si>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</si>
  <si>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</si>
  <si>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</si>
  <si>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</si>
  <si>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</si>
  <si>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</si>
  <si>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</si>
  <si>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</si>
  <si>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</si>
  <si>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</si>
  <si>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</si>
  <si>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</si>
  <si>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</si>
  <si>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</si>
  <si>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</si>
  <si>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</si>
  <si>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</si>
  <si>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</si>
  <si>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</si>
  <si>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</si>
  <si>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</si>
  <si>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</si>
  <si>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</si>
  <si>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</si>
  <si>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</si>
  <si>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</si>
  <si>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</si>
  <si>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</si>
  <si>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</si>
  <si>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</si>
  <si>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</si>
  <si>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</si>
  <si>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</si>
  <si>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</si>
  <si>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</si>
  <si>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</si>
  <si>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</si>
  <si>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</si>
  <si>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</si>
  <si>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</si>
  <si>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</si>
  <si>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</si>
  <si>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</si>
  <si>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</si>
  <si>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</si>
  <si>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</si>
  <si>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</si>
  <si>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</si>
  <si>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</si>
  <si>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</si>
  <si>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</si>
  <si>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</si>
  <si>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</si>
  <si>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</si>
  <si>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</si>
  <si>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</si>
  <si>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</si>
  <si>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</si>
  <si>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</si>
  <si>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</si>
  <si>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</si>
  <si>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</si>
  <si>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</si>
  <si>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</si>
  <si>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</si>
  <si>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</si>
  <si>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</si>
  <si>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</si>
  <si>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</si>
  <si>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</si>
  <si>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</si>
  <si>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</si>
  <si>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</si>
  <si>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</si>
  <si>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</si>
  <si>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</si>
  <si>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</si>
  <si>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</si>
  <si>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</si>
  <si>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</si>
  <si>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</si>
  <si>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</si>
  <si>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</si>
  <si>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</si>
  <si>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</si>
  <si>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</si>
  <si>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</si>
  <si>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</si>
  <si>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</si>
  <si>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</si>
  <si>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</si>
  <si>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</si>
  <si>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</si>
  <si>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</si>
  <si>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</si>
  <si>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</si>
  <si>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</si>
  <si>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</si>
  <si>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</si>
  <si>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</si>
  <si>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</si>
  <si>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</si>
  <si>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</si>
  <si>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</si>
  <si>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</si>
  <si>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</si>
  <si>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</si>
  <si>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</si>
  <si>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</si>
  <si>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</si>
  <si>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</si>
  <si>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</si>
  <si>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</si>
  <si>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</si>
  <si>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</si>
  <si>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</si>
  <si>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</si>
  <si>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</si>
  <si>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</si>
  <si>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</si>
  <si>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</si>
  <si>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</si>
  <si>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</si>
  <si>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</si>
  <si>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</si>
  <si>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</si>
  <si>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</si>
  <si>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</si>
  <si>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</si>
  <si>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</si>
  <si>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</si>
  <si>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</si>
  <si>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</si>
  <si>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</si>
  <si>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</si>
  <si>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</si>
  <si>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</si>
  <si>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</si>
  <si>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</si>
  <si>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</si>
  <si>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</si>
  <si>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</si>
  <si>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</si>
  <si>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</si>
  <si>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</si>
  <si>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</si>
  <si>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</si>
  <si>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</si>
  <si>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</si>
  <si>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</si>
  <si>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</si>
  <si>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</si>
  <si>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</si>
  <si>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</si>
  <si>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</si>
  <si>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</si>
  <si>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</si>
  <si>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</si>
  <si>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</si>
  <si>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</si>
  <si>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</si>
  <si>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</si>
  <si>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</si>
  <si>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</si>
  <si>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</si>
  <si>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</si>
  <si>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</si>
  <si>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</si>
  <si>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</si>
  <si>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</si>
  <si>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</si>
  <si>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</si>
  <si>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</si>
  <si>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</si>
  <si>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</si>
  <si>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</si>
  <si>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</si>
  <si>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</si>
  <si>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</si>
  <si>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</si>
  <si>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</si>
  <si>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</si>
  <si>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</si>
  <si>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</si>
  <si>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</si>
  <si>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</si>
  <si>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</si>
  <si>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</si>
  <si>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</si>
  <si>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</si>
  <si>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</si>
  <si>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</si>
  <si>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</si>
  <si>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</si>
  <si>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</si>
  <si>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</si>
  <si>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</si>
  <si>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</si>
  <si>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</si>
  <si>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</si>
  <si>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</si>
  <si>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</si>
  <si>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</si>
  <si>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</si>
  <si>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</si>
  <si>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</si>
  <si>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</si>
  <si>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</si>
  <si>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</si>
  <si>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</si>
  <si>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</si>
  <si>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</si>
  <si>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</si>
  <si>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</si>
  <si>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</si>
  <si>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</si>
  <si>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</si>
  <si>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</si>
  <si>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</si>
  <si>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</si>
  <si>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</si>
  <si>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</si>
  <si>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</si>
  <si>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</si>
  <si>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</si>
  <si>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</si>
  <si>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</si>
  <si>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</si>
  <si>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</si>
  <si>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</si>
  <si>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</si>
  <si>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</si>
  <si>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</si>
  <si>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</si>
  <si>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</si>
  <si>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</si>
  <si>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</si>
  <si>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</si>
  <si>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</si>
  <si>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</si>
  <si>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</si>
  <si>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</si>
  <si>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</si>
  <si>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</si>
  <si>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</si>
  <si>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</si>
  <si>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</si>
  <si>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</si>
  <si>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</si>
  <si>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</si>
  <si>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</si>
  <si>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</si>
  <si>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</si>
  <si>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</si>
  <si>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</si>
  <si>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</si>
  <si>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</si>
  <si>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</si>
  <si>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</si>
  <si>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</si>
  <si>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</si>
  <si>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</si>
  <si>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</si>
  <si>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</si>
  <si>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</si>
  <si>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</si>
  <si>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</si>
  <si>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</si>
  <si>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</si>
  <si>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</si>
  <si>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</si>
  <si>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</si>
  <si>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</si>
  <si>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</si>
  <si>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</si>
  <si>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</si>
  <si>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</si>
  <si>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</si>
  <si>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</si>
  <si>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</si>
  <si>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</si>
  <si>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</si>
  <si>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</si>
  <si>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</si>
  <si>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</si>
  <si>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</si>
  <si>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</si>
  <si>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</si>
  <si>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</si>
  <si>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</si>
  <si>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</si>
  <si>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</si>
  <si>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</si>
  <si>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</si>
  <si>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</si>
  <si>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</si>
  <si>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</si>
  <si>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</si>
  <si>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</si>
  <si>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</si>
  <si>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</si>
  <si>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</si>
  <si>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</si>
  <si>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</si>
  <si>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</si>
  <si>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</si>
  <si>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</si>
  <si>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</si>
  <si>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</si>
  <si>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</si>
  <si>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</si>
  <si>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</si>
  <si>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</si>
  <si>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</si>
  <si>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</si>
  <si>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</si>
  <si>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</si>
  <si>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</si>
  <si>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</si>
  <si>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</si>
  <si>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</si>
  <si>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</si>
  <si>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</si>
  <si>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</si>
  <si>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</si>
  <si>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</si>
  <si>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</si>
  <si>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</si>
  <si>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</si>
  <si>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</si>
  <si>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</si>
  <si>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</si>
  <si>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</si>
  <si>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</si>
  <si>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</si>
  <si>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</si>
  <si>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</si>
  <si>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</si>
  <si>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</si>
  <si>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</si>
  <si>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</si>
  <si>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</si>
  <si>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</si>
  <si>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</si>
  <si>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</si>
  <si>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</si>
  <si>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</si>
  <si>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</si>
  <si>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</si>
  <si>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</si>
  <si>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</si>
  <si>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</si>
  <si>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</si>
  <si>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</si>
  <si>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</si>
  <si>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</si>
  <si>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</si>
  <si>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</si>
  <si>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</si>
  <si>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</si>
  <si>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</si>
  <si>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</si>
  <si>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</si>
  <si>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</si>
  <si>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</si>
  <si>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</si>
  <si>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</si>
  <si>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</si>
  <si>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</si>
  <si>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</si>
  <si>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</si>
  <si>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</si>
  <si>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</si>
  <si>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</si>
  <si>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</si>
  <si>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</si>
  <si>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</si>
  <si>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</si>
  <si>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</si>
  <si>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</si>
  <si>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</si>
  <si>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</si>
  <si>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</si>
  <si>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</si>
  <si>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</si>
  <si>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</si>
  <si>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</si>
  <si>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</si>
  <si>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</si>
  <si>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</si>
  <si>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</si>
  <si>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</si>
  <si>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</si>
  <si>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</si>
  <si>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</si>
  <si>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</si>
  <si>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</si>
  <si>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</si>
  <si>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</si>
  <si>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</si>
  <si>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</si>
  <si>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</si>
  <si>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</si>
  <si>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</si>
  <si>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</si>
  <si>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</si>
  <si>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</si>
  <si>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</si>
  <si>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</si>
  <si>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</si>
  <si>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</si>
  <si>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</si>
  <si>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</si>
  <si>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</si>
  <si>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</si>
  <si>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</si>
  <si>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</si>
  <si>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</si>
  <si>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</si>
  <si>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</si>
  <si>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</si>
  <si>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</si>
  <si>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</si>
  <si>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</si>
  <si>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</si>
  <si>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</si>
  <si>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</si>
  <si>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</si>
  <si>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</si>
  <si>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</si>
  <si>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</si>
  <si>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</si>
  <si>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</si>
  <si>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</si>
  <si>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</si>
  <si>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</si>
  <si>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</si>
  <si>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</si>
  <si>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</si>
  <si>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</si>
  <si>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</si>
  <si>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</si>
  <si>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</si>
  <si>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</si>
  <si>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</si>
  <si>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</si>
  <si>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</si>
  <si>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</si>
  <si>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</si>
  <si>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</si>
  <si>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</si>
  <si>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</si>
  <si>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</si>
  <si>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</si>
  <si>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</si>
  <si>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</si>
  <si>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</si>
  <si>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</si>
  <si>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</si>
  <si>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</si>
  <si>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</si>
  <si>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</si>
  <si>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</si>
  <si>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</si>
  <si>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</si>
  <si>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</si>
  <si>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</si>
  <si>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</si>
  <si>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</si>
  <si>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</si>
  <si>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</si>
  <si>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</si>
  <si>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</si>
  <si>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</si>
  <si>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</si>
  <si>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</si>
  <si>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</si>
  <si>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</si>
  <si>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</si>
  <si>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</si>
  <si>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</si>
  <si>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</si>
  <si>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</si>
  <si>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</si>
  <si>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</si>
  <si>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</si>
  <si>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</si>
  <si>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</si>
  <si>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</si>
  <si>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</si>
  <si>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</si>
  <si>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</si>
  <si>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</si>
  <si>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</si>
  <si>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</si>
  <si>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</si>
  <si>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</si>
  <si>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</si>
  <si>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</si>
  <si>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</si>
  <si>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</si>
  <si>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</si>
  <si>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</si>
  <si>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</si>
  <si>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</si>
  <si>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</si>
  <si>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</si>
  <si>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</si>
  <si>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</si>
  <si>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</si>
  <si>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</si>
  <si>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</si>
  <si>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</si>
  <si>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</si>
  <si>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</si>
  <si>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</si>
  <si>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</si>
  <si>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</si>
  <si>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</si>
  <si>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</si>
  <si>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</si>
  <si>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</si>
  <si>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</si>
  <si>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</si>
  <si>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</si>
  <si>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</si>
  <si>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</si>
  <si>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</si>
  <si>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</si>
  <si>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</si>
  <si>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</si>
  <si>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</si>
  <si>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</si>
  <si>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</si>
  <si>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</si>
  <si>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</si>
  <si>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</si>
  <si>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</si>
  <si>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</si>
  <si>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</si>
  <si>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</si>
  <si>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</si>
  <si>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</si>
  <si>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</si>
  <si>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</si>
  <si>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</si>
  <si>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</si>
  <si>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</si>
  <si>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</si>
  <si>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</si>
  <si>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</si>
  <si>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</si>
  <si>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</si>
  <si>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</si>
  <si>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</si>
  <si>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</si>
  <si>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</si>
  <si>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</si>
  <si>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</si>
  <si>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</si>
  <si>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</si>
  <si>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</si>
  <si>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</si>
  <si>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</si>
  <si>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</si>
  <si>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</si>
  <si>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</si>
  <si>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</si>
  <si>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</si>
  <si>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</si>
  <si>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</si>
  <si>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</si>
  <si>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</si>
  <si>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</si>
  <si>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</si>
  <si>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</si>
  <si>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</si>
  <si>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</si>
  <si>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</si>
  <si>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</si>
  <si>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</si>
  <si>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</si>
  <si>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</si>
  <si>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</si>
  <si>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</si>
  <si>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</si>
  <si>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</si>
  <si>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</si>
  <si>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</si>
  <si>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</si>
  <si>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</si>
  <si>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</si>
  <si>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</si>
  <si>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</si>
  <si>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</si>
  <si>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</si>
  <si>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</si>
  <si>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</si>
  <si>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</si>
  <si>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</si>
  <si>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</si>
  <si>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</si>
  <si>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</si>
  <si>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</si>
  <si>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</si>
  <si>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</si>
  <si>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</si>
  <si>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</si>
  <si>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</si>
  <si>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</si>
  <si>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</si>
  <si>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</si>
  <si>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</si>
  <si>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</si>
  <si>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</si>
  <si>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</si>
  <si>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</si>
  <si>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</si>
  <si>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</si>
  <si>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</si>
  <si>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</si>
  <si>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</si>
  <si>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</si>
  <si>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</si>
  <si>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</si>
  <si>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</si>
  <si>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</si>
  <si>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</si>
  <si>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</si>
  <si>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</si>
  <si>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</si>
  <si>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</si>
  <si>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</si>
  <si>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</si>
  <si>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</si>
  <si>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</si>
  <si>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</si>
  <si>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</si>
  <si>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</si>
  <si>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</si>
  <si>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</si>
  <si>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</si>
  <si>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</si>
  <si>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</si>
  <si>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</si>
  <si>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</si>
  <si>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</si>
  <si>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</si>
  <si>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</si>
  <si>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</si>
  <si>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</si>
  <si>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</si>
  <si>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</si>
  <si>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</si>
  <si>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</si>
  <si>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</si>
  <si>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</si>
  <si>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</si>
  <si>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</si>
  <si>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</si>
  <si>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</si>
  <si>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</si>
  <si>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</si>
  <si>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</si>
  <si>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</si>
  <si>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</si>
  <si>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</si>
  <si>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</si>
  <si>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</si>
  <si>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</si>
  <si>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</si>
  <si>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</si>
  <si>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</si>
  <si>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</si>
  <si>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</si>
  <si>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</si>
  <si>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</si>
  <si>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</si>
  <si>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</si>
  <si>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</si>
  <si>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</si>
  <si>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</si>
  <si>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</si>
  <si>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</si>
  <si>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</si>
  <si>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</si>
  <si>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</si>
  <si>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</si>
  <si>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</si>
  <si>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</si>
  <si>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</si>
  <si>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</si>
  <si>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</si>
  <si>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</si>
  <si>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</si>
  <si>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</si>
  <si>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</si>
  <si>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</si>
  <si>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</si>
  <si>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</si>
  <si>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</si>
  <si>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</si>
  <si>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</si>
  <si>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</si>
  <si>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</si>
  <si>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</si>
  <si>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</si>
  <si>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</si>
  <si>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</si>
  <si>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</si>
  <si>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</si>
  <si>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</si>
  <si>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</si>
  <si>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</si>
  <si>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</si>
  <si>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</si>
  <si>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</si>
  <si>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</si>
  <si>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</si>
  <si>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</si>
  <si>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</si>
  <si>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</si>
  <si>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</si>
  <si>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</si>
  <si>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</si>
  <si>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</si>
  <si>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</si>
  <si>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</si>
  <si>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</si>
  <si>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</si>
  <si>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</si>
  <si>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</si>
  <si>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</si>
  <si>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</si>
  <si>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</si>
  <si>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</si>
  <si>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</si>
  <si>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</si>
  <si>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</si>
  <si>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</si>
  <si>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</si>
  <si>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</si>
  <si>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</si>
  <si>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</si>
  <si>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</si>
  <si>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</si>
  <si>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</si>
  <si>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</si>
  <si>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</si>
  <si>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</si>
  <si>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</si>
  <si>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</si>
  <si>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</si>
  <si>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</si>
  <si>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</si>
  <si>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</si>
  <si>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</si>
  <si>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</si>
  <si>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</si>
  <si>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</si>
  <si>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</si>
  <si>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</si>
  <si>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</si>
  <si>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</si>
  <si>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</si>
  <si>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</si>
  <si>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</si>
  <si>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</si>
  <si>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</si>
  <si>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</si>
  <si>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</si>
  <si>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</si>
  <si>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</si>
  <si>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</si>
  <si>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</si>
  <si>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</si>
  <si>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</si>
  <si>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</si>
  <si>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</si>
  <si>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</si>
  <si>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</si>
  <si>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</si>
  <si>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</si>
  <si>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</si>
  <si>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</si>
  <si>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</si>
  <si>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</si>
  <si>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</si>
  <si>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</si>
  <si>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</si>
  <si>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</si>
  <si>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</si>
  <si>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</si>
  <si>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</si>
  <si>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</si>
  <si>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</si>
  <si>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</si>
  <si>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</si>
  <si>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</si>
  <si>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</si>
  <si>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</si>
  <si>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</si>
  <si>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</si>
  <si>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</si>
  <si>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</si>
  <si>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</si>
  <si>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</si>
  <si>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</si>
  <si>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</si>
  <si>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</si>
  <si>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</si>
  <si>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</si>
  <si>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</si>
  <si>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</si>
  <si>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</si>
  <si>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</si>
  <si>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</si>
  <si>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</si>
  <si>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</si>
  <si>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</si>
  <si>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</si>
  <si>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</si>
  <si>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</si>
  <si>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</si>
  <si>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</si>
  <si>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</si>
  <si>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</si>
  <si>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</si>
  <si>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</si>
  <si>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</si>
  <si>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</si>
  <si>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</si>
  <si>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</si>
  <si>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</si>
  <si>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</si>
  <si>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</si>
  <si>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</si>
  <si>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</si>
  <si>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</si>
  <si>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</si>
  <si>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</si>
  <si>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</si>
  <si>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</si>
  <si>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</si>
  <si>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</si>
  <si>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</si>
  <si>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</si>
  <si>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</si>
  <si>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</si>
  <si>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</si>
  <si>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</si>
  <si>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</si>
  <si>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</si>
  <si>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</si>
  <si>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</si>
  <si>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</si>
  <si>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</si>
  <si>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</si>
  <si>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</si>
  <si>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</si>
  <si>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</si>
  <si>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</si>
  <si>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</si>
  <si>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</si>
  <si>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</si>
  <si>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</si>
  <si>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</si>
  <si>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</si>
  <si>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</si>
  <si>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</si>
  <si>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</si>
  <si>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</si>
  <si>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</si>
  <si>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</si>
  <si>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</si>
  <si>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</si>
  <si>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</si>
  <si>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</si>
  <si>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</si>
  <si>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</si>
  <si>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</si>
  <si>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</si>
  <si>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</si>
  <si>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</si>
  <si>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</si>
  <si>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</si>
  <si>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</si>
  <si>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</si>
  <si>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</si>
  <si>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</si>
  <si>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</si>
  <si>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</si>
  <si>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</si>
  <si>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</si>
  <si>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</si>
  <si>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</si>
  <si>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</si>
  <si>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</si>
  <si>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</si>
  <si>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</si>
  <si>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</si>
  <si>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</si>
  <si>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</si>
  <si>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</si>
  <si>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</si>
  <si>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</si>
  <si>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</si>
  <si>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</si>
  <si>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</si>
  <si>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</si>
  <si>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</si>
  <si>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</si>
  <si>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</si>
  <si>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</si>
  <si>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</si>
  <si>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</si>
  <si>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</si>
  <si>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</si>
  <si>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</si>
  <si>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</si>
  <si>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</si>
  <si>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</si>
  <si>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</si>
  <si>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</si>
  <si>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</si>
  <si>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</si>
  <si>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</si>
  <si>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</si>
  <si>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</si>
  <si>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</si>
  <si>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</si>
  <si>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</si>
  <si>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</si>
  <si>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</si>
  <si>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</si>
  <si>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</si>
  <si>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</si>
  <si>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</si>
  <si>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</si>
  <si>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</si>
  <si>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</si>
  <si>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</si>
  <si>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</si>
  <si>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</si>
  <si>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</si>
  <si>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</si>
  <si>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</si>
  <si>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</si>
  <si>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</si>
  <si>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</si>
  <si>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</si>
  <si>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</si>
  <si>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</si>
  <si>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</si>
  <si>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</si>
  <si>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</si>
  <si>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</si>
  <si>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</si>
  <si>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</si>
  <si>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</si>
  <si>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</si>
  <si>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</si>
  <si>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</si>
  <si>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</si>
  <si>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</si>
  <si>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</si>
  <si>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</si>
  <si>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</si>
  <si>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</si>
  <si>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</si>
  <si>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</si>
  <si>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</si>
  <si>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</si>
  <si>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</si>
  <si>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</si>
  <si>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</si>
  <si>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</si>
  <si>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</si>
  <si>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</si>
  <si>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</si>
  <si>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</si>
  <si>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</si>
  <si>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</si>
  <si>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</si>
  <si>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</si>
  <si>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</si>
  <si>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</si>
  <si>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</si>
  <si>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</si>
  <si>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</si>
  <si>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</si>
  <si>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</si>
  <si>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</si>
  <si>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</si>
  <si>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</si>
  <si>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</si>
  <si>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</si>
  <si>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</si>
  <si>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</si>
  <si>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</si>
  <si>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</si>
  <si>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</si>
  <si>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</si>
  <si>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</si>
  <si>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</si>
  <si>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</si>
  <si>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</si>
  <si>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</si>
  <si>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</si>
  <si>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</si>
  <si>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</si>
  <si>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</si>
  <si>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</si>
  <si>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</si>
  <si>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</si>
  <si>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</si>
  <si>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</si>
  <si>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</si>
  <si>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</si>
  <si>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</si>
  <si>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</si>
  <si>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</si>
  <si>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</si>
  <si>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</si>
  <si>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</si>
  <si>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</si>
  <si>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</si>
  <si>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</si>
  <si>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</si>
  <si>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</si>
  <si>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</si>
  <si>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</si>
  <si>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</si>
  <si>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</si>
  <si>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</si>
  <si>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</si>
  <si>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</si>
  <si>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</si>
  <si>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</si>
  <si>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</si>
  <si>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</si>
  <si>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</si>
  <si>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</si>
  <si>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</si>
  <si>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</si>
  <si>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</si>
  <si>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</si>
  <si>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</si>
  <si>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</si>
  <si>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</si>
  <si>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</si>
  <si>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</si>
  <si>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</si>
  <si>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</si>
  <si>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</si>
  <si>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</si>
  <si>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</si>
  <si>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</si>
  <si>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</si>
  <si>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</si>
  <si>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</si>
  <si>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</si>
  <si>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</si>
  <si>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</si>
  <si>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</si>
  <si>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</si>
  <si>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</si>
  <si>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</si>
  <si>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</si>
  <si>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</si>
  <si>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</si>
  <si>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</si>
  <si>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</si>
  <si>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</si>
  <si>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</si>
  <si>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</si>
  <si>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</si>
  <si>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</si>
  <si>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</si>
  <si>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</si>
  <si>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</si>
  <si>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</si>
  <si>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</si>
  <si>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</si>
  <si>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</si>
  <si>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</si>
  <si>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</si>
  <si>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</si>
  <si>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</si>
  <si>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</si>
  <si>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</si>
  <si>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</si>
  <si>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</si>
  <si>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</si>
  <si>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</si>
  <si>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</si>
  <si>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</si>
  <si>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</si>
  <si>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</si>
  <si>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</si>
  <si>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</si>
  <si>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</si>
  <si>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</si>
  <si>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</si>
  <si>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</si>
  <si>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</si>
  <si>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</si>
  <si>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</si>
  <si>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</si>
  <si>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</si>
  <si>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</si>
  <si>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</si>
  <si>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</si>
  <si>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</si>
  <si>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</si>
  <si>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</si>
  <si>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</si>
  <si>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</si>
  <si>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</si>
  <si>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</si>
  <si>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</si>
  <si>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</si>
  <si>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</si>
  <si>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</si>
  <si>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</si>
  <si>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</si>
  <si>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</si>
  <si>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</si>
  <si>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</si>
  <si>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</si>
  <si>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</si>
  <si>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</si>
  <si>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</si>
  <si>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</si>
  <si>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</si>
  <si>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</si>
  <si>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</si>
  <si>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</si>
  <si>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</si>
  <si>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</si>
  <si>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</si>
  <si>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</si>
  <si>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</si>
  <si>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</si>
  <si>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</si>
  <si>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</si>
  <si>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</si>
  <si>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</si>
  <si>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</si>
  <si>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</si>
  <si>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</si>
  <si>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</si>
  <si>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</si>
  <si>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</si>
  <si>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</si>
  <si>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</si>
  <si>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</si>
  <si>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</si>
  <si>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</si>
  <si>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</si>
  <si>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</si>
  <si>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</si>
  <si>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</si>
  <si>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</si>
  <si>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</si>
  <si>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</si>
  <si>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</si>
  <si>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</si>
  <si>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</si>
  <si>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</si>
  <si>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</si>
  <si>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</si>
  <si>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</si>
  <si>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</si>
  <si>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</si>
  <si>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</si>
  <si>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</si>
  <si>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</si>
  <si>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</si>
  <si>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</si>
  <si>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</si>
  <si>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</si>
  <si>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</si>
  <si>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</si>
  <si>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</si>
  <si>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</si>
  <si>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</si>
  <si>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</si>
  <si>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</si>
  <si>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</si>
  <si>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</si>
  <si>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</si>
  <si>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</si>
  <si>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</si>
  <si>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</si>
  <si>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</si>
  <si>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</si>
  <si>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</si>
  <si>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</si>
  <si>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</si>
  <si>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</si>
  <si>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</si>
  <si>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</si>
  <si>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</si>
  <si>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</si>
  <si>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</si>
  <si>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</si>
  <si>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</si>
  <si>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</si>
  <si>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</si>
  <si>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</si>
  <si>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</si>
  <si>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</si>
  <si>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</si>
  <si>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</si>
  <si>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</si>
  <si>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</si>
  <si>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</si>
  <si>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</si>
  <si>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</si>
  <si>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</si>
  <si>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</si>
  <si>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</si>
  <si>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</si>
  <si>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</si>
  <si>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</si>
  <si>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</si>
  <si>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</si>
  <si>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</si>
  <si>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</si>
  <si>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</si>
  <si>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</si>
  <si>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</si>
  <si>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</si>
  <si>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</si>
  <si>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</si>
  <si>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</si>
  <si>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</si>
  <si>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</si>
  <si>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</si>
  <si>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</si>
  <si>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</si>
  <si>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</si>
  <si>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</si>
  <si>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</si>
  <si>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</si>
  <si>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</si>
  <si>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</si>
  <si>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</si>
  <si>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</si>
  <si>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</si>
  <si>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</si>
  <si>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</si>
  <si>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</si>
  <si>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</si>
  <si>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</si>
  <si>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</si>
  <si>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</si>
  <si>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</si>
  <si>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</si>
  <si>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</si>
  <si>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</si>
  <si>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</si>
  <si>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</si>
  <si>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</si>
  <si>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</si>
  <si>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</si>
  <si>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</si>
  <si>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</si>
  <si>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</si>
  <si>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</si>
  <si>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</si>
  <si>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</si>
  <si>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</si>
  <si>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</si>
  <si>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</si>
  <si>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</si>
  <si>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</si>
  <si>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</si>
  <si>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</si>
  <si>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</si>
  <si>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</si>
  <si>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</si>
  <si>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</si>
  <si>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</si>
  <si>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</si>
  <si>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</si>
  <si>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</si>
  <si>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</si>
  <si>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</si>
  <si>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</si>
  <si>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</si>
  <si>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</si>
  <si>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</si>
  <si>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</si>
  <si>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</si>
  <si>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</si>
  <si>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</si>
  <si>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</si>
  <si>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</si>
  <si>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</si>
  <si>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</si>
  <si>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</si>
  <si>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</si>
  <si>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</si>
  <si>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</si>
  <si>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</si>
  <si>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</si>
  <si>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</si>
  <si>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</si>
  <si>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</si>
  <si>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</si>
  <si>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</si>
  <si>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</si>
  <si>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</si>
  <si>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</si>
  <si>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</si>
  <si>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</si>
  <si>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</si>
  <si>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</si>
  <si>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</si>
  <si>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</si>
  <si>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</si>
  <si>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</si>
  <si>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</si>
  <si>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</si>
  <si>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</si>
  <si>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</si>
  <si>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</si>
  <si>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</si>
  <si>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</si>
  <si>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</si>
  <si>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</si>
  <si>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</si>
  <si>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</si>
  <si>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</si>
  <si>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</si>
  <si>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</si>
  <si>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</si>
  <si>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</si>
  <si>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</si>
  <si>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</si>
  <si>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</si>
  <si>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</si>
  <si>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</si>
  <si>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</si>
  <si>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</si>
  <si>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</si>
  <si>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</si>
  <si>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</si>
  <si>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</si>
  <si>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</si>
  <si>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</si>
  <si>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</si>
  <si>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</si>
  <si>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</si>
  <si>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</si>
  <si>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</si>
  <si>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</si>
  <si>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</si>
  <si>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</si>
  <si>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</si>
  <si>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</si>
  <si>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</si>
  <si>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</si>
  <si>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</si>
  <si>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</si>
  <si>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</si>
  <si>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</si>
  <si>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</si>
  <si>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</si>
  <si>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</si>
  <si>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</si>
  <si>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</si>
  <si>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</si>
  <si>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</si>
  <si>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</si>
  <si>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</si>
  <si>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</si>
  <si>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</si>
  <si>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</si>
  <si>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</si>
  <si>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</si>
  <si>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</si>
  <si>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</si>
  <si>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</si>
  <si>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</si>
  <si>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</si>
  <si>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</si>
  <si>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</si>
  <si>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</si>
  <si>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</si>
  <si>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</si>
  <si>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</si>
  <si>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</si>
  <si>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</si>
  <si>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</si>
  <si>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</si>
  <si>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</si>
  <si>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</si>
  <si>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</si>
  <si>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</si>
  <si>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</si>
  <si>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</si>
  <si>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</si>
  <si>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</si>
  <si>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</si>
  <si>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</si>
  <si>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</si>
  <si>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</si>
  <si>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</si>
  <si>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</si>
  <si>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</si>
  <si>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</si>
  <si>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</si>
  <si>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</si>
  <si>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</si>
  <si>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</si>
  <si>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</si>
  <si>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</si>
  <si>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</si>
  <si>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</si>
  <si>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</si>
  <si>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</si>
  <si>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</si>
  <si>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</si>
  <si>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</si>
  <si>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</si>
  <si>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</si>
  <si>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</si>
  <si>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</si>
  <si>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</si>
  <si>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</si>
  <si>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</si>
  <si>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</si>
  <si>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</si>
  <si>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</si>
  <si>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</si>
  <si>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</si>
  <si>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</si>
  <si>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</si>
  <si>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</si>
  <si>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</si>
  <si>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</si>
  <si>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</si>
  <si>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</si>
  <si>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</si>
  <si>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</si>
  <si>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</si>
  <si>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</si>
  <si>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</si>
  <si>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</si>
  <si>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</si>
  <si>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</si>
  <si>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</si>
  <si>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</si>
  <si>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</si>
  <si>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</si>
  <si>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</si>
  <si>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</si>
  <si>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</si>
  <si>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</si>
  <si>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</si>
  <si>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</si>
  <si>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</si>
  <si>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</si>
  <si>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</si>
  <si>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</si>
  <si>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</si>
  <si>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</si>
  <si>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</si>
  <si>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</si>
  <si>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</si>
  <si>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</si>
  <si>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</si>
  <si>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</si>
  <si>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</si>
  <si>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</si>
  <si>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</si>
  <si>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</si>
  <si>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</si>
  <si>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</si>
  <si>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</si>
  <si>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</si>
  <si>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</si>
  <si>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</si>
  <si>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</si>
  <si>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</si>
  <si>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</si>
  <si>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</si>
  <si>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</si>
  <si>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</si>
  <si>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</si>
  <si>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</si>
  <si>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</si>
  <si>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</si>
  <si>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</si>
  <si>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</si>
  <si>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</si>
  <si>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</si>
  <si>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</si>
  <si>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</si>
  <si>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</si>
  <si>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</si>
  <si>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</si>
  <si>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</si>
  <si>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</si>
  <si>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</si>
  <si>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</si>
  <si>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</si>
  <si>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</si>
  <si>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</si>
  <si>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</si>
  <si>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</si>
  <si>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</si>
  <si>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</si>
  <si>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</si>
  <si>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</si>
  <si>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</si>
  <si>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</si>
  <si>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</si>
  <si>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</si>
  <si>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</si>
  <si>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</si>
  <si>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</si>
  <si>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</si>
  <si>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</si>
  <si>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</si>
  <si>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</si>
  <si>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</si>
  <si>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</si>
  <si>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</si>
  <si>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</si>
  <si>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</si>
  <si>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</si>
  <si>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</si>
  <si>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</si>
  <si>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</si>
  <si>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</si>
  <si>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</si>
  <si>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</si>
  <si>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</si>
  <si>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</si>
  <si>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</si>
  <si>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</si>
  <si>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</si>
  <si>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</si>
  <si>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</si>
  <si>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</si>
  <si>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</si>
  <si>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</si>
  <si>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</si>
  <si>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</si>
  <si>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</si>
  <si>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</si>
  <si>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</si>
  <si>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</si>
  <si>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</si>
  <si>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</si>
  <si>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</si>
  <si>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</si>
  <si>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</si>
  <si>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</si>
  <si>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</si>
  <si>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</si>
  <si>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</si>
  <si>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</si>
  <si>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</si>
  <si>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</si>
  <si>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</si>
  <si>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</si>
  <si>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</si>
  <si>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</si>
  <si>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</si>
  <si>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</si>
  <si>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</si>
  <si>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</si>
  <si>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</si>
  <si>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</si>
  <si>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</si>
  <si>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</si>
  <si>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</si>
  <si>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</si>
  <si>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</si>
  <si>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</si>
  <si>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</si>
  <si>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</si>
  <si>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</si>
  <si>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</si>
  <si>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</si>
  <si>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</si>
  <si>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</si>
  <si>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</si>
  <si>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</si>
  <si>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</si>
  <si>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</si>
  <si>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</si>
  <si>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</si>
  <si>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</si>
  <si>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</si>
  <si>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</si>
  <si>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</si>
  <si>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</si>
  <si>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</si>
  <si>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</si>
  <si>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</si>
  <si>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</si>
  <si>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</si>
  <si>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</si>
  <si>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</si>
  <si>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</si>
  <si>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</si>
  <si>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</si>
  <si>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</si>
  <si>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</si>
  <si>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</si>
  <si>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</si>
  <si>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</si>
  <si>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</si>
  <si>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</si>
  <si>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</si>
  <si>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</si>
  <si>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</si>
  <si>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</si>
  <si>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</si>
  <si>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</si>
  <si>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</si>
  <si>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</si>
  <si>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</si>
  <si>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</si>
  <si>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</si>
  <si>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</si>
  <si>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</si>
  <si>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</si>
  <si>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</si>
  <si>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</si>
  <si>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</si>
  <si>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</si>
  <si>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</si>
  <si>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</si>
  <si>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</si>
  <si>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</si>
  <si>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</si>
  <si>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</si>
  <si>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</si>
  <si>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</si>
  <si>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</si>
  <si>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</si>
  <si>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</si>
  <si>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</si>
  <si>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</si>
  <si>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</si>
  <si>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</si>
  <si>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</si>
  <si>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</si>
  <si>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</si>
  <si>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</si>
  <si>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</si>
  <si>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</si>
  <si>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</si>
  <si>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</si>
  <si>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</si>
  <si>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</si>
  <si>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</si>
  <si>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</si>
  <si>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</si>
  <si>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</si>
  <si>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</si>
  <si>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</si>
  <si>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</si>
  <si>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</si>
  <si>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</si>
  <si>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</si>
  <si>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</si>
  <si>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</si>
  <si>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</si>
  <si>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</si>
  <si>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</si>
  <si>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</si>
  <si>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</si>
  <si>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</si>
  <si>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</si>
  <si>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</si>
  <si>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</si>
  <si>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</si>
  <si>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</si>
  <si>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</si>
  <si>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</si>
  <si>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</si>
  <si>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</si>
  <si>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</si>
  <si>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</si>
  <si>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</si>
  <si>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</si>
  <si>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</si>
  <si>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</si>
  <si>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</si>
  <si>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</si>
  <si>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</si>
  <si>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</si>
  <si>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</si>
  <si>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</si>
  <si>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</si>
  <si>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</si>
  <si>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</si>
  <si>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</si>
  <si>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</si>
  <si>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</si>
  <si>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</si>
  <si>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</si>
  <si>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</si>
  <si>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</si>
  <si>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</si>
  <si>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</si>
  <si>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</si>
  <si>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</si>
  <si>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</si>
  <si>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</si>
  <si>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</si>
  <si>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</si>
  <si>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</si>
  <si>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</si>
  <si>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</si>
  <si>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</si>
  <si>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</si>
  <si>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</si>
  <si>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</si>
  <si>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</si>
  <si>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</si>
  <si>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</si>
  <si>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</si>
  <si>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</si>
  <si>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</si>
  <si>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</si>
  <si>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</si>
  <si>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</si>
  <si>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</si>
  <si>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</si>
  <si>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</si>
  <si>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</si>
  <si>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</si>
  <si>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</si>
  <si>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</si>
  <si>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</si>
  <si>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</si>
  <si>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</si>
  <si>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</si>
  <si>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</si>
  <si>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</si>
  <si>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</si>
  <si>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</si>
  <si>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</si>
  <si>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</si>
  <si>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</si>
  <si>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</si>
  <si>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</si>
  <si>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</si>
  <si>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</si>
  <si>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</si>
  <si>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</si>
  <si>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</si>
  <si>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</si>
  <si>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</si>
  <si>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</si>
  <si>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</si>
  <si>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</si>
  <si>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</si>
  <si>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</si>
  <si>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</si>
  <si>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</si>
  <si>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</si>
  <si>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</si>
  <si>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</si>
  <si>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</si>
  <si>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</si>
  <si>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</si>
  <si>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</si>
  <si>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</si>
  <si>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</si>
  <si>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</si>
  <si>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</si>
  <si>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</si>
  <si>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</si>
  <si>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</si>
  <si>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</si>
  <si>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</si>
  <si>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</si>
  <si>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</si>
  <si>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</si>
  <si>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</si>
  <si>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</si>
  <si>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</si>
  <si>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</si>
  <si>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</si>
  <si>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</si>
  <si>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</si>
  <si>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</si>
  <si>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</si>
  <si>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</si>
  <si>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</si>
  <si>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</si>
  <si>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</si>
  <si>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</si>
  <si>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</si>
  <si>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</si>
  <si>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</si>
  <si>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</si>
  <si>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</si>
  <si>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</si>
  <si>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</si>
  <si>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</si>
  <si>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</si>
  <si>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</si>
  <si>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</si>
  <si>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</si>
  <si>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</si>
  <si>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</si>
  <si>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</si>
  <si>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</si>
  <si>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</si>
  <si>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</si>
  <si>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</si>
  <si>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</si>
  <si>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</si>
  <si>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</si>
  <si>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</si>
  <si>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</si>
  <si>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</si>
  <si>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</si>
  <si>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</si>
  <si>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</si>
  <si>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</si>
  <si>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</si>
  <si>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</si>
  <si>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</si>
  <si>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</si>
  <si>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</si>
  <si>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</si>
  <si>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</si>
  <si>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</si>
  <si>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</si>
  <si>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</si>
  <si>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</si>
  <si>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</si>
  <si>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</si>
  <si>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</si>
  <si>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</si>
  <si>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</si>
  <si>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</si>
  <si>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</si>
  <si>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</si>
  <si>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</si>
  <si>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</si>
  <si>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</si>
  <si>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</si>
  <si>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</si>
  <si>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</si>
  <si>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</si>
  <si>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</si>
  <si>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</si>
  <si>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</si>
  <si>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</si>
  <si>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</si>
  <si>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</si>
  <si>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</si>
  <si>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</si>
  <si>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</si>
  <si>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</si>
  <si>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</si>
  <si>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</si>
  <si>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</si>
  <si>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</si>
  <si>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</si>
  <si>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</si>
  <si>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</si>
  <si>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</si>
  <si>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</si>
  <si>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</si>
  <si>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</si>
  <si>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</si>
  <si>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</si>
  <si>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</si>
  <si>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</si>
  <si>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</si>
  <si>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</si>
  <si>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</si>
  <si>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</si>
  <si>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</si>
  <si>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</si>
  <si>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</si>
  <si>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</si>
  <si>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</si>
  <si>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</si>
  <si>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</si>
  <si>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</si>
  <si>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</si>
  <si>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</si>
  <si>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</si>
  <si>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</si>
  <si>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</si>
  <si>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</si>
  <si>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</si>
  <si>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</si>
  <si>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</si>
  <si>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</si>
  <si>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</si>
  <si>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</si>
  <si>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</si>
  <si>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</si>
  <si>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</si>
  <si>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</si>
  <si>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</si>
  <si>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</si>
  <si>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</si>
  <si>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</si>
  <si>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</si>
  <si>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</si>
  <si>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</si>
  <si>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</si>
  <si>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</si>
  <si>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</si>
  <si>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</si>
  <si>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</si>
  <si>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</si>
  <si>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</si>
  <si>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</si>
  <si>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</si>
  <si>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</si>
  <si>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</si>
  <si>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</si>
  <si>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</si>
  <si>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</si>
  <si>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</si>
  <si>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</si>
  <si>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</si>
  <si>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</si>
  <si>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</si>
  <si>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</si>
  <si>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</si>
  <si>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</si>
  <si>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</si>
  <si>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</si>
  <si>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</si>
  <si>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</si>
  <si>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</si>
  <si>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</si>
  <si>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</si>
  <si>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</si>
  <si>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</si>
  <si>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</si>
  <si>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</si>
  <si>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</si>
  <si>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</si>
  <si>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</si>
  <si>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</si>
  <si>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</si>
  <si>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</si>
  <si>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</si>
  <si>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</si>
  <si>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</si>
  <si>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</si>
  <si>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</si>
  <si>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</si>
  <si>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</si>
  <si>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</si>
  <si>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</si>
  <si>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</si>
  <si>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</si>
  <si>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</si>
  <si>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</si>
  <si>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</si>
  <si>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</si>
  <si>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</si>
  <si>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</si>
  <si>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</si>
  <si>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</si>
  <si>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</si>
  <si>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</si>
  <si>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</si>
  <si>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</si>
  <si>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</si>
  <si>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</si>
  <si>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</si>
  <si>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</si>
  <si>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</si>
  <si>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</si>
  <si>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</si>
  <si>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</si>
  <si>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</si>
  <si>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</si>
  <si>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</si>
  <si>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</si>
  <si>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</si>
  <si>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</si>
  <si>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</si>
  <si>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</si>
  <si>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</si>
  <si>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</si>
  <si>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</si>
  <si>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</si>
  <si>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</si>
  <si>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</si>
  <si>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</si>
  <si>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</si>
  <si>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</si>
  <si>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</si>
  <si>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</si>
  <si>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</si>
  <si>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</si>
  <si>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</si>
  <si>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</si>
  <si>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</si>
  <si>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</si>
  <si>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</si>
  <si>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</si>
  <si>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</si>
  <si>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</si>
  <si>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</si>
  <si>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</si>
  <si>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</si>
  <si>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</si>
  <si>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</si>
  <si>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</si>
  <si>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</si>
  <si>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</si>
  <si>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</si>
  <si>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</si>
  <si>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</si>
  <si>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</si>
  <si>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</si>
  <si>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</si>
  <si>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</si>
  <si>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</si>
  <si>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</si>
  <si>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</si>
  <si>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</si>
  <si>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</si>
  <si>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</si>
  <si>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</si>
  <si>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</si>
  <si>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</si>
  <si>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</si>
  <si>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</si>
  <si>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</si>
  <si>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</si>
  <si>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</si>
  <si>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</si>
  <si>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</si>
  <si>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</si>
  <si>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</si>
  <si>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</si>
  <si>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</si>
  <si>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</si>
  <si>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</si>
  <si>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</si>
  <si>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</si>
  <si>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</si>
  <si>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</si>
  <si>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</si>
  <si>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</si>
  <si>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</si>
  <si>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</si>
  <si>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</si>
  <si>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</si>
  <si>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</si>
  <si>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</si>
  <si>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</si>
  <si>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</si>
  <si>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</si>
  <si>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</si>
  <si>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</si>
  <si>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</si>
  <si>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</si>
  <si>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</si>
  <si>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</si>
  <si>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</si>
  <si>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</si>
  <si>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</si>
  <si>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</si>
  <si>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</si>
  <si>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</si>
  <si>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</si>
  <si>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</si>
  <si>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</si>
  <si>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</si>
  <si>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</si>
  <si>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</si>
  <si>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</si>
  <si>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</si>
  <si>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</si>
  <si>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</si>
  <si>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</si>
  <si>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</si>
  <si>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</si>
  <si>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</si>
  <si>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</si>
  <si>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</si>
  <si>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</si>
  <si>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</si>
  <si>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</si>
  <si>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</si>
  <si>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</si>
  <si>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</si>
  <si>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</si>
  <si>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</si>
  <si>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</si>
  <si>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</si>
  <si>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</si>
  <si>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</si>
  <si>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</si>
  <si>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</si>
  <si>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</si>
  <si>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</si>
  <si>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</si>
  <si>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</si>
  <si>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</si>
  <si>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</si>
  <si>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</si>
  <si>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</si>
  <si>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</si>
  <si>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</si>
  <si>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</si>
  <si>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</si>
  <si>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</si>
  <si>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</si>
  <si>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</si>
  <si>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</si>
  <si>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</si>
  <si>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</si>
  <si>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</si>
  <si>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</si>
  <si>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</si>
  <si>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</si>
  <si>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</si>
  <si>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</si>
  <si>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</si>
  <si>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</si>
  <si>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</si>
  <si>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</si>
  <si>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</si>
  <si>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</si>
  <si>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</si>
  <si>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</si>
  <si>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</si>
  <si>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</si>
  <si>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</si>
  <si>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</si>
  <si>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</si>
  <si>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</si>
  <si>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</si>
  <si>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</si>
  <si>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</si>
  <si>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</si>
  <si>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</si>
  <si>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</si>
  <si>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</si>
  <si>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</si>
  <si>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</si>
  <si>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</si>
  <si>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</si>
  <si>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</si>
  <si>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</si>
  <si>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</si>
  <si>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</si>
  <si>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</si>
  <si>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</si>
  <si>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</si>
  <si>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</si>
  <si>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</si>
  <si>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</si>
  <si>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</si>
  <si>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</si>
  <si>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</si>
  <si>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</si>
  <si>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</si>
  <si>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</si>
  <si>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</si>
  <si>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</si>
  <si>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</si>
  <si>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</si>
  <si>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</si>
  <si>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</si>
  <si>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</si>
  <si>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</si>
  <si>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</si>
  <si>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</si>
  <si>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</si>
  <si>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</si>
  <si>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</si>
  <si>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</si>
  <si>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</si>
  <si>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</si>
  <si>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</si>
  <si>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</si>
  <si>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</si>
  <si>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</si>
  <si>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</si>
  <si>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</si>
  <si>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</si>
  <si>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</si>
  <si>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</si>
  <si>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</si>
  <si>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</si>
  <si>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</si>
  <si>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</si>
  <si>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</si>
  <si>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</si>
  <si>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</si>
  <si>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</si>
  <si>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</si>
  <si>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</si>
  <si>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</si>
  <si>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</si>
  <si>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</si>
  <si>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</si>
  <si>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</si>
  <si>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</si>
  <si>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</si>
  <si>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</si>
  <si>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</si>
  <si>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</si>
  <si>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</si>
  <si>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</si>
  <si>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</si>
  <si>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</si>
  <si>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</si>
  <si>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</si>
  <si>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</si>
  <si>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</si>
  <si>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</si>
  <si>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</si>
  <si>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</si>
  <si>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</si>
  <si>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</si>
  <si>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</si>
  <si>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</si>
  <si>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</si>
  <si>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</si>
  <si>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</si>
  <si>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</si>
  <si>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</si>
  <si>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</si>
  <si>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</si>
  <si>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</si>
  <si>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</si>
  <si>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</si>
  <si>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</si>
  <si>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</si>
  <si>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</si>
  <si>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</si>
  <si>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</si>
  <si>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</si>
  <si>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</si>
  <si>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</si>
  <si>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</si>
  <si>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</si>
  <si>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</si>
  <si>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</si>
  <si>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</si>
  <si>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</si>
  <si>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</si>
  <si>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</si>
  <si>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</si>
  <si>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</si>
  <si>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</si>
  <si>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</si>
  <si>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</si>
  <si>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</si>
  <si>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</si>
  <si>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</si>
  <si>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</si>
  <si>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</si>
  <si>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</si>
  <si>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</si>
  <si>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</si>
  <si>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</si>
  <si>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</si>
  <si>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</si>
  <si>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</si>
  <si>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</si>
  <si>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</si>
  <si>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</si>
  <si>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</si>
  <si>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</si>
  <si>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</si>
  <si>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</si>
  <si>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>…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</si>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</sst>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9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79" totalsRowShown="0" headerRowDxfId="88" dataDxfId="87">
  <autoFilter ref="A1:R379" xr:uid="{97E63F84-BDFB-4C38-B1FD-28318E0D1D3F}"/>
  <tableColumns count="18">
    <tableColumn id="1" xr3:uid="{DEBB3640-E433-4779-93BC-95B8FB492623}" name="S.NO" dataDxfId="86">
      <calculatedColumnFormula>ROW()-1</calculatedColumnFormula>
    </tableColumn>
    <tableColumn id="13" xr3:uid="{86C56767-9BFE-4154-9FC1-CEA7C183815E}" name="APPLICATION NO." dataDxfId="85"/>
    <tableColumn id="2" xr3:uid="{6ABB4EDF-0F58-40D7-979C-D37D8D91A6BC}" name="CHASSIS" dataDxfId="84"/>
    <tableColumn id="17" xr3:uid="{0BBF5E4D-B8B0-4055-8D5F-3A6BB4D4A4DA}" name="ENGINE NO." dataDxfId="83"/>
    <tableColumn id="3" xr3:uid="{285CC4F4-4CD1-4FFC-A101-ED051DA40438}" name="NAME" dataDxfId="82"/>
    <tableColumn id="4" xr3:uid="{28DC8B59-EFA0-4502-86B0-033B0B60D615}" name="MODEL" dataDxfId="81"/>
    <tableColumn id="14" xr3:uid="{B25F5A6A-3B72-4772-B75C-D86670F35131}" name="COLOR" dataDxfId="80"/>
    <tableColumn id="15" xr3:uid="{22F5E9AE-FC4E-4EBD-ADBF-5C93F85B331F}" name="RTO" dataDxfId="79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78"/>
    <tableColumn id="6" xr3:uid="{9942893D-0703-456F-8072-CD136C7B4052}" name="DATE OF REG" dataDxfId="77"/>
    <tableColumn id="12" xr3:uid="{CC83ADC7-1924-4CE0-83FB-B2DFBEF7A193}" name="CONTACT" dataDxfId="76"/>
    <tableColumn id="7" xr3:uid="{3AD2B0D9-D7A5-46E0-B596-F6B7F1CDDEA6}" name="DSE" dataDxfId="75"/>
    <tableColumn id="8" xr3:uid="{475221AE-3FDC-4CED-B76C-4DA1DD4F8AD9}" name="RC RECEIVED BY" dataDxfId="74"/>
    <tableColumn id="9" xr3:uid="{F594ED7D-6966-47AC-A5C3-25754B73A3CC}" name="DATE" dataDxfId="73"/>
    <tableColumn id="10" xr3:uid="{452E3ECD-E927-4EC7-A8A2-4A866233750E}" name="FASTTAG" dataDxfId="72"/>
    <tableColumn id="11" xr3:uid="{CFEE5573-D700-4B26-B382-BCA8210C54C2}" name="DATED" dataDxfId="71"/>
    <tableColumn id="16" xr3:uid="{07363D0C-2FBE-403B-A617-BDB5768FAC43}" name="FT STATUS" dataDxfId="70"/>
    <tableColumn id="19" xr3:uid="{9456CF5E-F4D1-41FB-BAEA-332735A8583D}" name="REMARKS" dataDxfId="6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8" dataDxfId="66" headerRowBorderDxfId="67" tableBorderDxfId="65">
  <autoFilter ref="A1:U1475" xr:uid="{D370B51C-D08F-47BE-AAB1-EC19B1CB5D0A}"/>
  <tableColumns count="21">
    <tableColumn id="1" xr3:uid="{F2AB5776-2910-4922-8F7A-A29B241AFBFB}" name="S.NO" dataDxfId="64"/>
    <tableColumn id="2" xr3:uid="{BD6FD91D-E737-4D6A-B00A-D80EC1A61CA8}" name="DATE" dataDxfId="63"/>
    <tableColumn id="3" xr3:uid="{523BFE7D-9361-4DD0-92B3-69A6F8F0C3E9}" name="CUSTOMER NAME" dataDxfId="62"/>
    <tableColumn id="4" xr3:uid="{D470DE80-5E84-419F-ABF9-6269311CD45E}" name="MARUTI" dataDxfId="61"/>
    <tableColumn id="5" xr3:uid="{89C10B6F-C9EE-4AD2-A610-262BFCF29B4E}" name="MODEL OR VARIANT" dataDxfId="60"/>
    <tableColumn id="6" xr3:uid="{9CB69D3E-706F-4EED-A315-D5399BE00D5C}" name="RTO" dataDxfId="59"/>
    <tableColumn id="7" xr3:uid="{2FB81954-C8D6-43B3-92E2-574B07BBFCCB}" name="VEHICLE CLASS" dataDxfId="58"/>
    <tableColumn id="8" xr3:uid="{1892A735-1187-4E6C-8786-9B173567AAD2}" name="REG. NO" dataDxfId="57"/>
    <tableColumn id="9" xr3:uid="{AFB37B1C-50E7-42BE-BC49-27B4D7E4E829}" name="VIN" dataDxfId="56"/>
    <tableColumn id="10" xr3:uid="{A3569458-1056-4E90-B079-94E3430A5743}" name="APPLICATION NO." dataDxfId="55"/>
    <tableColumn id="11" xr3:uid="{E25E7D92-4EC4-485D-93B8-A15B0538604A}" name="RTO AMMOUNT " dataDxfId="54"/>
    <tableColumn id="12" xr3:uid="{DB89535A-8F36-4EF8-B62C-86ABB378F51F}" name="HSRP" dataDxfId="53"/>
    <tableColumn id="13" xr3:uid="{6BD25826-954F-49C4-BE9E-24422B1B85BE}" name="ACCOUNT" dataDxfId="52"/>
    <tableColumn id="14" xr3:uid="{974951AE-D99C-487A-9DB5-065DA8DD25D4}" name="RM NAME" dataDxfId="51"/>
    <tableColumn id="15" xr3:uid="{FA4014CD-BE60-4554-9D6D-C0CC54B2CA05}" name="PAYMENT MODE" dataDxfId="50"/>
    <tableColumn id="16" xr3:uid="{84C48B22-72C9-4BD7-86AD-D8ECD87C3A64}" name="FILE PUNCHED BY" dataDxfId="49"/>
    <tableColumn id="17" xr3:uid="{87E46E14-6F6C-41D4-BBF8-CEAFAFE4CA8F}" name="PAYMENT ID" dataDxfId="48"/>
    <tableColumn id="18" xr3:uid="{0F2CD467-C868-4769-B436-AE2A25413B52}" name="RC STATUS" dataDxfId="47"/>
    <tableColumn id="19" xr3:uid="{0A9FDBF9-6418-4F2B-8B46-BE05C8150A04}" name="RC GIVEN DATE" dataDxfId="46"/>
    <tableColumn id="20" xr3:uid="{3A50F2B6-47D6-4A09-AA43-188FC568EA57}" name="FASTTAG ISSUE" dataDxfId="45"/>
    <tableColumn id="21" xr3:uid="{E4802D5D-D65F-42D3-B57E-E27729185964}" name="FASTTAG ISSUE DATE 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80" totalsRowShown="0" headerRowDxfId="43" dataDxfId="42">
  <autoFilter ref="A2:H180" xr:uid="{B21CDF53-EB04-406A-8D52-FCF5CCB609E9}"/>
  <sortState xmlns:xlrd2="http://schemas.microsoft.com/office/spreadsheetml/2017/richdata2" ref="A3:H180">
    <sortCondition ref="D2:D180"/>
  </sortState>
  <tableColumns count="8">
    <tableColumn id="1" xr3:uid="{E7104F17-DBE3-4DF1-9933-FFCDDC61A4A1}" name="S.No." dataDxfId="41"/>
    <tableColumn id="11" xr3:uid="{7AA66E15-5D81-45A6-A480-BC2F7EFDEB4C}" name="Name" dataDxfId="40"/>
    <tableColumn id="10" xr3:uid="{DA1D923C-25B3-4F76-823C-435E6464FF55}" name="Contact" dataDxfId="39"/>
    <tableColumn id="2" xr3:uid="{5FEBD558-5EB7-4421-BA25-DCAC1134B168}" name="Barcode No." dataDxfId="38"/>
    <tableColumn id="12" xr3:uid="{77758C8B-F2C8-47C0-B104-570729F9693B}" name="Reg Num" dataDxfId="37"/>
    <tableColumn id="5" xr3:uid="{9AC97A3F-3009-4A59-ACCF-A178780E6F61}" name="Date" dataDxfId="36"/>
    <tableColumn id="7" xr3:uid="{82C8F4C5-8489-4228-83CC-0B9666328CDD}" name="CHANNEL" dataDxfId="35"/>
    <tableColumn id="8" xr3:uid="{DDF1FC61-A0D6-46E9-9515-6DDC5AB1E932}" name="Status" dataDxfId="3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3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2"/>
    <tableColumn id="2" xr3:uid="{1E57C5CE-907A-4DF0-BCA2-BBCD2651216C}" name="APPLICATION NO." dataDxfId="31"/>
    <tableColumn id="3" xr3:uid="{F626713A-3C61-423D-BD37-451203C3E29C}" name="CHASSIS" dataDxfId="30"/>
    <tableColumn id="4" xr3:uid="{32C5A048-ADD8-4648-8106-9F20D6757D66}" name="NAME" dataDxfId="29"/>
    <tableColumn id="5" xr3:uid="{BA1FDE8E-99ED-4918-A545-B2E041B306D6}" name="MODEL" dataDxfId="28"/>
    <tableColumn id="6" xr3:uid="{872ECA2D-515D-4EDE-B60A-82A8BDEFEDCC}" name="COLOR" dataDxfId="27"/>
    <tableColumn id="7" xr3:uid="{C729A2AA-8F61-4959-9BE7-9F1BD3A49990}" name="RTO" dataDxfId="26"/>
    <tableColumn id="8" xr3:uid="{49CDED17-8118-4E4F-BBF5-6407D0788647}" name="REG NUM" dataDxfId="25"/>
    <tableColumn id="9" xr3:uid="{6E044422-F791-464A-944A-0668F0C8112F}" name="DATE OF REG" dataDxfId="24"/>
    <tableColumn id="11" xr3:uid="{942D52E6-8B19-4B1A-ADDF-6D959D8E7BE1}" name="DSE" dataDxfId="23"/>
    <tableColumn id="12" xr3:uid="{04B58679-3282-4D6D-BF3E-2233E3C4DC81}" name="RC RECEIVED BY" dataDxfId="2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1" tableBorderDxfId="20" totalsRowBorderDxfId="19">
  <autoFilter ref="B27:E32" xr:uid="{859DCBAE-920B-4469-9E0B-BF5ADC0248E9}"/>
  <tableColumns count="4">
    <tableColumn id="1" xr3:uid="{898528DA-B3AC-435C-B00C-9234887E5F11}" name="REG NUM" dataDxfId="18"/>
    <tableColumn id="2" xr3:uid="{89440296-A536-440E-A74B-186B5A98AE6C}" name="DATE OF REG" dataDxfId="17"/>
    <tableColumn id="3" xr3:uid="{7A04E3EB-93DA-4428-AB0C-3D251E144655}" name="RC RECEIVED BY" dataDxfId="16"/>
    <tableColumn id="4" xr3:uid="{0D350352-EB5F-413B-8CE6-3B46D80C3172}" name="DATE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57"/>
  <sheetViews>
    <sheetView tabSelected="1" topLeftCell="A357" zoomScaleNormal="100" workbookViewId="0">
      <selection activeCell="D379" sqref="D37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4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33" si="1"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7459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ref="H34:H64" si="2">IF(LEFT(I34,4)="JK13","PULWAMA",IF(LEFT(I34,4)="JK01","SRINAGAR",IF(LEFT(I34,4)="JK04","BUDGAM",IF(LEFT(I34,4)="JK03","ANANTNAG",IF(LEFT(I34,4)="JK05","BARAMULLA",IF(LEFT(I34,4)="25BH","BHARAT",IF(LEFT(I34,4)="JK12","POONCH",IF(LEFT(I34,4)="JK18","KULGAM",IF(LEFT(I34,4)="JK22","SHOPIAN",IF(LEFT(I34,4)="T102","TEMP",IF(LEFT(I34,4)="JK09","KUPWARA",IF(LEFT(I34,4)="JK15","BANDIPORA",IF(LEFT(I34,4)="T112","KARGIL","NEW")))))))))))))</f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2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2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2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2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2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2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2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2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2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6380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2"/>
        <v>PULWAMA</v>
      </c>
      <c r="I44" s="47" t="s">
        <v>103</v>
      </c>
      <c r="J44" s="48">
        <v>45965</v>
      </c>
      <c r="K44" s="47"/>
      <c r="L44" s="47" t="s">
        <v>6451</v>
      </c>
      <c r="M44" s="49" t="s">
        <v>6450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2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2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2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2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2"/>
        <v>PULWAMA</v>
      </c>
      <c r="I49" s="47" t="s">
        <v>157</v>
      </c>
      <c r="J49" s="48">
        <v>45966</v>
      </c>
      <c r="K49" s="47"/>
      <c r="L49" s="47" t="s">
        <v>6451</v>
      </c>
      <c r="M49" s="49" t="s">
        <v>7048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2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2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2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2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2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2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2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2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2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2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2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2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2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2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2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ref="A65:A95" si="3">ROW()-1</f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ref="H65:H95" si="4">IF(LEFT(I65,4)="JK13","PULWAMA",IF(LEFT(I65,4)="JK01","SRINAGAR",IF(LEFT(I65,4)="JK04","BUDGAM",IF(LEFT(I65,4)="JK03","ANANTNAG",IF(LEFT(I65,4)="JK05","BARAMULLA",IF(LEFT(I65,4)="25BH","BHARAT",IF(LEFT(I65,4)="JK12","POONCH",IF(LEFT(I65,4)="JK18","KULGAM",IF(LEFT(I65,4)="JK22","SHOPIAN",IF(LEFT(I65,4)="T102","TEMP",IF(LEFT(I65,4)="JK09","KUPWARA",IF(LEFT(I65,4)="JK15","BANDIPORA",IF(LEFT(I65,4)="T112","KARGIL","NEW")))))))))))))</f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3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4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3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si="4"/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3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4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3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4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3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4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3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4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3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4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3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4"/>
        <v>SRINAGAR</v>
      </c>
      <c r="I73" s="47" t="s">
        <v>316</v>
      </c>
      <c r="J73" s="48">
        <v>45972</v>
      </c>
      <c r="K73" s="47">
        <v>9906506594</v>
      </c>
      <c r="L73" s="47" t="s">
        <v>6451</v>
      </c>
      <c r="M73" s="49" t="s">
        <v>6548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3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4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3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4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3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4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3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4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3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4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3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4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3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4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3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4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3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4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3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4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3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4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3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4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3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4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3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4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3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4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/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3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4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3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4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3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4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3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4"/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3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4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3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4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/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3"/>
        <v>94</v>
      </c>
      <c r="B95" s="47" t="s">
        <v>6515</v>
      </c>
      <c r="C95" s="47" t="s">
        <v>6516</v>
      </c>
      <c r="D95" s="47" t="s">
        <v>7634</v>
      </c>
      <c r="E95" s="47" t="s">
        <v>6517</v>
      </c>
      <c r="F95" s="47" t="s">
        <v>119</v>
      </c>
      <c r="G95" s="47" t="s">
        <v>200</v>
      </c>
      <c r="H95" s="47" t="str">
        <f t="shared" si="4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ref="A96:A159" si="5">ROW()-1</f>
        <v>95</v>
      </c>
      <c r="B96" s="47" t="s">
        <v>7780</v>
      </c>
      <c r="C96" s="47" t="s">
        <v>7781</v>
      </c>
      <c r="D96" s="47" t="s">
        <v>7782</v>
      </c>
      <c r="E96" s="47" t="s">
        <v>7783</v>
      </c>
      <c r="F96" s="47" t="s">
        <v>119</v>
      </c>
      <c r="G96" s="47" t="s">
        <v>175</v>
      </c>
      <c r="H96" s="47" t="str">
        <f t="shared" ref="H96:H130" si="6">IF(LEFT(I96,4)="JK13","PULWAMA",IF(LEFT(I96,4)="JK01","SRINAGAR",IF(LEFT(I96,4)="JK04","BUDGAM",IF(LEFT(I96,4)="JK03","ANANTNAG",IF(LEFT(I96,4)="JK05","BARAMULLA",IF(LEFT(I96,4)="25BH","BHARAT",IF(LEFT(I96,4)="JK12","POONCH",IF(LEFT(I96,4)="JK18","KULGAM",IF(LEFT(I96,4)="JK22","SHOPIAN",IF(LEFT(I96,4)="T102","TEMP",IF(LEFT(I96,4)="JK09","KUPWARA",IF(LEFT(I96,4)="JK15","BANDIPORA",IF(LEFT(I96,4)="T112","KARGIL","NEW")))))))))))))</f>
        <v>BARAMULLA</v>
      </c>
      <c r="I96" s="47" t="s">
        <v>7784</v>
      </c>
      <c r="J96" s="48">
        <v>46021</v>
      </c>
      <c r="K96" s="47">
        <v>6006052436</v>
      </c>
      <c r="L96" s="47" t="s">
        <v>6521</v>
      </c>
      <c r="M96" s="49" t="s">
        <v>8219</v>
      </c>
      <c r="N96" s="48">
        <v>46030</v>
      </c>
      <c r="O96" s="47" t="s">
        <v>23</v>
      </c>
      <c r="P96" s="50">
        <v>46030</v>
      </c>
      <c r="Q96" s="47" t="s">
        <v>6460</v>
      </c>
      <c r="R96" s="47" t="s">
        <v>7809</v>
      </c>
    </row>
    <row r="97" spans="1:23" x14ac:dyDescent="0.25">
      <c r="A97" s="47">
        <f t="shared" si="5"/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 t="shared" si="6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5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6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5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6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5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6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7715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5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6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5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6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5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6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5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6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5"/>
        <v>104</v>
      </c>
      <c r="B105" s="47" t="s">
        <v>6927</v>
      </c>
      <c r="C105" s="47" t="s">
        <v>6925</v>
      </c>
      <c r="D105" s="47" t="s">
        <v>6926</v>
      </c>
      <c r="E105" s="47" t="s">
        <v>3420</v>
      </c>
      <c r="F105" s="47" t="s">
        <v>31</v>
      </c>
      <c r="G105" s="47" t="s">
        <v>174</v>
      </c>
      <c r="H105" s="47" t="str">
        <f t="shared" si="6"/>
        <v>PULWAMA</v>
      </c>
      <c r="I105" s="47" t="s">
        <v>6929</v>
      </c>
      <c r="J105" s="48">
        <v>46000</v>
      </c>
      <c r="K105" s="47">
        <v>9622432608</v>
      </c>
      <c r="L105" s="47" t="s">
        <v>6521</v>
      </c>
      <c r="M105" s="49" t="s">
        <v>7165</v>
      </c>
      <c r="N105" s="48">
        <v>46007</v>
      </c>
      <c r="O105" s="47"/>
      <c r="P105" s="50"/>
      <c r="Q105" s="47"/>
      <c r="R105" s="47"/>
    </row>
    <row r="106" spans="1:23" x14ac:dyDescent="0.25">
      <c r="A106" s="47">
        <f t="shared" si="5"/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 t="shared" si="6"/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 t="shared" si="5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6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/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5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6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5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6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5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6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7716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5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6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7454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5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6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5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6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5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6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5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6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6928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5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6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5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6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5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6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5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6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5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6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5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6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7618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5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6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5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6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5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6"/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5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6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5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6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5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6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5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6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5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6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5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6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5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">
        <v>678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5"/>
        <v>131</v>
      </c>
      <c r="B132" s="47" t="s">
        <v>7288</v>
      </c>
      <c r="C132" s="47" t="s">
        <v>7289</v>
      </c>
      <c r="D132" s="47" t="s">
        <v>7290</v>
      </c>
      <c r="E132" s="47" t="s">
        <v>7291</v>
      </c>
      <c r="F132" s="47" t="s">
        <v>6546</v>
      </c>
      <c r="G132" s="47" t="s">
        <v>6475</v>
      </c>
      <c r="H132" s="47" t="str">
        <f t="shared" ref="H132:H163" si="7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7293</v>
      </c>
      <c r="J132" s="48">
        <v>46010</v>
      </c>
      <c r="K132" s="47">
        <v>9018112121</v>
      </c>
      <c r="L132" s="47" t="s">
        <v>26</v>
      </c>
      <c r="M132" s="49"/>
      <c r="N132" s="48"/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5"/>
        <v>132</v>
      </c>
      <c r="B133" s="47" t="s">
        <v>7330</v>
      </c>
      <c r="C133" s="47" t="s">
        <v>7326</v>
      </c>
      <c r="D133" s="47" t="s">
        <v>7327</v>
      </c>
      <c r="E133" s="47" t="s">
        <v>7328</v>
      </c>
      <c r="F133" s="47" t="s">
        <v>31</v>
      </c>
      <c r="G133" s="47" t="s">
        <v>174</v>
      </c>
      <c r="H133" s="47" t="str">
        <f t="shared" si="7"/>
        <v>SRINAGAR</v>
      </c>
      <c r="I133" s="47" t="s">
        <v>7329</v>
      </c>
      <c r="J133" s="48">
        <v>46011</v>
      </c>
      <c r="K133" s="47">
        <v>9622755213</v>
      </c>
      <c r="L133" s="47" t="s">
        <v>26</v>
      </c>
      <c r="M133" s="49" t="s">
        <v>7617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5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7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5"/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 t="shared" si="7"/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5"/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 t="shared" si="7"/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5"/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 t="shared" si="7"/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5"/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 t="shared" si="7"/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5"/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 t="shared" si="7"/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5"/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 t="shared" si="7"/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5"/>
        <v>140</v>
      </c>
      <c r="B141" s="47" t="s">
        <v>6785</v>
      </c>
      <c r="C141" s="47" t="s">
        <v>6786</v>
      </c>
      <c r="D141" s="47" t="s">
        <v>6787</v>
      </c>
      <c r="E141" s="47" t="s">
        <v>6788</v>
      </c>
      <c r="F141" s="47" t="s">
        <v>5</v>
      </c>
      <c r="G141" s="47" t="s">
        <v>226</v>
      </c>
      <c r="H141" s="47" t="str">
        <f t="shared" si="7"/>
        <v>SRINAGAR</v>
      </c>
      <c r="I141" s="47" t="s">
        <v>6794</v>
      </c>
      <c r="J141" s="48">
        <v>45996</v>
      </c>
      <c r="K141" s="47">
        <v>9419032294</v>
      </c>
      <c r="L141" s="47" t="s">
        <v>6451</v>
      </c>
      <c r="M141" s="49"/>
      <c r="N141" s="48"/>
      <c r="O141" s="47"/>
      <c r="P141" s="50"/>
      <c r="Q141" s="47"/>
      <c r="R141" s="47" t="s">
        <v>6857</v>
      </c>
    </row>
    <row r="142" spans="1:18" x14ac:dyDescent="0.25">
      <c r="A142" s="47">
        <f t="shared" si="5"/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 t="shared" si="7"/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5"/>
        <v>142</v>
      </c>
      <c r="B143" s="47" t="s">
        <v>6798</v>
      </c>
      <c r="C143" s="47" t="s">
        <v>6799</v>
      </c>
      <c r="D143" s="47" t="s">
        <v>6800</v>
      </c>
      <c r="E143" s="47" t="s">
        <v>6801</v>
      </c>
      <c r="F143" s="47" t="s">
        <v>31</v>
      </c>
      <c r="G143" s="47" t="s">
        <v>200</v>
      </c>
      <c r="H143" s="47" t="str">
        <f t="shared" si="7"/>
        <v>SHOPIAN</v>
      </c>
      <c r="I143" s="47" t="s">
        <v>6820</v>
      </c>
      <c r="J143" s="48">
        <v>45996</v>
      </c>
      <c r="K143" s="47">
        <v>9596254341</v>
      </c>
      <c r="L143" s="47" t="s">
        <v>6570</v>
      </c>
      <c r="M143" s="49" t="s">
        <v>7152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5"/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 t="shared" si="7"/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5"/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 t="shared" si="7"/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 t="s">
        <v>7673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5"/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 t="shared" si="7"/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5"/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 t="shared" si="7"/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5"/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 t="shared" si="7"/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5"/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 t="shared" si="7"/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5"/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 t="shared" si="7"/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5"/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 t="shared" si="7"/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5"/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 t="shared" si="7"/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5"/>
        <v>152</v>
      </c>
      <c r="B153" s="47" t="s">
        <v>6855</v>
      </c>
      <c r="C153" s="47" t="s">
        <v>6852</v>
      </c>
      <c r="D153" s="47" t="s">
        <v>6853</v>
      </c>
      <c r="E153" s="47" t="s">
        <v>6854</v>
      </c>
      <c r="F153" s="47" t="s">
        <v>5</v>
      </c>
      <c r="G153" s="47" t="s">
        <v>200</v>
      </c>
      <c r="H153" s="47" t="str">
        <f t="shared" si="7"/>
        <v>SHOPIAN</v>
      </c>
      <c r="I153" s="47" t="s">
        <v>6874</v>
      </c>
      <c r="J153" s="48">
        <v>45999</v>
      </c>
      <c r="K153" s="47">
        <v>9858319554</v>
      </c>
      <c r="L153" s="47" t="s">
        <v>6570</v>
      </c>
      <c r="M153" s="49" t="s">
        <v>7152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5"/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 t="shared" si="7"/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5"/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 t="shared" si="7"/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5"/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 t="shared" si="7"/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 t="s">
        <v>7616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5"/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 t="shared" si="7"/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5"/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 t="shared" si="7"/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5"/>
        <v>158</v>
      </c>
      <c r="B159" s="47" t="s">
        <v>7160</v>
      </c>
      <c r="C159" s="47" t="s">
        <v>7157</v>
      </c>
      <c r="D159" s="47" t="s">
        <v>7158</v>
      </c>
      <c r="E159" s="47" t="s">
        <v>7159</v>
      </c>
      <c r="F159" s="47" t="s">
        <v>119</v>
      </c>
      <c r="G159" s="47" t="s">
        <v>175</v>
      </c>
      <c r="H159" s="47" t="str">
        <f t="shared" si="7"/>
        <v>PULWAMA</v>
      </c>
      <c r="I159" s="47" t="s">
        <v>7171</v>
      </c>
      <c r="J159" s="48">
        <v>46007</v>
      </c>
      <c r="K159" s="47">
        <v>7889354231</v>
      </c>
      <c r="L159" s="47" t="s">
        <v>6521</v>
      </c>
      <c r="M159" s="49" t="s">
        <v>7673</v>
      </c>
      <c r="N159" s="48">
        <v>46021</v>
      </c>
      <c r="O159" s="47"/>
      <c r="P159" s="50"/>
      <c r="Q159" s="47"/>
      <c r="R159" s="47" t="s">
        <v>7195</v>
      </c>
    </row>
    <row r="160" spans="1:18" x14ac:dyDescent="0.25">
      <c r="A160" s="47">
        <f t="shared" ref="A160:A223" si="8">ROW()-1</f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 t="shared" si="7"/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8"/>
        <v>160</v>
      </c>
      <c r="B161" s="47" t="s">
        <v>6901</v>
      </c>
      <c r="C161" s="47" t="s">
        <v>6904</v>
      </c>
      <c r="D161" s="47" t="s">
        <v>6907</v>
      </c>
      <c r="E161" s="47" t="s">
        <v>6902</v>
      </c>
      <c r="F161" s="47" t="s">
        <v>31</v>
      </c>
      <c r="G161" s="47" t="s">
        <v>175</v>
      </c>
      <c r="H161" s="47" t="str">
        <f t="shared" si="7"/>
        <v>PULWAMA</v>
      </c>
      <c r="I161" s="47" t="s">
        <v>6903</v>
      </c>
      <c r="J161" s="48">
        <v>45999</v>
      </c>
      <c r="K161" s="47">
        <v>7006251106</v>
      </c>
      <c r="L161" s="47" t="s">
        <v>6451</v>
      </c>
      <c r="M161" s="49" t="s">
        <v>7808</v>
      </c>
      <c r="N161" s="48">
        <v>46022</v>
      </c>
      <c r="O161" s="47"/>
      <c r="P161" s="50"/>
      <c r="Q161" s="47"/>
      <c r="R161" s="47"/>
    </row>
    <row r="162" spans="1:18" x14ac:dyDescent="0.25">
      <c r="A162" s="47">
        <f t="shared" si="8"/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 t="shared" si="7"/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8"/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 t="shared" si="7"/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8"/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 t="shared" ref="H164:H189" si="9">IF(LEFT(I164,4)="JK13","PULWAMA",IF(LEFT(I164,4)="JK01","SRINAGAR",IF(LEFT(I164,4)="JK04","BUDGAM",IF(LEFT(I164,4)="JK03","ANANTNAG",IF(LEFT(I164,4)="JK05","BARAMULLA",IF(LEFT(I164,4)="25BH","BHARAT",IF(LEFT(I164,4)="JK12","POONCH",IF(LEFT(I164,4)="JK18","KULGAM",IF(LEFT(I164,4)="JK22","SHOPIAN",IF(LEFT(I164,4)="T102","TEMP",IF(LEFT(I164,4)="JK09","KUPWARA",IF(LEFT(I164,4)="JK15","BANDIPORA",IF(LEFT(I164,4)="T112","KARGIL","NEW")))))))))))))</f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 t="shared" si="8"/>
        <v>164</v>
      </c>
      <c r="B165" s="47" t="s">
        <v>7283</v>
      </c>
      <c r="C165" s="47" t="s">
        <v>7284</v>
      </c>
      <c r="D165" s="47" t="s">
        <v>7285</v>
      </c>
      <c r="E165" s="47" t="s">
        <v>7286</v>
      </c>
      <c r="F165" s="47" t="s">
        <v>67</v>
      </c>
      <c r="G165" s="47" t="s">
        <v>174</v>
      </c>
      <c r="H165" s="47" t="str">
        <f t="shared" si="9"/>
        <v>PULWAMA</v>
      </c>
      <c r="I165" s="47" t="s">
        <v>7292</v>
      </c>
      <c r="J165" s="48">
        <v>46010</v>
      </c>
      <c r="K165" s="47">
        <v>9419032432</v>
      </c>
      <c r="L165" s="47" t="s">
        <v>6521</v>
      </c>
      <c r="M165" s="49" t="s">
        <v>7673</v>
      </c>
      <c r="N165" s="48">
        <v>46021</v>
      </c>
      <c r="O165" s="47"/>
      <c r="P165" s="50"/>
      <c r="Q165" s="47"/>
      <c r="R165" s="47" t="s">
        <v>7294</v>
      </c>
    </row>
    <row r="166" spans="1:18" x14ac:dyDescent="0.25">
      <c r="A166" s="47">
        <f t="shared" si="8"/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 t="shared" si="9"/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8"/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 t="shared" si="9"/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8"/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 t="shared" si="9"/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 t="s">
        <v>7456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8"/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 t="shared" si="9"/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 t="shared" si="8"/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 t="shared" si="9"/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8"/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 t="shared" si="9"/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8"/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 t="shared" si="9"/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8"/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 t="shared" si="9"/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8"/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 t="shared" si="9"/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 t="s">
        <v>7618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8"/>
        <v>174</v>
      </c>
      <c r="B175" s="47" t="s">
        <v>6993</v>
      </c>
      <c r="C175" s="47" t="s">
        <v>6994</v>
      </c>
      <c r="D175" s="47" t="s">
        <v>6996</v>
      </c>
      <c r="E175" s="47" t="s">
        <v>6995</v>
      </c>
      <c r="F175" s="47" t="s">
        <v>5</v>
      </c>
      <c r="G175" s="47" t="s">
        <v>200</v>
      </c>
      <c r="H175" s="47" t="str">
        <f t="shared" si="9"/>
        <v>SHOPIAN</v>
      </c>
      <c r="I175" s="47" t="s">
        <v>7020</v>
      </c>
      <c r="J175" s="48">
        <v>46002</v>
      </c>
      <c r="K175" s="47">
        <v>9906277021</v>
      </c>
      <c r="L175" s="47" t="s">
        <v>6570</v>
      </c>
      <c r="M175" s="49" t="s">
        <v>7152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8"/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 t="shared" si="9"/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7152</v>
      </c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8"/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 t="shared" si="9"/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8"/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 t="shared" si="9"/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8"/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 t="shared" si="9"/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8"/>
        <v>179</v>
      </c>
      <c r="B180" s="47" t="s">
        <v>7019</v>
      </c>
      <c r="C180" s="47" t="s">
        <v>7016</v>
      </c>
      <c r="D180" s="47" t="s">
        <v>7017</v>
      </c>
      <c r="E180" s="47" t="s">
        <v>7018</v>
      </c>
      <c r="F180" s="47" t="s">
        <v>31</v>
      </c>
      <c r="G180" s="47" t="s">
        <v>221</v>
      </c>
      <c r="H180" s="47" t="str">
        <f t="shared" si="9"/>
        <v>PULWAMA</v>
      </c>
      <c r="I180" s="47" t="s">
        <v>7021</v>
      </c>
      <c r="J180" s="48">
        <v>46002</v>
      </c>
      <c r="K180" s="47">
        <v>7889910978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8"/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 t="shared" si="9"/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8"/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 t="shared" si="9"/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8"/>
        <v>182</v>
      </c>
      <c r="B183" s="47" t="s">
        <v>7579</v>
      </c>
      <c r="C183" s="47" t="s">
        <v>7580</v>
      </c>
      <c r="D183" s="47" t="s">
        <v>7581</v>
      </c>
      <c r="E183" s="47" t="s">
        <v>7582</v>
      </c>
      <c r="F183" s="47" t="s">
        <v>290</v>
      </c>
      <c r="G183" s="47" t="s">
        <v>175</v>
      </c>
      <c r="H183" s="47" t="str">
        <f t="shared" si="9"/>
        <v>SRINAGAR</v>
      </c>
      <c r="I183" s="47" t="s">
        <v>7593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8"/>
        <v>183</v>
      </c>
      <c r="B184" s="47" t="s">
        <v>7588</v>
      </c>
      <c r="C184" s="47" t="s">
        <v>7588</v>
      </c>
      <c r="D184" s="47" t="s">
        <v>7589</v>
      </c>
      <c r="E184" s="47" t="s">
        <v>7590</v>
      </c>
      <c r="F184" s="47" t="s">
        <v>31</v>
      </c>
      <c r="G184" s="47" t="s">
        <v>200</v>
      </c>
      <c r="H184" s="47" t="str">
        <f t="shared" si="9"/>
        <v>PULWAMA</v>
      </c>
      <c r="I184" s="47" t="s">
        <v>7595</v>
      </c>
      <c r="J184" s="48">
        <v>46017</v>
      </c>
      <c r="K184" s="47">
        <v>8491093722</v>
      </c>
      <c r="L184" s="47" t="s">
        <v>6521</v>
      </c>
      <c r="M184" s="49" t="s">
        <v>7673</v>
      </c>
      <c r="N184" s="48">
        <v>46021</v>
      </c>
      <c r="O184" s="47"/>
      <c r="P184" s="50"/>
      <c r="Q184" s="47"/>
      <c r="R184" s="47"/>
    </row>
    <row r="185" spans="1:18" x14ac:dyDescent="0.25">
      <c r="A185" s="47">
        <f t="shared" si="8"/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 t="shared" si="9"/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 t="s">
        <v>8076</v>
      </c>
      <c r="N185" s="48">
        <v>46027</v>
      </c>
      <c r="O185" s="54" t="s">
        <v>7084</v>
      </c>
      <c r="P185" s="50"/>
      <c r="Q185" s="47"/>
      <c r="R185" s="47"/>
    </row>
    <row r="186" spans="1:18" x14ac:dyDescent="0.25">
      <c r="A186" s="47">
        <f t="shared" si="8"/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 t="shared" si="9"/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8"/>
        <v>186</v>
      </c>
      <c r="B187" s="47" t="s">
        <v>7277</v>
      </c>
      <c r="C187" s="47" t="s">
        <v>7274</v>
      </c>
      <c r="D187" s="47" t="s">
        <v>7275</v>
      </c>
      <c r="E187" s="47" t="s">
        <v>7276</v>
      </c>
      <c r="F187" s="47" t="s">
        <v>31</v>
      </c>
      <c r="G187" s="47" t="s">
        <v>200</v>
      </c>
      <c r="H187" s="47" t="str">
        <f t="shared" si="9"/>
        <v>SHOPIAN</v>
      </c>
      <c r="I187" s="47" t="s">
        <v>7278</v>
      </c>
      <c r="J187" s="48">
        <v>46009</v>
      </c>
      <c r="K187" s="47">
        <v>7006865316</v>
      </c>
      <c r="L187" s="47" t="s">
        <v>6521</v>
      </c>
      <c r="M187" s="49" t="s">
        <v>7673</v>
      </c>
      <c r="N187" s="48">
        <v>46021</v>
      </c>
      <c r="O187" s="47"/>
      <c r="P187" s="50"/>
      <c r="Q187" s="47"/>
      <c r="R187" s="47"/>
    </row>
    <row r="188" spans="1:18" x14ac:dyDescent="0.25">
      <c r="A188" s="47">
        <f t="shared" si="8"/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 t="shared" si="9"/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8"/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 t="shared" si="9"/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8"/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8"/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8"/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 t="shared" ref="H192:H223" si="10"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8"/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 t="shared" si="10"/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8"/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 t="shared" si="10"/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8"/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 t="shared" si="10"/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8"/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 t="shared" si="10"/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8"/>
        <v>196</v>
      </c>
      <c r="B197" s="47" t="s">
        <v>6895</v>
      </c>
      <c r="C197" s="47" t="s">
        <v>6892</v>
      </c>
      <c r="D197" s="47" t="s">
        <v>6893</v>
      </c>
      <c r="E197" s="47" t="s">
        <v>6894</v>
      </c>
      <c r="F197" s="47" t="s">
        <v>31</v>
      </c>
      <c r="G197" s="47" t="s">
        <v>200</v>
      </c>
      <c r="H197" s="47" t="str">
        <f t="shared" si="10"/>
        <v>PULWAMA</v>
      </c>
      <c r="I197" s="47" t="s">
        <v>6906</v>
      </c>
      <c r="J197" s="48">
        <v>45999</v>
      </c>
      <c r="K197" s="47">
        <v>9797244437</v>
      </c>
      <c r="L197" s="47" t="s">
        <v>6521</v>
      </c>
      <c r="M197" s="49" t="s">
        <v>7673</v>
      </c>
      <c r="N197" s="48">
        <v>46030</v>
      </c>
      <c r="O197" s="47"/>
      <c r="P197" s="50"/>
      <c r="Q197" s="47"/>
      <c r="R197" s="47"/>
    </row>
    <row r="198" spans="1:18" x14ac:dyDescent="0.25">
      <c r="A198" s="47">
        <f t="shared" si="8"/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 t="shared" si="10"/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8"/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 t="shared" si="10"/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 t="s">
        <v>7602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8"/>
        <v>199</v>
      </c>
      <c r="B200" s="47" t="s">
        <v>7154</v>
      </c>
      <c r="C200" s="47" t="s">
        <v>7155</v>
      </c>
      <c r="D200" s="47" t="s">
        <v>7156</v>
      </c>
      <c r="E200" s="47" t="s">
        <v>3493</v>
      </c>
      <c r="F200" s="47" t="s">
        <v>119</v>
      </c>
      <c r="G200" s="47" t="s">
        <v>174</v>
      </c>
      <c r="H200" s="47" t="str">
        <f t="shared" si="10"/>
        <v>PULWAMA</v>
      </c>
      <c r="I200" s="47" t="s">
        <v>7172</v>
      </c>
      <c r="J200" s="48">
        <v>46007</v>
      </c>
      <c r="K200" s="47">
        <v>8492997838</v>
      </c>
      <c r="L200" s="47" t="s">
        <v>6451</v>
      </c>
      <c r="M200" s="49"/>
      <c r="N200" s="48"/>
      <c r="O200" s="47"/>
      <c r="P200" s="50"/>
      <c r="Q200" s="47"/>
      <c r="R200" s="47" t="s">
        <v>7177</v>
      </c>
    </row>
    <row r="201" spans="1:18" x14ac:dyDescent="0.25">
      <c r="A201" s="47">
        <f t="shared" si="8"/>
        <v>200</v>
      </c>
      <c r="B201" s="47" t="s">
        <v>7966</v>
      </c>
      <c r="C201" s="47" t="s">
        <v>7963</v>
      </c>
      <c r="D201" s="47" t="s">
        <v>7964</v>
      </c>
      <c r="E201" s="47" t="s">
        <v>7965</v>
      </c>
      <c r="F201" s="47" t="s">
        <v>119</v>
      </c>
      <c r="G201" s="47" t="s">
        <v>200</v>
      </c>
      <c r="H201" s="47" t="str">
        <f t="shared" si="10"/>
        <v>PULWAMA</v>
      </c>
      <c r="I201" s="47" t="s">
        <v>7967</v>
      </c>
      <c r="J201" s="48">
        <v>46025</v>
      </c>
      <c r="K201" s="47">
        <v>7006861153</v>
      </c>
      <c r="L201" s="47" t="s">
        <v>6521</v>
      </c>
      <c r="M201" s="49" t="s">
        <v>7673</v>
      </c>
      <c r="N201" s="48">
        <v>46030</v>
      </c>
      <c r="O201" s="47"/>
      <c r="P201" s="50"/>
      <c r="Q201" s="47"/>
      <c r="R201" s="47"/>
    </row>
    <row r="202" spans="1:18" x14ac:dyDescent="0.25">
      <c r="A202" s="47">
        <f t="shared" si="8"/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 t="shared" si="10"/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8"/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 t="shared" si="10"/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8"/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 t="shared" si="10"/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8"/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 t="shared" si="10"/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8"/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 t="shared" si="10"/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8"/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 t="shared" si="10"/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8"/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 t="shared" si="10"/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8"/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 t="shared" si="10"/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8"/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 t="shared" si="10"/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7454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8"/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 t="shared" si="10"/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8"/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 t="shared" si="10"/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8"/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 t="shared" si="10"/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8"/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 t="shared" si="10"/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 t="s">
        <v>7673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8"/>
        <v>214</v>
      </c>
      <c r="B215" s="47" t="s">
        <v>7243</v>
      </c>
      <c r="C215" s="47" t="s">
        <v>7240</v>
      </c>
      <c r="D215" s="47" t="s">
        <v>7241</v>
      </c>
      <c r="E215" s="47" t="s">
        <v>7242</v>
      </c>
      <c r="F215" s="47" t="s">
        <v>119</v>
      </c>
      <c r="G215" s="47" t="s">
        <v>200</v>
      </c>
      <c r="H215" s="47" t="str">
        <f t="shared" si="10"/>
        <v>PULWAMA</v>
      </c>
      <c r="I215" s="47" t="s">
        <v>7260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8"/>
        <v>215</v>
      </c>
      <c r="B216" s="47" t="s">
        <v>7244</v>
      </c>
      <c r="C216" s="47" t="s">
        <v>7245</v>
      </c>
      <c r="D216" s="47" t="s">
        <v>7246</v>
      </c>
      <c r="E216" s="47" t="s">
        <v>7247</v>
      </c>
      <c r="F216" s="47" t="s">
        <v>31</v>
      </c>
      <c r="G216" s="47" t="s">
        <v>175</v>
      </c>
      <c r="H216" s="47" t="str">
        <f t="shared" si="10"/>
        <v>SHOPIAN</v>
      </c>
      <c r="I216" s="47" t="s">
        <v>7261</v>
      </c>
      <c r="J216" s="48">
        <v>46009</v>
      </c>
      <c r="K216" s="47">
        <v>8484070924</v>
      </c>
      <c r="L216" s="47" t="s">
        <v>6570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8"/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 t="shared" si="10"/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8"/>
        <v>217</v>
      </c>
      <c r="B218" s="47" t="s">
        <v>7266</v>
      </c>
      <c r="C218" s="47" t="s">
        <v>7267</v>
      </c>
      <c r="D218" s="47" t="s">
        <v>7268</v>
      </c>
      <c r="E218" s="47" t="s">
        <v>7269</v>
      </c>
      <c r="F218" s="47" t="s">
        <v>119</v>
      </c>
      <c r="G218" s="47" t="s">
        <v>175</v>
      </c>
      <c r="H218" s="47" t="str">
        <f t="shared" si="10"/>
        <v>SHOPIAN</v>
      </c>
      <c r="I218" s="47" t="s">
        <v>7270</v>
      </c>
      <c r="J218" s="48">
        <v>46009</v>
      </c>
      <c r="K218" s="47">
        <v>9103369022</v>
      </c>
      <c r="L218" s="47" t="s">
        <v>6570</v>
      </c>
      <c r="M218" s="49" t="s">
        <v>7295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 t="shared" si="8"/>
        <v>218</v>
      </c>
      <c r="B219" s="47" t="s">
        <v>7144</v>
      </c>
      <c r="C219" s="47" t="s">
        <v>7141</v>
      </c>
      <c r="D219" s="47" t="s">
        <v>7142</v>
      </c>
      <c r="E219" s="47" t="s">
        <v>7143</v>
      </c>
      <c r="F219" s="47" t="s">
        <v>119</v>
      </c>
      <c r="G219" s="47" t="s">
        <v>200</v>
      </c>
      <c r="H219" s="47" t="str">
        <f t="shared" si="10"/>
        <v>BUDGAM</v>
      </c>
      <c r="I219" s="47" t="s">
        <v>7174</v>
      </c>
      <c r="J219" s="48">
        <v>46007</v>
      </c>
      <c r="K219" s="47">
        <v>9622878211</v>
      </c>
      <c r="L219" s="47" t="s">
        <v>6521</v>
      </c>
      <c r="M219" s="49" t="s">
        <v>7777</v>
      </c>
      <c r="N219" s="48">
        <v>46021</v>
      </c>
      <c r="O219" s="47"/>
      <c r="P219" s="50"/>
      <c r="Q219" s="47"/>
      <c r="R219" s="47" t="s">
        <v>7195</v>
      </c>
    </row>
    <row r="220" spans="1:18" x14ac:dyDescent="0.25">
      <c r="A220" s="47">
        <f t="shared" si="8"/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 t="shared" si="10"/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 t="s">
        <v>7455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8"/>
        <v>220</v>
      </c>
      <c r="B221" s="47" t="s">
        <v>7799</v>
      </c>
      <c r="C221" s="47" t="s">
        <v>7796</v>
      </c>
      <c r="D221" s="47" t="s">
        <v>7797</v>
      </c>
      <c r="E221" s="47" t="s">
        <v>7798</v>
      </c>
      <c r="F221" s="47" t="s">
        <v>67</v>
      </c>
      <c r="G221" s="47" t="s">
        <v>200</v>
      </c>
      <c r="H221" s="47" t="str">
        <f t="shared" si="10"/>
        <v>PULWAMA</v>
      </c>
      <c r="I221" s="47" t="s">
        <v>7810</v>
      </c>
      <c r="J221" s="48">
        <v>46022</v>
      </c>
      <c r="K221" s="47">
        <v>8899294356</v>
      </c>
      <c r="L221" s="47" t="s">
        <v>6521</v>
      </c>
      <c r="M221" s="49" t="s">
        <v>7716</v>
      </c>
      <c r="N221" s="48">
        <v>46028</v>
      </c>
      <c r="O221" s="47"/>
      <c r="P221" s="50"/>
      <c r="Q221" s="47"/>
      <c r="R221" s="47"/>
    </row>
    <row r="222" spans="1:18" x14ac:dyDescent="0.25">
      <c r="A222" s="47">
        <f t="shared" si="8"/>
        <v>221</v>
      </c>
      <c r="B222" s="47" t="s">
        <v>7646</v>
      </c>
      <c r="C222" s="47" t="s">
        <v>7643</v>
      </c>
      <c r="D222" s="47" t="s">
        <v>7644</v>
      </c>
      <c r="E222" s="47" t="s">
        <v>7645</v>
      </c>
      <c r="F222" s="47" t="s">
        <v>12</v>
      </c>
      <c r="G222" s="47" t="s">
        <v>200</v>
      </c>
      <c r="H222" s="47" t="str">
        <f t="shared" si="10"/>
        <v>SRINAGAR</v>
      </c>
      <c r="I222" s="47" t="s">
        <v>7651</v>
      </c>
      <c r="J222" s="48">
        <v>46018</v>
      </c>
      <c r="K222" s="47">
        <v>7006181232</v>
      </c>
      <c r="L222" s="47" t="s">
        <v>26</v>
      </c>
      <c r="M222" s="49"/>
      <c r="N222" s="48"/>
      <c r="O222" s="47"/>
      <c r="P222" s="50"/>
      <c r="Q222" s="47"/>
      <c r="R222" s="47"/>
    </row>
    <row r="223" spans="1:18" x14ac:dyDescent="0.25">
      <c r="A223" s="47">
        <f t="shared" si="8"/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 t="shared" si="10"/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ref="A224:A287" si="11">ROW()-1</f>
        <v>223</v>
      </c>
      <c r="B224" s="47" t="s">
        <v>7305</v>
      </c>
      <c r="C224" s="47" t="s">
        <v>7302</v>
      </c>
      <c r="D224" s="47" t="s">
        <v>7303</v>
      </c>
      <c r="E224" s="47" t="s">
        <v>7304</v>
      </c>
      <c r="F224" s="47" t="s">
        <v>125</v>
      </c>
      <c r="G224" s="47" t="s">
        <v>200</v>
      </c>
      <c r="H224" s="47" t="str">
        <f t="shared" ref="H224:H255" si="12">IF(LEFT(I224,4)="JK13","PULWAMA",IF(LEFT(I224,4)="JK01","SRINAGAR",IF(LEFT(I224,4)="JK04","BUDGAM",IF(LEFT(I224,4)="JK03","ANANTNAG",IF(LEFT(I224,4)="JK05","BARAMULLA",IF(LEFT(I224,4)="25BH","BHARAT",IF(LEFT(I224,4)="JK12","POONCH",IF(LEFT(I224,4)="JK18","KULGAM",IF(LEFT(I224,4)="JK22","SHOPIAN",IF(LEFT(I224,4)="T102","TEMP",IF(LEFT(I224,4)="JK09","KUPWARA",IF(LEFT(I224,4)="JK15","BANDIPORA",IF(LEFT(I224,4)="T112","KARGIL","NEW")))))))))))))</f>
        <v>SRINAGAR</v>
      </c>
      <c r="I224" s="47" t="s">
        <v>7301</v>
      </c>
      <c r="J224" s="48">
        <v>46010</v>
      </c>
      <c r="K224" s="47">
        <v>9797271333</v>
      </c>
      <c r="L224" s="47" t="s">
        <v>6451</v>
      </c>
      <c r="M224" s="49"/>
      <c r="N224" s="48"/>
      <c r="O224" s="47"/>
      <c r="P224" s="50"/>
      <c r="Q224" s="47"/>
      <c r="R224" s="47"/>
    </row>
    <row r="225" spans="1:18" x14ac:dyDescent="0.25">
      <c r="A225" s="47">
        <f t="shared" si="11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12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11"/>
        <v>225</v>
      </c>
      <c r="B226" s="47" t="s">
        <v>7044</v>
      </c>
      <c r="C226" s="47" t="s">
        <v>7045</v>
      </c>
      <c r="D226" s="47" t="s">
        <v>7046</v>
      </c>
      <c r="E226" s="47" t="s">
        <v>7047</v>
      </c>
      <c r="F226" s="47" t="s">
        <v>119</v>
      </c>
      <c r="G226" s="47" t="s">
        <v>200</v>
      </c>
      <c r="H226" s="47" t="str">
        <f t="shared" si="12"/>
        <v>BUDGAM</v>
      </c>
      <c r="I226" s="47" t="s">
        <v>7065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11"/>
        <v>226</v>
      </c>
      <c r="B227" s="47" t="s">
        <v>7315</v>
      </c>
      <c r="C227" s="47" t="s">
        <v>7316</v>
      </c>
      <c r="D227" s="47" t="s">
        <v>7317</v>
      </c>
      <c r="E227" s="47" t="s">
        <v>7318</v>
      </c>
      <c r="F227" s="47" t="s">
        <v>119</v>
      </c>
      <c r="G227" s="47" t="s">
        <v>221</v>
      </c>
      <c r="H227" s="47" t="str">
        <f t="shared" si="12"/>
        <v>SHOPIAN</v>
      </c>
      <c r="I227" s="47" t="s">
        <v>7320</v>
      </c>
      <c r="J227" s="48">
        <v>46011</v>
      </c>
      <c r="K227" s="47">
        <v>6006713170</v>
      </c>
      <c r="L227" s="47" t="s">
        <v>6570</v>
      </c>
      <c r="M227" s="49"/>
      <c r="N227" s="48"/>
      <c r="O227" s="47"/>
      <c r="P227" s="50"/>
      <c r="Q227" s="47"/>
      <c r="R227" s="47" t="s">
        <v>7386</v>
      </c>
    </row>
    <row r="228" spans="1:18" x14ac:dyDescent="0.25">
      <c r="A228" s="47">
        <f t="shared" si="11"/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 t="shared" si="12"/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 t="s">
        <v>7618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11"/>
        <v>228</v>
      </c>
      <c r="B229" s="47" t="s">
        <v>7307</v>
      </c>
      <c r="C229" s="47" t="s">
        <v>7308</v>
      </c>
      <c r="D229" s="47" t="s">
        <v>7309</v>
      </c>
      <c r="E229" s="47" t="s">
        <v>7310</v>
      </c>
      <c r="F229" s="47" t="s">
        <v>1264</v>
      </c>
      <c r="G229" s="47" t="s">
        <v>174</v>
      </c>
      <c r="H229" s="47" t="str">
        <f t="shared" si="12"/>
        <v>BUDGAM</v>
      </c>
      <c r="I229" s="47" t="s">
        <v>7322</v>
      </c>
      <c r="J229" s="48">
        <v>46011</v>
      </c>
      <c r="K229" s="47">
        <v>9797913220</v>
      </c>
      <c r="L229" s="47" t="s">
        <v>26</v>
      </c>
      <c r="M229" s="49" t="s">
        <v>7617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11"/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 t="shared" si="12"/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11"/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 t="shared" si="12"/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/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11"/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 t="shared" si="12"/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11"/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 t="shared" si="12"/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si="11"/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 t="shared" si="12"/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/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11"/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 t="shared" si="12"/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 t="s">
        <v>7456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11"/>
        <v>235</v>
      </c>
      <c r="B236" s="47" t="s">
        <v>7368</v>
      </c>
      <c r="C236" s="47" t="s">
        <v>7369</v>
      </c>
      <c r="D236" s="47" t="s">
        <v>7370</v>
      </c>
      <c r="E236" s="47" t="s">
        <v>7371</v>
      </c>
      <c r="F236" s="47" t="s">
        <v>5</v>
      </c>
      <c r="G236" s="47" t="s">
        <v>200</v>
      </c>
      <c r="H236" s="47" t="str">
        <f t="shared" si="12"/>
        <v>PULWAMA</v>
      </c>
      <c r="I236" s="47" t="s">
        <v>7379</v>
      </c>
      <c r="J236" s="48">
        <v>46012</v>
      </c>
      <c r="K236" s="47">
        <v>7780912337</v>
      </c>
      <c r="L236" s="47" t="s">
        <v>6451</v>
      </c>
      <c r="M236" s="49"/>
      <c r="N236" s="48"/>
      <c r="O236" s="47"/>
      <c r="P236" s="50"/>
      <c r="Q236" s="47"/>
      <c r="R236" s="47" t="s">
        <v>7177</v>
      </c>
    </row>
    <row r="237" spans="1:18" x14ac:dyDescent="0.25">
      <c r="A237" s="47">
        <f t="shared" si="11"/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 t="shared" si="12"/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 t="s">
        <v>8225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 t="shared" si="11"/>
        <v>237</v>
      </c>
      <c r="B238" s="47" t="s">
        <v>7384</v>
      </c>
      <c r="C238" s="47" t="s">
        <v>7381</v>
      </c>
      <c r="D238" s="47" t="s">
        <v>7382</v>
      </c>
      <c r="E238" s="47" t="s">
        <v>7383</v>
      </c>
      <c r="F238" s="47" t="s">
        <v>12</v>
      </c>
      <c r="G238" s="47" t="s">
        <v>181</v>
      </c>
      <c r="H238" s="47" t="str">
        <f t="shared" si="12"/>
        <v>PULWAMA</v>
      </c>
      <c r="I238" s="47" t="s">
        <v>7385</v>
      </c>
      <c r="J238" s="48">
        <v>46012</v>
      </c>
      <c r="K238" s="47">
        <v>9622838656</v>
      </c>
      <c r="L238" s="47" t="s">
        <v>6451</v>
      </c>
      <c r="M238" s="49"/>
      <c r="N238" s="48"/>
      <c r="O238" s="47"/>
      <c r="P238" s="50"/>
      <c r="Q238" s="47"/>
      <c r="R238" s="47" t="s">
        <v>7177</v>
      </c>
    </row>
    <row r="239" spans="1:18" x14ac:dyDescent="0.25">
      <c r="A239" s="47">
        <f t="shared" si="11"/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 t="shared" si="12"/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11"/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 t="shared" si="12"/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/>
      <c r="O240" s="47"/>
      <c r="P240" s="50"/>
      <c r="Q240" s="47"/>
      <c r="R240" s="47"/>
    </row>
    <row r="241" spans="1:18" x14ac:dyDescent="0.25">
      <c r="A241" s="47">
        <f t="shared" si="11"/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 t="shared" si="12"/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11"/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 t="shared" si="12"/>
        <v>SRINAGAR</v>
      </c>
      <c r="I242" s="47" t="s">
        <v>7419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11"/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 t="shared" si="12"/>
        <v>KUPWARA</v>
      </c>
      <c r="I243" s="47" t="s">
        <v>7420</v>
      </c>
      <c r="J243" s="48">
        <v>46013</v>
      </c>
      <c r="K243" s="47">
        <v>8899080830</v>
      </c>
      <c r="L243" s="47" t="s">
        <v>307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11"/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 t="shared" si="12"/>
        <v>SRINAGAR</v>
      </c>
      <c r="I244" s="47" t="s">
        <v>7421</v>
      </c>
      <c r="J244" s="48">
        <v>46013</v>
      </c>
      <c r="K244" s="47">
        <v>7780857793</v>
      </c>
      <c r="L244" s="47" t="s">
        <v>110</v>
      </c>
      <c r="M244" s="49"/>
      <c r="N244" s="48"/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11"/>
        <v>244</v>
      </c>
      <c r="B245" s="47" t="s">
        <v>7426</v>
      </c>
      <c r="C245" s="47" t="s">
        <v>7427</v>
      </c>
      <c r="D245" s="47" t="s">
        <v>7428</v>
      </c>
      <c r="E245" s="47" t="s">
        <v>7429</v>
      </c>
      <c r="F245" s="47" t="s">
        <v>125</v>
      </c>
      <c r="G245" s="47" t="s">
        <v>174</v>
      </c>
      <c r="H245" s="47" t="str">
        <f t="shared" si="12"/>
        <v>SRINAGAR</v>
      </c>
      <c r="I245" s="47" t="s">
        <v>7443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11"/>
        <v>245</v>
      </c>
      <c r="B246" s="47" t="s">
        <v>7433</v>
      </c>
      <c r="C246" s="47" t="s">
        <v>7430</v>
      </c>
      <c r="D246" s="47" t="s">
        <v>7431</v>
      </c>
      <c r="E246" s="47" t="s">
        <v>7432</v>
      </c>
      <c r="F246" s="47" t="s">
        <v>12</v>
      </c>
      <c r="G246" s="47" t="s">
        <v>181</v>
      </c>
      <c r="H246" s="47" t="str">
        <f t="shared" si="12"/>
        <v>BUDGAM</v>
      </c>
      <c r="I246" s="47" t="s">
        <v>7438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11"/>
        <v>246</v>
      </c>
      <c r="B247" s="47" t="s">
        <v>7434</v>
      </c>
      <c r="C247" s="47" t="s">
        <v>7435</v>
      </c>
      <c r="D247" s="47" t="s">
        <v>7436</v>
      </c>
      <c r="E247" s="47" t="s">
        <v>7437</v>
      </c>
      <c r="F247" s="47" t="s">
        <v>12</v>
      </c>
      <c r="G247" s="47" t="s">
        <v>226</v>
      </c>
      <c r="H247" s="47" t="str">
        <f t="shared" si="12"/>
        <v>SRINAGAR</v>
      </c>
      <c r="I247" s="47" t="s">
        <v>7441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11"/>
        <v>247</v>
      </c>
      <c r="B248" s="47" t="s">
        <v>7444</v>
      </c>
      <c r="C248" s="47" t="s">
        <v>7445</v>
      </c>
      <c r="D248" s="47" t="s">
        <v>7446</v>
      </c>
      <c r="E248" s="47" t="s">
        <v>7447</v>
      </c>
      <c r="F248" s="47" t="s">
        <v>100</v>
      </c>
      <c r="G248" s="47" t="s">
        <v>174</v>
      </c>
      <c r="H248" s="47" t="str">
        <f t="shared" si="12"/>
        <v>BUDGAM</v>
      </c>
      <c r="I248" s="47" t="s">
        <v>7457</v>
      </c>
      <c r="J248" s="48">
        <v>46014</v>
      </c>
      <c r="K248" s="47">
        <v>7889666298</v>
      </c>
      <c r="L248" s="47" t="s">
        <v>70</v>
      </c>
      <c r="M248" s="49" t="s">
        <v>7955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11"/>
        <v>248</v>
      </c>
      <c r="B249" s="47" t="s">
        <v>7448</v>
      </c>
      <c r="C249" s="47" t="s">
        <v>7449</v>
      </c>
      <c r="D249" s="47" t="s">
        <v>7450</v>
      </c>
      <c r="E249" s="47" t="s">
        <v>7451</v>
      </c>
      <c r="F249" s="47" t="s">
        <v>486</v>
      </c>
      <c r="G249" s="47" t="s">
        <v>221</v>
      </c>
      <c r="H249" s="47" t="str">
        <f t="shared" si="12"/>
        <v>BUDGAM</v>
      </c>
      <c r="I249" s="47" t="s">
        <v>7458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7566</v>
      </c>
      <c r="R249" s="47"/>
    </row>
    <row r="250" spans="1:18" x14ac:dyDescent="0.25">
      <c r="A250" s="47">
        <f t="shared" si="11"/>
        <v>249</v>
      </c>
      <c r="B250" s="47" t="s">
        <v>7477</v>
      </c>
      <c r="C250" s="47" t="s">
        <v>7469</v>
      </c>
      <c r="D250" s="47" t="s">
        <v>7516</v>
      </c>
      <c r="E250" s="47" t="s">
        <v>7461</v>
      </c>
      <c r="F250" s="47" t="s">
        <v>67</v>
      </c>
      <c r="G250" s="47" t="s">
        <v>200</v>
      </c>
      <c r="H250" s="47" t="str">
        <f t="shared" si="12"/>
        <v>BARAMULLA</v>
      </c>
      <c r="I250" s="47" t="s">
        <v>7487</v>
      </c>
      <c r="J250" s="48">
        <v>46015</v>
      </c>
      <c r="K250" s="47">
        <v>9596022327</v>
      </c>
      <c r="L250" s="47" t="s">
        <v>6683</v>
      </c>
      <c r="M250" s="49" t="s">
        <v>8018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11"/>
        <v>250</v>
      </c>
      <c r="B251" s="47" t="s">
        <v>7478</v>
      </c>
      <c r="C251" s="47" t="s">
        <v>7470</v>
      </c>
      <c r="D251" s="47" t="s">
        <v>7496</v>
      </c>
      <c r="E251" s="47" t="s">
        <v>7462</v>
      </c>
      <c r="F251" s="47" t="s">
        <v>7485</v>
      </c>
      <c r="G251" s="47" t="s">
        <v>199</v>
      </c>
      <c r="H251" s="47" t="str">
        <f t="shared" si="12"/>
        <v>BARAMULLA</v>
      </c>
      <c r="I251" s="47" t="s">
        <v>7488</v>
      </c>
      <c r="J251" s="48">
        <v>46015</v>
      </c>
      <c r="K251" s="47">
        <v>9906539681</v>
      </c>
      <c r="L251" s="47" t="s">
        <v>106</v>
      </c>
      <c r="M251" s="49" t="s">
        <v>8095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 t="shared" si="11"/>
        <v>251</v>
      </c>
      <c r="B252" s="47" t="s">
        <v>7479</v>
      </c>
      <c r="C252" s="47" t="s">
        <v>7471</v>
      </c>
      <c r="D252" s="47" t="s">
        <v>7521</v>
      </c>
      <c r="E252" s="47" t="s">
        <v>7463</v>
      </c>
      <c r="F252" s="47" t="s">
        <v>125</v>
      </c>
      <c r="G252" s="47" t="s">
        <v>175</v>
      </c>
      <c r="H252" s="47" t="str">
        <f t="shared" si="12"/>
        <v>BUDGAM</v>
      </c>
      <c r="I252" s="47" t="s">
        <v>7489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11"/>
        <v>252</v>
      </c>
      <c r="B253" s="47" t="s">
        <v>7444</v>
      </c>
      <c r="C253" s="47" t="s">
        <v>7445</v>
      </c>
      <c r="D253" s="47" t="s">
        <v>7446</v>
      </c>
      <c r="E253" s="47" t="s">
        <v>7447</v>
      </c>
      <c r="F253" s="47" t="s">
        <v>100</v>
      </c>
      <c r="G253" s="44" t="s">
        <v>174</v>
      </c>
      <c r="H253" s="47" t="str">
        <f t="shared" si="12"/>
        <v>BUDGAM</v>
      </c>
      <c r="I253" s="47" t="s">
        <v>7457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11"/>
        <v>253</v>
      </c>
      <c r="B254" s="47" t="s">
        <v>7480</v>
      </c>
      <c r="C254" s="47" t="s">
        <v>7472</v>
      </c>
      <c r="D254" s="47" t="s">
        <v>7499</v>
      </c>
      <c r="E254" s="47" t="s">
        <v>7464</v>
      </c>
      <c r="F254" s="47" t="s">
        <v>100</v>
      </c>
      <c r="G254" s="47" t="s">
        <v>200</v>
      </c>
      <c r="H254" s="47" t="str">
        <f t="shared" si="12"/>
        <v>BUDGAM</v>
      </c>
      <c r="I254" s="47" t="s">
        <v>7490</v>
      </c>
      <c r="J254" s="48">
        <v>46015</v>
      </c>
      <c r="K254" s="47">
        <v>7889383674</v>
      </c>
      <c r="L254" s="47" t="s">
        <v>48</v>
      </c>
      <c r="M254" s="49" t="s">
        <v>7776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11"/>
        <v>254</v>
      </c>
      <c r="B255" s="47" t="s">
        <v>7481</v>
      </c>
      <c r="C255" s="47" t="s">
        <v>7473</v>
      </c>
      <c r="D255" s="47" t="s">
        <v>7523</v>
      </c>
      <c r="E255" s="47" t="s">
        <v>7465</v>
      </c>
      <c r="F255" s="47" t="s">
        <v>67</v>
      </c>
      <c r="G255" s="47" t="s">
        <v>199</v>
      </c>
      <c r="H255" s="47" t="str">
        <f t="shared" si="12"/>
        <v>SHOPIAN</v>
      </c>
      <c r="I255" s="47" t="s">
        <v>7491</v>
      </c>
      <c r="J255" s="48">
        <v>46015</v>
      </c>
      <c r="K255" s="47">
        <v>6006293557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11"/>
        <v>255</v>
      </c>
      <c r="B256" s="47" t="s">
        <v>7482</v>
      </c>
      <c r="C256" s="47" t="s">
        <v>7474</v>
      </c>
      <c r="D256" s="47" t="s">
        <v>7497</v>
      </c>
      <c r="E256" s="47" t="s">
        <v>7466</v>
      </c>
      <c r="F256" s="47" t="s">
        <v>7486</v>
      </c>
      <c r="G256" s="47" t="s">
        <v>199</v>
      </c>
      <c r="H256" s="47" t="str">
        <f t="shared" ref="H256:H287" si="13">IF(LEFT(I256,4)="JK13","PULWAMA",IF(LEFT(I256,4)="JK01","SRINAGAR",IF(LEFT(I256,4)="JK04","BUDGAM",IF(LEFT(I256,4)="JK03","ANANTNAG",IF(LEFT(I256,4)="JK05","BARAMULLA",IF(LEFT(I256,4)="25BH","BHARAT",IF(LEFT(I256,4)="JK12","POONCH",IF(LEFT(I256,4)="JK18","KULGAM",IF(LEFT(I256,4)="JK22","SHOPIAN",IF(LEFT(I256,4)="T102","TEMP",IF(LEFT(I256,4)="JK09","KUPWARA",IF(LEFT(I256,4)="JK15","BANDIPORA",IF(LEFT(I256,4)="T112","KARGIL","NEW")))))))))))))</f>
        <v>SRINAGAR</v>
      </c>
      <c r="I256" s="47" t="s">
        <v>7492</v>
      </c>
      <c r="J256" s="48">
        <v>46015</v>
      </c>
      <c r="K256" s="47">
        <v>9149877765</v>
      </c>
      <c r="L256" s="47" t="s">
        <v>6451</v>
      </c>
      <c r="M256" s="49"/>
      <c r="N256" s="48"/>
      <c r="O256" s="47"/>
      <c r="P256" s="50"/>
      <c r="Q256" s="47"/>
      <c r="R256" s="47"/>
    </row>
    <row r="257" spans="1:18" x14ac:dyDescent="0.25">
      <c r="A257" s="47">
        <f t="shared" si="11"/>
        <v>256</v>
      </c>
      <c r="B257" s="47" t="s">
        <v>7483</v>
      </c>
      <c r="C257" s="47" t="s">
        <v>7475</v>
      </c>
      <c r="D257" s="47" t="s">
        <v>7495</v>
      </c>
      <c r="E257" s="47" t="s">
        <v>7467</v>
      </c>
      <c r="F257" s="47" t="s">
        <v>849</v>
      </c>
      <c r="G257" s="47" t="s">
        <v>181</v>
      </c>
      <c r="H257" s="47" t="str">
        <f t="shared" si="13"/>
        <v>SRINAGAR</v>
      </c>
      <c r="I257" s="47" t="s">
        <v>7493</v>
      </c>
      <c r="J257" s="48">
        <v>46015</v>
      </c>
      <c r="K257" s="47">
        <v>9205000009</v>
      </c>
      <c r="L257" s="47" t="s">
        <v>18</v>
      </c>
      <c r="M257" s="49" t="s">
        <v>7615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11"/>
        <v>257</v>
      </c>
      <c r="B258" s="47" t="s">
        <v>7484</v>
      </c>
      <c r="C258" s="47" t="s">
        <v>7476</v>
      </c>
      <c r="D258" s="47" t="s">
        <v>7498</v>
      </c>
      <c r="E258" s="47" t="s">
        <v>7468</v>
      </c>
      <c r="F258" s="47" t="s">
        <v>5</v>
      </c>
      <c r="G258" s="47" t="s">
        <v>200</v>
      </c>
      <c r="H258" s="47" t="str">
        <f t="shared" si="13"/>
        <v>SRINAGAR</v>
      </c>
      <c r="I258" s="47" t="s">
        <v>7494</v>
      </c>
      <c r="J258" s="48">
        <v>46015</v>
      </c>
      <c r="K258" s="47">
        <v>9541622336</v>
      </c>
      <c r="L258" s="47" t="s">
        <v>18</v>
      </c>
      <c r="M258" s="49" t="s">
        <v>7615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11"/>
        <v>258</v>
      </c>
      <c r="B259" s="47" t="s">
        <v>7557</v>
      </c>
      <c r="C259" s="47" t="s">
        <v>7558</v>
      </c>
      <c r="D259" s="47" t="s">
        <v>7559</v>
      </c>
      <c r="E259" s="47" t="s">
        <v>7560</v>
      </c>
      <c r="F259" s="47" t="s">
        <v>5</v>
      </c>
      <c r="G259" s="47" t="s">
        <v>200</v>
      </c>
      <c r="H259" s="47" t="str">
        <f t="shared" si="13"/>
        <v>NEW</v>
      </c>
      <c r="I259" s="47" t="s">
        <v>7561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11"/>
        <v>259</v>
      </c>
      <c r="B260" s="47" t="s">
        <v>7500</v>
      </c>
      <c r="C260" s="47" t="s">
        <v>7501</v>
      </c>
      <c r="D260" s="47" t="s">
        <v>7502</v>
      </c>
      <c r="E260" s="47" t="s">
        <v>7503</v>
      </c>
      <c r="F260" s="47" t="s">
        <v>119</v>
      </c>
      <c r="G260" s="47" t="s">
        <v>174</v>
      </c>
      <c r="H260" s="47" t="str">
        <f t="shared" si="13"/>
        <v>BUDGAM</v>
      </c>
      <c r="I260" s="47" t="s">
        <v>7517</v>
      </c>
      <c r="J260" s="48">
        <v>46016</v>
      </c>
      <c r="K260" s="47">
        <v>6005068829</v>
      </c>
      <c r="L260" s="47" t="s">
        <v>194</v>
      </c>
      <c r="M260" s="49" t="s">
        <v>7596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11"/>
        <v>260</v>
      </c>
      <c r="B261" s="47" t="s">
        <v>7504</v>
      </c>
      <c r="C261" s="47" t="s">
        <v>7505</v>
      </c>
      <c r="D261" s="47" t="s">
        <v>7506</v>
      </c>
      <c r="E261" s="47" t="s">
        <v>7507</v>
      </c>
      <c r="F261" s="47" t="s">
        <v>5</v>
      </c>
      <c r="G261" s="47" t="s">
        <v>200</v>
      </c>
      <c r="H261" s="47" t="str">
        <f t="shared" si="13"/>
        <v>BUDGAM</v>
      </c>
      <c r="I261" s="47" t="s">
        <v>7518</v>
      </c>
      <c r="J261" s="48">
        <v>46016</v>
      </c>
      <c r="K261" s="47">
        <v>9858727429</v>
      </c>
      <c r="L261" s="47" t="s">
        <v>176</v>
      </c>
      <c r="M261" s="49"/>
      <c r="N261" s="48"/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11"/>
        <v>261</v>
      </c>
      <c r="B262" s="47" t="s">
        <v>7508</v>
      </c>
      <c r="C262" s="47" t="s">
        <v>7509</v>
      </c>
      <c r="D262" s="47" t="s">
        <v>7510</v>
      </c>
      <c r="E262" s="47" t="s">
        <v>7511</v>
      </c>
      <c r="F262" s="47" t="s">
        <v>12</v>
      </c>
      <c r="G262" s="47" t="s">
        <v>181</v>
      </c>
      <c r="H262" s="47" t="str">
        <f t="shared" si="13"/>
        <v>SHOPIAN</v>
      </c>
      <c r="I262" s="47" t="s">
        <v>7519</v>
      </c>
      <c r="J262" s="48">
        <v>46016</v>
      </c>
      <c r="K262" s="47">
        <v>7889339504</v>
      </c>
      <c r="L262" s="47" t="s">
        <v>6451</v>
      </c>
      <c r="M262" s="49"/>
      <c r="N262" s="48"/>
      <c r="O262" s="47"/>
      <c r="P262" s="50"/>
      <c r="Q262" s="47"/>
      <c r="R262" s="47"/>
    </row>
    <row r="263" spans="1:18" x14ac:dyDescent="0.25">
      <c r="A263" s="47">
        <f t="shared" si="11"/>
        <v>262</v>
      </c>
      <c r="B263" s="47" t="s">
        <v>7049</v>
      </c>
      <c r="C263" s="47" t="s">
        <v>7050</v>
      </c>
      <c r="D263" s="47" t="s">
        <v>7051</v>
      </c>
      <c r="E263" s="47" t="s">
        <v>7052</v>
      </c>
      <c r="F263" s="47" t="s">
        <v>31</v>
      </c>
      <c r="G263" s="47" t="s">
        <v>221</v>
      </c>
      <c r="H263" s="47" t="str">
        <f t="shared" si="13"/>
        <v>SRINAGAR</v>
      </c>
      <c r="I263" s="47" t="s">
        <v>7062</v>
      </c>
      <c r="J263" s="48">
        <v>46003</v>
      </c>
      <c r="K263" s="47">
        <v>7006646319</v>
      </c>
      <c r="L263" s="47" t="s">
        <v>6521</v>
      </c>
      <c r="M263" s="49" t="s">
        <v>7263</v>
      </c>
      <c r="N263" s="48">
        <v>46009</v>
      </c>
      <c r="O263" s="47" t="s">
        <v>23</v>
      </c>
      <c r="P263" s="50">
        <v>46009</v>
      </c>
      <c r="Q263" s="47" t="s">
        <v>6460</v>
      </c>
      <c r="R263" s="47"/>
    </row>
    <row r="264" spans="1:18" x14ac:dyDescent="0.25">
      <c r="A264" s="47">
        <f t="shared" si="11"/>
        <v>263</v>
      </c>
      <c r="B264" s="47" t="s">
        <v>7528</v>
      </c>
      <c r="C264" s="47" t="s">
        <v>7524</v>
      </c>
      <c r="D264" s="47" t="s">
        <v>7525</v>
      </c>
      <c r="E264" s="47" t="s">
        <v>7526</v>
      </c>
      <c r="F264" s="47" t="s">
        <v>67</v>
      </c>
      <c r="G264" s="47" t="s">
        <v>199</v>
      </c>
      <c r="H264" s="47" t="str">
        <f t="shared" si="13"/>
        <v>SRINAGAR</v>
      </c>
      <c r="I264" s="47" t="s">
        <v>7527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11"/>
        <v>264</v>
      </c>
      <c r="B265" s="47" t="s">
        <v>7314</v>
      </c>
      <c r="C265" s="47" t="s">
        <v>7311</v>
      </c>
      <c r="D265" s="47" t="s">
        <v>7312</v>
      </c>
      <c r="E265" s="47" t="s">
        <v>7313</v>
      </c>
      <c r="F265" s="47" t="s">
        <v>238</v>
      </c>
      <c r="G265" s="47" t="s">
        <v>200</v>
      </c>
      <c r="H265" s="47" t="str">
        <f t="shared" si="13"/>
        <v>PULWAMA</v>
      </c>
      <c r="I265" s="47" t="s">
        <v>7321</v>
      </c>
      <c r="J265" s="48">
        <v>46011</v>
      </c>
      <c r="K265" s="47">
        <v>7006878734</v>
      </c>
      <c r="L265" s="47" t="s">
        <v>26</v>
      </c>
      <c r="M265" s="49"/>
      <c r="N265" s="48"/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11"/>
        <v>265</v>
      </c>
      <c r="B266" s="47" t="s">
        <v>7533</v>
      </c>
      <c r="C266" s="47" t="s">
        <v>7534</v>
      </c>
      <c r="D266" s="47" t="s">
        <v>7535</v>
      </c>
      <c r="E266" s="47" t="s">
        <v>6433</v>
      </c>
      <c r="F266" s="47" t="s">
        <v>31</v>
      </c>
      <c r="G266" s="47" t="s">
        <v>175</v>
      </c>
      <c r="H266" s="47" t="str">
        <f t="shared" si="13"/>
        <v>BUDGAM</v>
      </c>
      <c r="I266" s="47" t="s">
        <v>7555</v>
      </c>
      <c r="J266" s="48">
        <v>46016</v>
      </c>
      <c r="K266" s="47">
        <v>9858321757</v>
      </c>
      <c r="L266" s="47" t="s">
        <v>43</v>
      </c>
      <c r="M266" s="49" t="s">
        <v>7597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11"/>
        <v>266</v>
      </c>
      <c r="B267" s="47" t="s">
        <v>7536</v>
      </c>
      <c r="C267" s="47" t="s">
        <v>7537</v>
      </c>
      <c r="D267" s="47" t="s">
        <v>7538</v>
      </c>
      <c r="E267" s="47" t="s">
        <v>7539</v>
      </c>
      <c r="F267" s="47" t="s">
        <v>100</v>
      </c>
      <c r="G267" s="47" t="s">
        <v>200</v>
      </c>
      <c r="H267" s="47" t="str">
        <f t="shared" si="13"/>
        <v>BANDIPORA</v>
      </c>
      <c r="I267" s="47" t="s">
        <v>7554</v>
      </c>
      <c r="J267" s="48">
        <v>46016</v>
      </c>
      <c r="K267" s="47">
        <v>7889559968</v>
      </c>
      <c r="L267" s="47" t="s">
        <v>6833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11"/>
        <v>267</v>
      </c>
      <c r="B268" s="47" t="s">
        <v>7541</v>
      </c>
      <c r="C268" s="47" t="s">
        <v>7542</v>
      </c>
      <c r="D268" s="47" t="s">
        <v>7543</v>
      </c>
      <c r="E268" s="47" t="s">
        <v>7544</v>
      </c>
      <c r="F268" s="47" t="s">
        <v>119</v>
      </c>
      <c r="G268" s="47" t="s">
        <v>174</v>
      </c>
      <c r="H268" s="47" t="str">
        <f t="shared" si="13"/>
        <v>PULWAMA</v>
      </c>
      <c r="I268" s="47" t="s">
        <v>7556</v>
      </c>
      <c r="J268" s="48">
        <v>46016</v>
      </c>
      <c r="K268" s="47">
        <v>8825061187</v>
      </c>
      <c r="L268" s="47" t="s">
        <v>7545</v>
      </c>
      <c r="M268" s="49" t="s">
        <v>7695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11"/>
        <v>268</v>
      </c>
      <c r="B269" s="47" t="s">
        <v>7562</v>
      </c>
      <c r="C269" s="47" t="s">
        <v>7563</v>
      </c>
      <c r="D269" s="47" t="s">
        <v>7564</v>
      </c>
      <c r="E269" s="47" t="s">
        <v>7565</v>
      </c>
      <c r="F269" s="47" t="s">
        <v>31</v>
      </c>
      <c r="G269" s="47" t="s">
        <v>174</v>
      </c>
      <c r="H269" s="47" t="str">
        <f t="shared" si="13"/>
        <v>BARAMULLA</v>
      </c>
      <c r="I269" s="47" t="s">
        <v>7591</v>
      </c>
      <c r="J269" s="48">
        <v>46017</v>
      </c>
      <c r="K269" s="47">
        <v>9906918176</v>
      </c>
      <c r="L269" s="47" t="s">
        <v>26</v>
      </c>
      <c r="M269" s="49" t="s">
        <v>7617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11"/>
        <v>269</v>
      </c>
      <c r="B270" s="47" t="s">
        <v>7574</v>
      </c>
      <c r="C270" s="47" t="s">
        <v>7576</v>
      </c>
      <c r="D270" s="47" t="s">
        <v>7577</v>
      </c>
      <c r="E270" s="47" t="s">
        <v>7575</v>
      </c>
      <c r="F270" s="47" t="s">
        <v>7578</v>
      </c>
      <c r="G270" s="47" t="s">
        <v>6475</v>
      </c>
      <c r="H270" s="47" t="str">
        <f t="shared" si="13"/>
        <v>SRINAGAR</v>
      </c>
      <c r="I270" s="47" t="s">
        <v>7592</v>
      </c>
      <c r="J270" s="48">
        <v>46017</v>
      </c>
      <c r="K270" s="47">
        <v>9419002237</v>
      </c>
      <c r="L270" s="47" t="s">
        <v>106</v>
      </c>
      <c r="M270" s="49" t="s">
        <v>7602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11"/>
        <v>270</v>
      </c>
      <c r="B271" s="47" t="s">
        <v>7668</v>
      </c>
      <c r="C271" s="47" t="s">
        <v>7659</v>
      </c>
      <c r="D271" s="47" t="s">
        <v>7660</v>
      </c>
      <c r="E271" s="47" t="s">
        <v>7661</v>
      </c>
      <c r="F271" s="47" t="s">
        <v>31</v>
      </c>
      <c r="G271" s="47" t="s">
        <v>200</v>
      </c>
      <c r="H271" s="47" t="str">
        <f t="shared" si="13"/>
        <v>PULWAMA</v>
      </c>
      <c r="I271" s="47" t="s">
        <v>7662</v>
      </c>
      <c r="J271" s="48">
        <v>46018</v>
      </c>
      <c r="K271" s="47">
        <v>9622531795</v>
      </c>
      <c r="L271" s="47" t="s">
        <v>26</v>
      </c>
      <c r="M271" s="49"/>
      <c r="N271" s="48"/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11"/>
        <v>271</v>
      </c>
      <c r="B272" s="47" t="s">
        <v>7583</v>
      </c>
      <c r="C272" s="47" t="s">
        <v>7584</v>
      </c>
      <c r="D272" s="47" t="s">
        <v>7585</v>
      </c>
      <c r="E272" s="47" t="s">
        <v>7586</v>
      </c>
      <c r="F272" s="47" t="s">
        <v>125</v>
      </c>
      <c r="G272" s="47" t="s">
        <v>199</v>
      </c>
      <c r="H272" s="47" t="str">
        <f t="shared" si="13"/>
        <v>BUDGAM</v>
      </c>
      <c r="I272" s="47" t="s">
        <v>7594</v>
      </c>
      <c r="J272" s="48">
        <v>46017</v>
      </c>
      <c r="K272" s="47">
        <v>7889773670</v>
      </c>
      <c r="L272" s="47" t="s">
        <v>7587</v>
      </c>
      <c r="M272" s="49" t="s">
        <v>7722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11"/>
        <v>272</v>
      </c>
      <c r="B273" s="47" t="s">
        <v>6557</v>
      </c>
      <c r="C273" s="47" t="s">
        <v>6560</v>
      </c>
      <c r="D273" s="47"/>
      <c r="E273" s="47" t="s">
        <v>6561</v>
      </c>
      <c r="F273" s="47" t="s">
        <v>125</v>
      </c>
      <c r="G273" s="47" t="s">
        <v>175</v>
      </c>
      <c r="H273" s="47" t="str">
        <f t="shared" si="13"/>
        <v>PULWAMA</v>
      </c>
      <c r="I273" s="47" t="s">
        <v>6564</v>
      </c>
      <c r="J273" s="48">
        <v>45981</v>
      </c>
      <c r="K273" s="47">
        <v>9906121652</v>
      </c>
      <c r="L273" s="47" t="s">
        <v>6521</v>
      </c>
      <c r="M273" s="49" t="s">
        <v>6629</v>
      </c>
      <c r="N273" s="48">
        <v>45986</v>
      </c>
      <c r="O273" s="47" t="s">
        <v>23</v>
      </c>
      <c r="P273" s="50">
        <v>45986</v>
      </c>
      <c r="Q273" s="47" t="s">
        <v>6460</v>
      </c>
      <c r="R273" s="47"/>
    </row>
    <row r="274" spans="1:18" x14ac:dyDescent="0.25">
      <c r="A274" s="47">
        <f t="shared" si="11"/>
        <v>273</v>
      </c>
      <c r="B274" s="47" t="s">
        <v>7598</v>
      </c>
      <c r="C274" s="47" t="s">
        <v>7599</v>
      </c>
      <c r="D274" s="47" t="s">
        <v>7600</v>
      </c>
      <c r="E274" s="47" t="s">
        <v>7601</v>
      </c>
      <c r="F274" s="47" t="s">
        <v>31</v>
      </c>
      <c r="G274" s="47" t="s">
        <v>200</v>
      </c>
      <c r="H274" s="47" t="str">
        <f t="shared" si="13"/>
        <v>KUPWARA</v>
      </c>
      <c r="I274" s="47" t="s">
        <v>7612</v>
      </c>
      <c r="J274" s="48">
        <v>46017</v>
      </c>
      <c r="K274" s="47">
        <v>9797222635</v>
      </c>
      <c r="L274" s="47" t="s">
        <v>1517</v>
      </c>
      <c r="M274" s="49" t="s">
        <v>7779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11"/>
        <v>274</v>
      </c>
      <c r="B275" s="47" t="s">
        <v>6518</v>
      </c>
      <c r="C275" s="47" t="s">
        <v>6519</v>
      </c>
      <c r="D275" s="47"/>
      <c r="E275" s="47" t="s">
        <v>6520</v>
      </c>
      <c r="F275" s="47" t="s">
        <v>37</v>
      </c>
      <c r="G275" s="47" t="s">
        <v>181</v>
      </c>
      <c r="H275" s="47" t="str">
        <f t="shared" si="13"/>
        <v>PULWAMA</v>
      </c>
      <c r="I275" s="47" t="s">
        <v>6523</v>
      </c>
      <c r="J275" s="48">
        <v>45979</v>
      </c>
      <c r="K275" s="47">
        <v>9541759422</v>
      </c>
      <c r="L275" s="47" t="s">
        <v>6521</v>
      </c>
      <c r="M275" s="49"/>
      <c r="N275" s="48"/>
      <c r="O275" s="47"/>
      <c r="P275" s="50"/>
      <c r="Q275" s="47"/>
      <c r="R275" s="47"/>
    </row>
    <row r="276" spans="1:18" x14ac:dyDescent="0.25">
      <c r="A276" s="47">
        <f t="shared" si="11"/>
        <v>275</v>
      </c>
      <c r="B276" s="47" t="s">
        <v>7613</v>
      </c>
      <c r="C276" s="47" t="s">
        <v>7607</v>
      </c>
      <c r="D276" s="47" t="s">
        <v>7608</v>
      </c>
      <c r="E276" s="47" t="s">
        <v>7609</v>
      </c>
      <c r="F276" s="47" t="s">
        <v>31</v>
      </c>
      <c r="G276" s="47" t="s">
        <v>200</v>
      </c>
      <c r="H276" s="47" t="str">
        <f t="shared" si="13"/>
        <v>SRINAGAR</v>
      </c>
      <c r="I276" s="47" t="s">
        <v>7610</v>
      </c>
      <c r="J276" s="48">
        <v>46017</v>
      </c>
      <c r="K276" s="47">
        <v>9149416177</v>
      </c>
      <c r="L276" s="47" t="s">
        <v>1126</v>
      </c>
      <c r="M276" s="49"/>
      <c r="N276" s="48"/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11"/>
        <v>276</v>
      </c>
      <c r="B277" s="47" t="s">
        <v>7625</v>
      </c>
      <c r="C277" s="47" t="s">
        <v>7626</v>
      </c>
      <c r="D277" s="47" t="s">
        <v>7627</v>
      </c>
      <c r="E277" s="47" t="s">
        <v>7628</v>
      </c>
      <c r="F277" s="47" t="s">
        <v>250</v>
      </c>
      <c r="G277" s="47" t="s">
        <v>221</v>
      </c>
      <c r="H277" s="47" t="str">
        <f t="shared" si="13"/>
        <v>SRINAGAR</v>
      </c>
      <c r="I277" s="47" t="s">
        <v>7636</v>
      </c>
      <c r="J277" s="48">
        <v>46018</v>
      </c>
      <c r="K277" s="47">
        <v>9596366782</v>
      </c>
      <c r="L277" s="47" t="s">
        <v>2172</v>
      </c>
      <c r="M277" s="49" t="s">
        <v>7717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11"/>
        <v>277</v>
      </c>
      <c r="B278" s="47" t="s">
        <v>7629</v>
      </c>
      <c r="C278" s="47" t="s">
        <v>7630</v>
      </c>
      <c r="D278" s="47" t="s">
        <v>7631</v>
      </c>
      <c r="E278" s="47" t="s">
        <v>7632</v>
      </c>
      <c r="F278" s="47" t="s">
        <v>67</v>
      </c>
      <c r="G278" s="47" t="s">
        <v>181</v>
      </c>
      <c r="H278" s="47" t="str">
        <f t="shared" si="13"/>
        <v>PULWAMA</v>
      </c>
      <c r="I278" s="47" t="s">
        <v>7637</v>
      </c>
      <c r="J278" s="48">
        <v>46018</v>
      </c>
      <c r="K278" s="47">
        <v>9906687592</v>
      </c>
      <c r="L278" s="47" t="s">
        <v>26</v>
      </c>
      <c r="M278" s="49" t="s">
        <v>7617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11"/>
        <v>278</v>
      </c>
      <c r="B279" s="47" t="s">
        <v>7639</v>
      </c>
      <c r="C279" s="47" t="s">
        <v>7640</v>
      </c>
      <c r="D279" s="47" t="s">
        <v>7641</v>
      </c>
      <c r="E279" s="47" t="s">
        <v>7642</v>
      </c>
      <c r="F279" s="47" t="s">
        <v>5104</v>
      </c>
      <c r="G279" s="47" t="s">
        <v>174</v>
      </c>
      <c r="H279" s="47" t="str">
        <f t="shared" si="13"/>
        <v>SRINAGAR</v>
      </c>
      <c r="I279" s="47" t="s">
        <v>7652</v>
      </c>
      <c r="J279" s="48">
        <v>46018</v>
      </c>
      <c r="K279" s="47">
        <v>7006141977</v>
      </c>
      <c r="L279" s="47" t="s">
        <v>1126</v>
      </c>
      <c r="M279" s="49" t="s">
        <v>7701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11"/>
        <v>279</v>
      </c>
      <c r="B280" s="47" t="s">
        <v>7529</v>
      </c>
      <c r="C280" s="47" t="s">
        <v>7530</v>
      </c>
      <c r="D280" s="47" t="s">
        <v>7531</v>
      </c>
      <c r="E280" s="47" t="s">
        <v>7532</v>
      </c>
      <c r="F280" s="47" t="s">
        <v>100</v>
      </c>
      <c r="G280" s="47" t="s">
        <v>200</v>
      </c>
      <c r="H280" s="47" t="str">
        <f t="shared" si="13"/>
        <v>PULWAMA</v>
      </c>
      <c r="I280" s="47" t="s">
        <v>7540</v>
      </c>
      <c r="J280" s="48">
        <v>46016</v>
      </c>
      <c r="K280" s="47">
        <v>9697972995</v>
      </c>
      <c r="L280" s="47" t="s">
        <v>26</v>
      </c>
      <c r="M280" s="49" t="s">
        <v>7617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11"/>
        <v>280</v>
      </c>
      <c r="B281" s="47" t="s">
        <v>7647</v>
      </c>
      <c r="C281" s="47" t="s">
        <v>7648</v>
      </c>
      <c r="D281" s="47" t="s">
        <v>7649</v>
      </c>
      <c r="E281" s="47" t="s">
        <v>7650</v>
      </c>
      <c r="F281" s="47" t="s">
        <v>12</v>
      </c>
      <c r="G281" s="47" t="s">
        <v>200</v>
      </c>
      <c r="H281" s="47" t="str">
        <f t="shared" si="13"/>
        <v>BUDGAM</v>
      </c>
      <c r="I281" s="47" t="s">
        <v>7653</v>
      </c>
      <c r="J281" s="48">
        <v>46018</v>
      </c>
      <c r="K281" s="47">
        <v>9622678196</v>
      </c>
      <c r="L281" s="47" t="s">
        <v>3926</v>
      </c>
      <c r="M281" s="49" t="s">
        <v>7455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11"/>
        <v>281</v>
      </c>
      <c r="B282" s="47" t="s">
        <v>7657</v>
      </c>
      <c r="C282" s="47" t="s">
        <v>7654</v>
      </c>
      <c r="D282" s="47" t="s">
        <v>7655</v>
      </c>
      <c r="E282" s="47" t="s">
        <v>7656</v>
      </c>
      <c r="F282" s="47" t="s">
        <v>119</v>
      </c>
      <c r="G282" s="47" t="s">
        <v>175</v>
      </c>
      <c r="H282" s="47" t="str">
        <f t="shared" si="13"/>
        <v>BARAMULLA</v>
      </c>
      <c r="I282" s="47" t="s">
        <v>7658</v>
      </c>
      <c r="J282" s="48">
        <v>46018</v>
      </c>
      <c r="K282" s="47">
        <v>8715929114</v>
      </c>
      <c r="L282" s="47" t="s">
        <v>7251</v>
      </c>
      <c r="M282" s="49" t="s">
        <v>7616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11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3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7822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11"/>
        <v>283</v>
      </c>
      <c r="B284" s="47" t="s">
        <v>7667</v>
      </c>
      <c r="C284" s="47" t="s">
        <v>7663</v>
      </c>
      <c r="D284" s="47" t="s">
        <v>7664</v>
      </c>
      <c r="E284" s="47" t="s">
        <v>7666</v>
      </c>
      <c r="F284" s="47" t="s">
        <v>31</v>
      </c>
      <c r="G284" s="47" t="s">
        <v>175</v>
      </c>
      <c r="H284" s="47" t="str">
        <f t="shared" si="13"/>
        <v>PULWAMA</v>
      </c>
      <c r="I284" s="47" t="s">
        <v>7665</v>
      </c>
      <c r="J284" s="48">
        <v>46018</v>
      </c>
      <c r="K284" s="47">
        <v>8715028576</v>
      </c>
      <c r="L284" s="47" t="s">
        <v>6451</v>
      </c>
      <c r="M284" s="49"/>
      <c r="N284" s="48"/>
      <c r="O284" s="47"/>
      <c r="P284" s="50"/>
      <c r="Q284" s="47"/>
      <c r="R284" s="47"/>
    </row>
    <row r="285" spans="1:18" x14ac:dyDescent="0.25">
      <c r="A285" s="47">
        <f t="shared" si="11"/>
        <v>284</v>
      </c>
      <c r="B285" s="47" t="s">
        <v>7669</v>
      </c>
      <c r="C285" s="47" t="s">
        <v>7670</v>
      </c>
      <c r="D285" s="47" t="s">
        <v>7671</v>
      </c>
      <c r="E285" s="47" t="s">
        <v>7672</v>
      </c>
      <c r="F285" s="47" t="s">
        <v>125</v>
      </c>
      <c r="G285" s="47" t="s">
        <v>174</v>
      </c>
      <c r="H285" s="47" t="str">
        <f t="shared" si="13"/>
        <v>SRINAGAR</v>
      </c>
      <c r="I285" s="47" t="s">
        <v>7684</v>
      </c>
      <c r="J285" s="48">
        <v>46019</v>
      </c>
      <c r="K285" s="47">
        <v>9622727272</v>
      </c>
      <c r="L285" s="47" t="s">
        <v>6570</v>
      </c>
      <c r="M285" s="49" t="s">
        <v>7776</v>
      </c>
      <c r="N285" s="48">
        <v>46031</v>
      </c>
      <c r="O285" s="47"/>
      <c r="P285" s="50"/>
      <c r="Q285" s="47"/>
      <c r="R285" s="47"/>
    </row>
    <row r="286" spans="1:18" x14ac:dyDescent="0.25">
      <c r="A286" s="47">
        <f t="shared" si="11"/>
        <v>285</v>
      </c>
      <c r="B286" s="47" t="s">
        <v>7687</v>
      </c>
      <c r="C286" s="47" t="s">
        <v>7688</v>
      </c>
      <c r="D286" s="47" t="s">
        <v>7689</v>
      </c>
      <c r="E286" s="47" t="s">
        <v>7690</v>
      </c>
      <c r="F286" s="47" t="s">
        <v>119</v>
      </c>
      <c r="G286" s="47" t="s">
        <v>175</v>
      </c>
      <c r="H286" s="47" t="str">
        <f t="shared" si="13"/>
        <v>BARAMULLA</v>
      </c>
      <c r="I286" s="47" t="s">
        <v>7703</v>
      </c>
      <c r="J286" s="48">
        <v>46020</v>
      </c>
      <c r="K286" s="47">
        <v>9682558110</v>
      </c>
      <c r="L286" s="47" t="s">
        <v>1517</v>
      </c>
      <c r="M286" s="49" t="s">
        <v>7779</v>
      </c>
      <c r="N286" s="48">
        <v>46021</v>
      </c>
      <c r="O286" s="47" t="s">
        <v>7705</v>
      </c>
      <c r="P286" s="50">
        <v>46020</v>
      </c>
      <c r="Q286" s="47" t="s">
        <v>7706</v>
      </c>
      <c r="R286" s="47"/>
    </row>
    <row r="287" spans="1:18" x14ac:dyDescent="0.25">
      <c r="A287" s="47">
        <f t="shared" si="11"/>
        <v>286</v>
      </c>
      <c r="B287" s="47" t="s">
        <v>7694</v>
      </c>
      <c r="C287" s="47" t="s">
        <v>7691</v>
      </c>
      <c r="D287" s="47" t="s">
        <v>7692</v>
      </c>
      <c r="E287" s="47" t="s">
        <v>7693</v>
      </c>
      <c r="F287" s="47" t="s">
        <v>119</v>
      </c>
      <c r="G287" s="47" t="s">
        <v>175</v>
      </c>
      <c r="H287" s="47" t="str">
        <f t="shared" si="13"/>
        <v>PULWAMA</v>
      </c>
      <c r="I287" s="47" t="s">
        <v>7704</v>
      </c>
      <c r="J287" s="48">
        <v>46020</v>
      </c>
      <c r="K287" s="47">
        <v>9622716592</v>
      </c>
      <c r="L287" s="47" t="s">
        <v>48</v>
      </c>
      <c r="M287" s="49" t="s">
        <v>7774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ref="A288:A351" si="14">ROW()-1</f>
        <v>287</v>
      </c>
      <c r="B288" s="47" t="s">
        <v>7696</v>
      </c>
      <c r="C288" s="47" t="s">
        <v>7697</v>
      </c>
      <c r="D288" s="47" t="s">
        <v>7698</v>
      </c>
      <c r="E288" s="47" t="s">
        <v>7699</v>
      </c>
      <c r="F288" s="47" t="s">
        <v>486</v>
      </c>
      <c r="G288" s="47" t="s">
        <v>199</v>
      </c>
      <c r="H288" s="47" t="str">
        <f t="shared" ref="H288:H298" si="15">IF(LEFT(I288,4)="JK13","PULWAMA",IF(LEFT(I288,4)="JK01","SRINAGAR",IF(LEFT(I288,4)="JK04","BUDGAM",IF(LEFT(I288,4)="JK03","ANANTNAG",IF(LEFT(I288,4)="JK05","BARAMULLA",IF(LEFT(I288,4)="25BH","BHARAT",IF(LEFT(I288,4)="JK12","POONCH",IF(LEFT(I288,4)="JK18","KULGAM",IF(LEFT(I288,4)="JK22","SHOPIAN",IF(LEFT(I288,4)="T102","TEMP",IF(LEFT(I288,4)="JK09","KUPWARA",IF(LEFT(I288,4)="JK15","BANDIPORA",IF(LEFT(I288,4)="T112","KARGIL","NEW")))))))))))))</f>
        <v>SHOPIAN</v>
      </c>
      <c r="I288" s="47" t="s">
        <v>7702</v>
      </c>
      <c r="J288" s="48">
        <v>46020</v>
      </c>
      <c r="K288" s="47">
        <v>7006540570</v>
      </c>
      <c r="L288" s="47" t="s">
        <v>7700</v>
      </c>
      <c r="M288" s="49"/>
      <c r="N288" s="48"/>
      <c r="O288" s="47"/>
      <c r="P288" s="50"/>
      <c r="Q288" s="47"/>
      <c r="R288" s="47" t="s">
        <v>7732</v>
      </c>
    </row>
    <row r="289" spans="1:18" x14ac:dyDescent="0.25">
      <c r="A289" s="47">
        <f t="shared" si="14"/>
        <v>288</v>
      </c>
      <c r="B289" s="47" t="s">
        <v>7763</v>
      </c>
      <c r="C289" s="47" t="s">
        <v>7764</v>
      </c>
      <c r="D289" s="47" t="s">
        <v>7765</v>
      </c>
      <c r="E289" s="47" t="s">
        <v>7766</v>
      </c>
      <c r="F289" s="47" t="s">
        <v>3130</v>
      </c>
      <c r="G289" s="47" t="s">
        <v>6475</v>
      </c>
      <c r="H289" s="47" t="str">
        <f t="shared" si="15"/>
        <v>KULGAM</v>
      </c>
      <c r="I289" s="47" t="s">
        <v>7768</v>
      </c>
      <c r="J289" s="48">
        <v>46021</v>
      </c>
      <c r="K289" s="47">
        <v>9622775800</v>
      </c>
      <c r="L289" s="47" t="s">
        <v>26</v>
      </c>
      <c r="M289" s="49"/>
      <c r="N289" s="48"/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14"/>
        <v>289</v>
      </c>
      <c r="B290" s="47" t="s">
        <v>7718</v>
      </c>
      <c r="C290" s="47" t="s">
        <v>7719</v>
      </c>
      <c r="D290" s="47" t="s">
        <v>7720</v>
      </c>
      <c r="E290" s="47" t="s">
        <v>7721</v>
      </c>
      <c r="F290" s="47" t="s">
        <v>31</v>
      </c>
      <c r="G290" s="47" t="s">
        <v>174</v>
      </c>
      <c r="H290" s="47" t="str">
        <f t="shared" si="15"/>
        <v>NEW</v>
      </c>
      <c r="I290" s="47" t="s">
        <v>7731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14"/>
        <v>290</v>
      </c>
      <c r="B291" s="47" t="s">
        <v>7723</v>
      </c>
      <c r="C291" s="47" t="s">
        <v>7724</v>
      </c>
      <c r="D291" s="47" t="s">
        <v>7725</v>
      </c>
      <c r="E291" s="47" t="s">
        <v>6773</v>
      </c>
      <c r="F291" s="47" t="s">
        <v>119</v>
      </c>
      <c r="G291" s="47" t="s">
        <v>200</v>
      </c>
      <c r="H291" s="47" t="str">
        <f t="shared" si="15"/>
        <v>SRINAGAR</v>
      </c>
      <c r="I291" s="47" t="s">
        <v>7730</v>
      </c>
      <c r="J291" s="48">
        <v>46020</v>
      </c>
      <c r="K291" s="47">
        <v>7006274587</v>
      </c>
      <c r="L291" s="47" t="s">
        <v>6808</v>
      </c>
      <c r="M291" s="49" t="s">
        <v>8174</v>
      </c>
      <c r="N291" s="48">
        <v>46029</v>
      </c>
      <c r="O291" s="47" t="s">
        <v>23</v>
      </c>
      <c r="P291" s="50">
        <v>46029</v>
      </c>
      <c r="Q291" s="47" t="s">
        <v>6460</v>
      </c>
      <c r="R291" s="47" t="s">
        <v>8124</v>
      </c>
    </row>
    <row r="292" spans="1:18" x14ac:dyDescent="0.25">
      <c r="A292" s="47">
        <f t="shared" si="14"/>
        <v>291</v>
      </c>
      <c r="B292" s="47" t="s">
        <v>7726</v>
      </c>
      <c r="C292" s="47" t="s">
        <v>7727</v>
      </c>
      <c r="D292" s="47" t="s">
        <v>7728</v>
      </c>
      <c r="E292" s="47" t="s">
        <v>7729</v>
      </c>
      <c r="F292" s="47" t="s">
        <v>12</v>
      </c>
      <c r="G292" s="47" t="s">
        <v>200</v>
      </c>
      <c r="H292" s="47" t="str">
        <f t="shared" si="15"/>
        <v>BUDGAM</v>
      </c>
      <c r="I292" s="47" t="s">
        <v>7748</v>
      </c>
      <c r="J292" s="48">
        <v>46021</v>
      </c>
      <c r="K292" s="47">
        <v>9541083744</v>
      </c>
      <c r="L292" s="47" t="s">
        <v>194</v>
      </c>
      <c r="M292" s="49" t="s">
        <v>7776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14"/>
        <v>292</v>
      </c>
      <c r="B293" s="47" t="s">
        <v>7735</v>
      </c>
      <c r="C293" s="47" t="s">
        <v>7733</v>
      </c>
      <c r="D293" s="47" t="s">
        <v>7734</v>
      </c>
      <c r="E293" s="47" t="s">
        <v>2915</v>
      </c>
      <c r="F293" s="47" t="s">
        <v>238</v>
      </c>
      <c r="G293" s="47" t="s">
        <v>6475</v>
      </c>
      <c r="H293" s="47" t="str">
        <f t="shared" si="15"/>
        <v>PULWAMA</v>
      </c>
      <c r="I293" s="47" t="s">
        <v>7749</v>
      </c>
      <c r="J293" s="48">
        <v>46021</v>
      </c>
      <c r="K293" s="47">
        <v>9906625047</v>
      </c>
      <c r="L293" s="47" t="s">
        <v>26</v>
      </c>
      <c r="M293" s="49" t="s">
        <v>7617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14"/>
        <v>293</v>
      </c>
      <c r="B294" s="47" t="s">
        <v>7739</v>
      </c>
      <c r="C294" s="47" t="s">
        <v>7736</v>
      </c>
      <c r="D294" s="47" t="s">
        <v>7737</v>
      </c>
      <c r="E294" s="47" t="s">
        <v>7738</v>
      </c>
      <c r="F294" s="47" t="s">
        <v>31</v>
      </c>
      <c r="G294" s="47" t="s">
        <v>200</v>
      </c>
      <c r="H294" s="47" t="str">
        <f t="shared" si="15"/>
        <v>PULWAMA</v>
      </c>
      <c r="I294" s="47" t="s">
        <v>7750</v>
      </c>
      <c r="J294" s="48">
        <v>46021</v>
      </c>
      <c r="K294" s="47">
        <v>7006928931</v>
      </c>
      <c r="L294" s="47" t="s">
        <v>48</v>
      </c>
      <c r="M294" s="49" t="s">
        <v>7774</v>
      </c>
      <c r="N294" s="48">
        <v>46027</v>
      </c>
      <c r="O294" s="47" t="s">
        <v>23</v>
      </c>
      <c r="P294" s="50">
        <v>46029</v>
      </c>
      <c r="Q294" s="47" t="s">
        <v>6460</v>
      </c>
      <c r="R294" s="47"/>
    </row>
    <row r="295" spans="1:18" x14ac:dyDescent="0.25">
      <c r="A295" s="47">
        <f t="shared" si="14"/>
        <v>294</v>
      </c>
      <c r="B295" s="47" t="s">
        <v>7740</v>
      </c>
      <c r="C295" s="47" t="s">
        <v>7741</v>
      </c>
      <c r="D295" s="47" t="s">
        <v>7742</v>
      </c>
      <c r="E295" s="47" t="s">
        <v>7743</v>
      </c>
      <c r="F295" s="47" t="s">
        <v>119</v>
      </c>
      <c r="G295" s="47" t="s">
        <v>200</v>
      </c>
      <c r="H295" s="47" t="str">
        <f t="shared" si="15"/>
        <v>BUDGAM</v>
      </c>
      <c r="I295" s="47" t="s">
        <v>7751</v>
      </c>
      <c r="J295" s="48">
        <v>46021</v>
      </c>
      <c r="K295" s="47">
        <v>7006409005</v>
      </c>
      <c r="L295" s="47" t="s">
        <v>70</v>
      </c>
      <c r="M295" s="49" t="s">
        <v>7955</v>
      </c>
      <c r="N295" s="48">
        <v>46028</v>
      </c>
      <c r="O295" s="47"/>
      <c r="P295" s="50"/>
      <c r="Q295" s="47"/>
      <c r="R295" s="47"/>
    </row>
    <row r="296" spans="1:18" x14ac:dyDescent="0.25">
      <c r="A296" s="47">
        <f t="shared" si="14"/>
        <v>295</v>
      </c>
      <c r="B296" s="47" t="s">
        <v>7066</v>
      </c>
      <c r="C296" s="47" t="s">
        <v>7067</v>
      </c>
      <c r="D296" s="47" t="s">
        <v>7068</v>
      </c>
      <c r="E296" s="47" t="s">
        <v>7069</v>
      </c>
      <c r="F296" s="47" t="s">
        <v>193</v>
      </c>
      <c r="G296" s="47" t="s">
        <v>200</v>
      </c>
      <c r="H296" s="47" t="str">
        <f t="shared" si="15"/>
        <v>PULWAMA</v>
      </c>
      <c r="I296" s="47" t="s">
        <v>7077</v>
      </c>
      <c r="J296" s="48">
        <v>46003</v>
      </c>
      <c r="K296" s="47">
        <v>9797499942</v>
      </c>
      <c r="L296" s="47" t="s">
        <v>7070</v>
      </c>
      <c r="M296" s="49"/>
      <c r="N296" s="48"/>
      <c r="O296" s="47"/>
      <c r="P296" s="50"/>
      <c r="Q296" s="47"/>
      <c r="R296" s="47"/>
    </row>
    <row r="297" spans="1:18" x14ac:dyDescent="0.25">
      <c r="A297" s="47">
        <f t="shared" si="14"/>
        <v>296</v>
      </c>
      <c r="B297" s="47" t="s">
        <v>7753</v>
      </c>
      <c r="C297" s="47" t="s">
        <v>7754</v>
      </c>
      <c r="D297" s="47" t="s">
        <v>7755</v>
      </c>
      <c r="E297" s="47" t="s">
        <v>7756</v>
      </c>
      <c r="F297" s="47" t="s">
        <v>100</v>
      </c>
      <c r="G297" s="47" t="s">
        <v>181</v>
      </c>
      <c r="H297" s="47" t="str">
        <f t="shared" si="15"/>
        <v>BARAMULLA</v>
      </c>
      <c r="I297" s="47" t="s">
        <v>7757</v>
      </c>
      <c r="J297" s="48">
        <v>46021</v>
      </c>
      <c r="K297" s="47">
        <v>9149570567</v>
      </c>
      <c r="L297" s="47" t="s">
        <v>6683</v>
      </c>
      <c r="M297" s="49" t="s">
        <v>7776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si="14"/>
        <v>297</v>
      </c>
      <c r="B298" s="47" t="s">
        <v>7762</v>
      </c>
      <c r="C298" s="47" t="s">
        <v>7758</v>
      </c>
      <c r="D298" s="47" t="s">
        <v>7759</v>
      </c>
      <c r="E298" s="47" t="s">
        <v>7760</v>
      </c>
      <c r="F298" s="47" t="s">
        <v>125</v>
      </c>
      <c r="G298" s="47" t="s">
        <v>7761</v>
      </c>
      <c r="H298" s="47" t="str">
        <f t="shared" si="15"/>
        <v>PULWAMA</v>
      </c>
      <c r="I298" s="47" t="s">
        <v>7767</v>
      </c>
      <c r="J298" s="48">
        <v>46021</v>
      </c>
      <c r="K298" s="47">
        <v>8082041918</v>
      </c>
      <c r="L298" s="47" t="s">
        <v>176</v>
      </c>
      <c r="M298" s="49" t="s">
        <v>7618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4"/>
        <v>298</v>
      </c>
      <c r="B299" s="47" t="s">
        <v>7714</v>
      </c>
      <c r="C299" s="47" t="s">
        <v>7709</v>
      </c>
      <c r="D299" s="47" t="s">
        <v>7710</v>
      </c>
      <c r="E299" s="47" t="s">
        <v>7711</v>
      </c>
      <c r="F299" s="47" t="s">
        <v>7712</v>
      </c>
      <c r="G299" s="47" t="s">
        <v>200</v>
      </c>
      <c r="H299" s="47" t="e">
        <f>IF(LEFT(#REF!,4)="JK13","PULWAMA",IF(LEFT(#REF!,4)="JK01","SRINAGAR",IF(LEFT(#REF!,4)="JK04","BUDGAM",IF(LEFT(#REF!,4)="JK03","ANANTNAG",IF(LEFT(#REF!,4)="JK05","BARAMULLA",IF(LEFT(#REF!,4)="25BH","BHARAT",IF(LEFT(#REF!,4)="JK12","POONCH",IF(LEFT(#REF!,4)="JK18","KULGAM",IF(LEFT(#REF!,4)="JK22","SHOPIAN",IF(LEFT(#REF!,4)="T102","TEMP",IF(LEFT(#REF!,4)="JK09","KUPWARA",IF(LEFT(#REF!,4)="JK15","BANDIPORA",IF(LEFT(#REF!,4)="T112","KARGIL","NEW")))))))))))))</f>
        <v>#REF!</v>
      </c>
      <c r="I299" s="47" t="s">
        <v>8017</v>
      </c>
      <c r="J299" s="48">
        <v>46020</v>
      </c>
      <c r="K299" s="47">
        <v>9622020576</v>
      </c>
      <c r="L299" s="47" t="s">
        <v>7713</v>
      </c>
      <c r="M299" s="49" t="s">
        <v>8125</v>
      </c>
      <c r="N299" s="48">
        <v>46028</v>
      </c>
      <c r="O299" s="47" t="s">
        <v>23</v>
      </c>
      <c r="P299" s="50">
        <v>46028</v>
      </c>
      <c r="Q299" s="47" t="s">
        <v>6460</v>
      </c>
      <c r="R299" s="47"/>
    </row>
    <row r="300" spans="1:18" x14ac:dyDescent="0.25">
      <c r="A300" s="47">
        <f t="shared" si="14"/>
        <v>299</v>
      </c>
      <c r="B300" s="47" t="s">
        <v>7773</v>
      </c>
      <c r="C300" s="47" t="s">
        <v>7770</v>
      </c>
      <c r="D300" s="47" t="s">
        <v>7771</v>
      </c>
      <c r="E300" s="47" t="s">
        <v>7772</v>
      </c>
      <c r="F300" s="47" t="s">
        <v>633</v>
      </c>
      <c r="G300" s="47" t="s">
        <v>226</v>
      </c>
      <c r="H300" s="47" t="str">
        <f t="shared" ref="H300:H331" si="16">IF(LEFT(I300,4)="JK13","PULWAMA",IF(LEFT(I300,4)="JK01","SRINAGAR",IF(LEFT(I300,4)="JK04","BUDGAM",IF(LEFT(I300,4)="JK03","ANANTNAG",IF(LEFT(I300,4)="JK05","BARAMULLA",IF(LEFT(I300,4)="25BH","BHARAT",IF(LEFT(I300,4)="JK12","POONCH",IF(LEFT(I300,4)="JK18","KULGAM",IF(LEFT(I300,4)="JK22","SHOPIAN",IF(LEFT(I300,4)="T102","TEMP",IF(LEFT(I300,4)="JK09","KUPWARA",IF(LEFT(I300,4)="JK15","BANDIPORA",IF(LEFT(I300,4)="T112","KARGIL","NEW")))))))))))))</f>
        <v>BARAMULLA</v>
      </c>
      <c r="I300" s="47" t="s">
        <v>7775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8168</v>
      </c>
      <c r="R300" s="47"/>
    </row>
    <row r="301" spans="1:18" x14ac:dyDescent="0.25">
      <c r="A301" s="47">
        <f t="shared" si="14"/>
        <v>300</v>
      </c>
      <c r="B301" s="47" t="s">
        <v>7512</v>
      </c>
      <c r="C301" s="47" t="s">
        <v>7513</v>
      </c>
      <c r="D301" s="47" t="s">
        <v>7514</v>
      </c>
      <c r="E301" s="47" t="s">
        <v>7515</v>
      </c>
      <c r="F301" s="47" t="s">
        <v>12</v>
      </c>
      <c r="G301" s="47" t="s">
        <v>181</v>
      </c>
      <c r="H301" s="47" t="str">
        <f t="shared" si="16"/>
        <v>PULWAMA</v>
      </c>
      <c r="I301" s="47" t="s">
        <v>7520</v>
      </c>
      <c r="J301" s="48">
        <v>46016</v>
      </c>
      <c r="K301" s="47">
        <v>8825024324</v>
      </c>
      <c r="L301" s="47" t="s">
        <v>6521</v>
      </c>
      <c r="M301" s="49" t="s">
        <v>8224</v>
      </c>
      <c r="N301" s="48"/>
      <c r="O301" s="47"/>
      <c r="P301" s="50"/>
      <c r="Q301" s="47"/>
      <c r="R301" s="47" t="s">
        <v>7522</v>
      </c>
    </row>
    <row r="302" spans="1:18" x14ac:dyDescent="0.25">
      <c r="A302" s="47">
        <f t="shared" si="14"/>
        <v>301</v>
      </c>
      <c r="B302" s="47" t="s">
        <v>7787</v>
      </c>
      <c r="C302" s="47" t="s">
        <v>7788</v>
      </c>
      <c r="D302" s="47" t="s">
        <v>7789</v>
      </c>
      <c r="E302" s="47" t="s">
        <v>7790</v>
      </c>
      <c r="F302" s="47" t="s">
        <v>250</v>
      </c>
      <c r="G302" s="47" t="s">
        <v>175</v>
      </c>
      <c r="H302" s="47" t="str">
        <f t="shared" si="16"/>
        <v>SRINAGAR</v>
      </c>
      <c r="I302" s="47" t="s">
        <v>7795</v>
      </c>
      <c r="J302" s="48">
        <v>46022</v>
      </c>
      <c r="K302" s="47">
        <v>9419070393</v>
      </c>
      <c r="L302" s="47" t="s">
        <v>75</v>
      </c>
      <c r="M302" s="49" t="s">
        <v>7895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4"/>
        <v>302</v>
      </c>
      <c r="B303" s="47" t="s">
        <v>7794</v>
      </c>
      <c r="C303" s="47" t="s">
        <v>7791</v>
      </c>
      <c r="D303" s="47" t="s">
        <v>7792</v>
      </c>
      <c r="E303" s="47" t="s">
        <v>7793</v>
      </c>
      <c r="F303" s="47" t="s">
        <v>100</v>
      </c>
      <c r="G303" s="47" t="s">
        <v>200</v>
      </c>
      <c r="H303" s="47" t="str">
        <f t="shared" si="16"/>
        <v>BUDGAM</v>
      </c>
      <c r="I303" s="55" t="s">
        <v>7848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14"/>
        <v>303</v>
      </c>
      <c r="B304" s="47" t="s">
        <v>7744</v>
      </c>
      <c r="C304" s="47" t="s">
        <v>7745</v>
      </c>
      <c r="D304" s="47" t="s">
        <v>7747</v>
      </c>
      <c r="E304" s="47" t="s">
        <v>7746</v>
      </c>
      <c r="F304" s="47" t="s">
        <v>67</v>
      </c>
      <c r="G304" s="47" t="s">
        <v>199</v>
      </c>
      <c r="H304" s="47" t="str">
        <f t="shared" si="16"/>
        <v>PULWAMA</v>
      </c>
      <c r="I304" s="47" t="s">
        <v>7752</v>
      </c>
      <c r="J304" s="48">
        <v>46021</v>
      </c>
      <c r="K304" s="47">
        <v>8493950437</v>
      </c>
      <c r="L304" s="47" t="s">
        <v>6521</v>
      </c>
      <c r="M304" s="49"/>
      <c r="N304" s="48"/>
      <c r="O304" s="47"/>
      <c r="P304" s="50"/>
      <c r="Q304" s="47"/>
      <c r="R304" s="47" t="s">
        <v>7769</v>
      </c>
    </row>
    <row r="305" spans="1:18" x14ac:dyDescent="0.25">
      <c r="A305" s="47">
        <f t="shared" si="14"/>
        <v>304</v>
      </c>
      <c r="B305" s="47" t="s">
        <v>7803</v>
      </c>
      <c r="C305" s="47" t="s">
        <v>7800</v>
      </c>
      <c r="D305" s="47" t="s">
        <v>7802</v>
      </c>
      <c r="E305" s="47" t="s">
        <v>7801</v>
      </c>
      <c r="F305" s="47" t="s">
        <v>119</v>
      </c>
      <c r="G305" s="47" t="s">
        <v>221</v>
      </c>
      <c r="H305" s="47" t="str">
        <f t="shared" si="16"/>
        <v>BUDGAM</v>
      </c>
      <c r="I305" s="47" t="s">
        <v>7811</v>
      </c>
      <c r="J305" s="48">
        <v>46022</v>
      </c>
      <c r="K305" s="47">
        <v>9596102065</v>
      </c>
      <c r="L305" s="47" t="s">
        <v>110</v>
      </c>
      <c r="M305" s="49" t="s">
        <v>8231</v>
      </c>
      <c r="N305" s="48">
        <v>46031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4"/>
        <v>305</v>
      </c>
      <c r="B306" s="47" t="s">
        <v>7807</v>
      </c>
      <c r="C306" s="47" t="s">
        <v>7804</v>
      </c>
      <c r="D306" s="47" t="s">
        <v>7805</v>
      </c>
      <c r="E306" s="47" t="s">
        <v>7806</v>
      </c>
      <c r="F306" s="47" t="s">
        <v>6830</v>
      </c>
      <c r="G306" s="47" t="s">
        <v>226</v>
      </c>
      <c r="H306" s="47" t="str">
        <f t="shared" si="16"/>
        <v>BUDGAM</v>
      </c>
      <c r="I306" s="47" t="s">
        <v>7812</v>
      </c>
      <c r="J306" s="48">
        <v>46022</v>
      </c>
      <c r="K306" s="47">
        <v>7889324122</v>
      </c>
      <c r="L306" s="47" t="s">
        <v>110</v>
      </c>
      <c r="M306" s="49" t="s">
        <v>7776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4"/>
        <v>306</v>
      </c>
      <c r="B307" s="47" t="s">
        <v>7821</v>
      </c>
      <c r="C307" s="47" t="s">
        <v>7818</v>
      </c>
      <c r="D307" s="47" t="s">
        <v>7819</v>
      </c>
      <c r="E307" s="47" t="s">
        <v>7820</v>
      </c>
      <c r="F307" s="47" t="s">
        <v>119</v>
      </c>
      <c r="G307" s="47" t="s">
        <v>200</v>
      </c>
      <c r="H307" s="47" t="str">
        <f t="shared" si="16"/>
        <v>BUDGAM</v>
      </c>
      <c r="I307" s="55" t="s">
        <v>7847</v>
      </c>
      <c r="J307" s="48">
        <v>46023</v>
      </c>
      <c r="K307" s="47">
        <v>7006000499</v>
      </c>
      <c r="L307" s="47" t="s">
        <v>106</v>
      </c>
      <c r="M307" s="49" t="s">
        <v>7602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14"/>
        <v>307</v>
      </c>
      <c r="B308" s="47" t="s">
        <v>7826</v>
      </c>
      <c r="C308" s="47" t="s">
        <v>7823</v>
      </c>
      <c r="D308" s="47" t="s">
        <v>7824</v>
      </c>
      <c r="E308" s="47" t="s">
        <v>7825</v>
      </c>
      <c r="F308" s="47" t="s">
        <v>119</v>
      </c>
      <c r="G308" s="47" t="s">
        <v>200</v>
      </c>
      <c r="H308" s="47" t="str">
        <f t="shared" si="16"/>
        <v>SRINAGAR</v>
      </c>
      <c r="I308" s="55" t="s">
        <v>7849</v>
      </c>
      <c r="J308" s="48">
        <v>46023</v>
      </c>
      <c r="K308" s="47">
        <v>9469001234</v>
      </c>
      <c r="L308" s="47" t="s">
        <v>110</v>
      </c>
      <c r="M308" s="49"/>
      <c r="N308" s="48"/>
      <c r="O308" s="47"/>
      <c r="P308" s="50"/>
      <c r="Q308" s="47"/>
      <c r="R308" s="47"/>
    </row>
    <row r="309" spans="1:18" x14ac:dyDescent="0.25">
      <c r="A309" s="47">
        <f t="shared" si="14"/>
        <v>308</v>
      </c>
      <c r="B309" s="47" t="s">
        <v>7827</v>
      </c>
      <c r="C309" s="47" t="s">
        <v>7828</v>
      </c>
      <c r="D309" s="47" t="s">
        <v>7829</v>
      </c>
      <c r="E309" s="47" t="s">
        <v>7830</v>
      </c>
      <c r="F309" s="47" t="s">
        <v>100</v>
      </c>
      <c r="G309" s="47" t="s">
        <v>200</v>
      </c>
      <c r="H309" s="47" t="str">
        <f t="shared" si="16"/>
        <v>SRINAGAR</v>
      </c>
      <c r="I309" s="55" t="s">
        <v>7850</v>
      </c>
      <c r="J309" s="48">
        <v>46023</v>
      </c>
      <c r="K309" s="47">
        <v>7006582052</v>
      </c>
      <c r="L309" s="47" t="s">
        <v>307</v>
      </c>
      <c r="M309" s="49" t="s">
        <v>7776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14"/>
        <v>309</v>
      </c>
      <c r="B310" s="47" t="s">
        <v>7834</v>
      </c>
      <c r="C310" s="47" t="s">
        <v>7831</v>
      </c>
      <c r="D310" s="47" t="s">
        <v>7832</v>
      </c>
      <c r="E310" s="47" t="s">
        <v>7833</v>
      </c>
      <c r="F310" s="47" t="s">
        <v>290</v>
      </c>
      <c r="G310" s="47" t="s">
        <v>200</v>
      </c>
      <c r="H310" s="47" t="str">
        <f t="shared" si="16"/>
        <v>SRINAGAR</v>
      </c>
      <c r="I310" s="55" t="s">
        <v>7851</v>
      </c>
      <c r="J310" s="48">
        <v>46023</v>
      </c>
      <c r="K310" s="47">
        <v>9906405123</v>
      </c>
      <c r="L310" s="47" t="s">
        <v>2248</v>
      </c>
      <c r="M310" s="49" t="s">
        <v>8165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 t="shared" si="14"/>
        <v>310</v>
      </c>
      <c r="B311" s="47" t="s">
        <v>7835</v>
      </c>
      <c r="C311" s="47" t="s">
        <v>7836</v>
      </c>
      <c r="D311" s="47" t="s">
        <v>7837</v>
      </c>
      <c r="E311" s="47" t="s">
        <v>7838</v>
      </c>
      <c r="F311" s="47" t="s">
        <v>12</v>
      </c>
      <c r="G311" s="47" t="s">
        <v>200</v>
      </c>
      <c r="H311" s="47" t="str">
        <f t="shared" si="16"/>
        <v>BUDGAM</v>
      </c>
      <c r="I311" s="55" t="s">
        <v>7846</v>
      </c>
      <c r="J311" s="48">
        <v>46023</v>
      </c>
      <c r="K311" s="47">
        <v>7006016383</v>
      </c>
      <c r="L311" s="47" t="s">
        <v>307</v>
      </c>
      <c r="M311" s="49" t="s">
        <v>8094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 t="shared" si="14"/>
        <v>311</v>
      </c>
      <c r="B312" s="47" t="s">
        <v>7839</v>
      </c>
      <c r="C312" s="47" t="s">
        <v>7840</v>
      </c>
      <c r="D312" s="47" t="s">
        <v>7841</v>
      </c>
      <c r="E312" s="47" t="s">
        <v>7842</v>
      </c>
      <c r="F312" s="47" t="s">
        <v>31</v>
      </c>
      <c r="G312" s="47" t="s">
        <v>200</v>
      </c>
      <c r="H312" s="47" t="str">
        <f t="shared" si="16"/>
        <v>KULGAM</v>
      </c>
      <c r="I312" s="55" t="s">
        <v>7860</v>
      </c>
      <c r="J312" s="48">
        <v>46023</v>
      </c>
      <c r="K312" s="47">
        <v>7006176206</v>
      </c>
      <c r="L312" s="47" t="s">
        <v>6570</v>
      </c>
      <c r="M312" s="49"/>
      <c r="N312" s="48"/>
      <c r="O312" s="47"/>
      <c r="P312" s="50"/>
      <c r="Q312" s="47"/>
      <c r="R312" s="47"/>
    </row>
    <row r="313" spans="1:18" x14ac:dyDescent="0.25">
      <c r="A313" s="47">
        <f t="shared" si="14"/>
        <v>312</v>
      </c>
      <c r="B313" s="47" t="s">
        <v>7843</v>
      </c>
      <c r="C313" s="47" t="s">
        <v>7844</v>
      </c>
      <c r="D313" s="47" t="s">
        <v>7845</v>
      </c>
      <c r="E313" s="47" t="s">
        <v>2915</v>
      </c>
      <c r="F313" s="47" t="s">
        <v>193</v>
      </c>
      <c r="G313" s="47" t="s">
        <v>6440</v>
      </c>
      <c r="H313" s="47" t="str">
        <f t="shared" si="16"/>
        <v>SRINAGAR</v>
      </c>
      <c r="I313" s="55" t="s">
        <v>7862</v>
      </c>
      <c r="J313" s="48">
        <v>46023</v>
      </c>
      <c r="K313" s="47">
        <v>9596187640</v>
      </c>
      <c r="L313" s="47" t="s">
        <v>48</v>
      </c>
      <c r="M313" s="49" t="s">
        <v>7774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 t="shared" si="14"/>
        <v>313</v>
      </c>
      <c r="B314" s="47" t="s">
        <v>7852</v>
      </c>
      <c r="C314" s="47" t="s">
        <v>7853</v>
      </c>
      <c r="D314" s="47" t="s">
        <v>7854</v>
      </c>
      <c r="E314" s="47" t="s">
        <v>7855</v>
      </c>
      <c r="F314" s="47" t="s">
        <v>7856</v>
      </c>
      <c r="G314" s="47" t="s">
        <v>181</v>
      </c>
      <c r="H314" s="47" t="str">
        <f t="shared" si="16"/>
        <v>SRINAGAR</v>
      </c>
      <c r="I314" s="55" t="s">
        <v>7861</v>
      </c>
      <c r="J314" s="48">
        <v>46023</v>
      </c>
      <c r="K314" s="47">
        <v>9622459354</v>
      </c>
      <c r="L314" s="47" t="s">
        <v>75</v>
      </c>
      <c r="M314" s="49" t="s">
        <v>7456</v>
      </c>
      <c r="N314" s="48">
        <v>46030</v>
      </c>
      <c r="O314" s="47" t="s">
        <v>23</v>
      </c>
      <c r="P314" s="50">
        <v>46028</v>
      </c>
      <c r="Q314" s="47" t="s">
        <v>6460</v>
      </c>
      <c r="R314" s="47"/>
    </row>
    <row r="315" spans="1:18" x14ac:dyDescent="0.25">
      <c r="A315" s="47">
        <f t="shared" si="14"/>
        <v>314</v>
      </c>
      <c r="B315" s="47" t="s">
        <v>7857</v>
      </c>
      <c r="C315" s="47" t="s">
        <v>7858</v>
      </c>
      <c r="D315" s="47" t="s">
        <v>7859</v>
      </c>
      <c r="E315" s="47" t="s">
        <v>2841</v>
      </c>
      <c r="F315" s="47" t="s">
        <v>119</v>
      </c>
      <c r="G315" s="47" t="s">
        <v>200</v>
      </c>
      <c r="H315" s="47" t="str">
        <f t="shared" si="16"/>
        <v>BARAMULLA</v>
      </c>
      <c r="I315" s="55" t="s">
        <v>7867</v>
      </c>
      <c r="J315" s="48">
        <v>46023</v>
      </c>
      <c r="K315" s="47">
        <v>7006960324</v>
      </c>
      <c r="L315" s="47" t="s">
        <v>6683</v>
      </c>
      <c r="M315" s="49"/>
      <c r="N315" s="48"/>
      <c r="O315" s="47" t="s">
        <v>23</v>
      </c>
      <c r="P315" s="50">
        <v>46029</v>
      </c>
      <c r="Q315" s="51" t="s">
        <v>6460</v>
      </c>
      <c r="R315" s="47"/>
    </row>
    <row r="316" spans="1:18" x14ac:dyDescent="0.25">
      <c r="A316" s="47">
        <f t="shared" si="14"/>
        <v>315</v>
      </c>
      <c r="B316" s="47" t="s">
        <v>7863</v>
      </c>
      <c r="C316" s="47" t="s">
        <v>7864</v>
      </c>
      <c r="D316" s="47" t="s">
        <v>7865</v>
      </c>
      <c r="E316" s="47" t="s">
        <v>7866</v>
      </c>
      <c r="F316" s="47" t="s">
        <v>12</v>
      </c>
      <c r="G316" s="47" t="s">
        <v>200</v>
      </c>
      <c r="H316" s="47" t="str">
        <f t="shared" si="16"/>
        <v>BARAMULLA</v>
      </c>
      <c r="I316" s="55" t="s">
        <v>7868</v>
      </c>
      <c r="J316" s="48">
        <v>46023</v>
      </c>
      <c r="K316" s="47">
        <v>9906759399</v>
      </c>
      <c r="L316" s="47" t="s">
        <v>6683</v>
      </c>
      <c r="M316" s="49"/>
      <c r="N316" s="48"/>
      <c r="O316" s="47" t="s">
        <v>23</v>
      </c>
      <c r="P316" s="50">
        <v>46029</v>
      </c>
      <c r="Q316" s="47" t="s">
        <v>6460</v>
      </c>
      <c r="R316" s="47"/>
    </row>
    <row r="317" spans="1:18" x14ac:dyDescent="0.25">
      <c r="A317" s="47">
        <f t="shared" si="14"/>
        <v>316</v>
      </c>
      <c r="B317" s="47" t="s">
        <v>7869</v>
      </c>
      <c r="C317" s="47" t="s">
        <v>7870</v>
      </c>
      <c r="D317" s="47" t="s">
        <v>7871</v>
      </c>
      <c r="E317" s="47" t="s">
        <v>7872</v>
      </c>
      <c r="F317" s="47" t="s">
        <v>119</v>
      </c>
      <c r="G317" s="47" t="s">
        <v>174</v>
      </c>
      <c r="H317" s="47" t="str">
        <f t="shared" si="16"/>
        <v>BUDGAM</v>
      </c>
      <c r="I317" s="55" t="s">
        <v>7880</v>
      </c>
      <c r="J317" s="48">
        <v>46023</v>
      </c>
      <c r="K317" s="47">
        <v>9596167274</v>
      </c>
      <c r="L317" s="47" t="s">
        <v>7873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4"/>
        <v>317</v>
      </c>
      <c r="B318" s="47" t="s">
        <v>7874</v>
      </c>
      <c r="C318" s="47" t="s">
        <v>7884</v>
      </c>
      <c r="D318" s="47" t="s">
        <v>7885</v>
      </c>
      <c r="E318" s="47" t="s">
        <v>7886</v>
      </c>
      <c r="F318" s="47" t="s">
        <v>31</v>
      </c>
      <c r="G318" s="47" t="s">
        <v>199</v>
      </c>
      <c r="H318" s="47" t="str">
        <f t="shared" si="16"/>
        <v>BUDGAM</v>
      </c>
      <c r="I318" s="47" t="s">
        <v>7879</v>
      </c>
      <c r="J318" s="48">
        <v>46023</v>
      </c>
      <c r="K318" s="47">
        <v>8082623899</v>
      </c>
      <c r="L318" s="47" t="s">
        <v>48</v>
      </c>
      <c r="M318" s="49" t="s">
        <v>7774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 t="shared" si="14"/>
        <v>318</v>
      </c>
      <c r="B319" s="47" t="s">
        <v>7875</v>
      </c>
      <c r="C319" s="47" t="s">
        <v>7876</v>
      </c>
      <c r="D319" s="47" t="s">
        <v>7877</v>
      </c>
      <c r="E319" s="47" t="s">
        <v>7878</v>
      </c>
      <c r="F319" s="47" t="s">
        <v>12</v>
      </c>
      <c r="G319" s="47" t="s">
        <v>181</v>
      </c>
      <c r="H319" s="47" t="str">
        <f t="shared" si="16"/>
        <v>SRINAGAR</v>
      </c>
      <c r="I319" s="47" t="s">
        <v>7892</v>
      </c>
      <c r="J319" s="48">
        <v>46023</v>
      </c>
      <c r="K319" s="47">
        <v>7889588496</v>
      </c>
      <c r="L319" s="47" t="s">
        <v>7015</v>
      </c>
      <c r="M319" s="49" t="s">
        <v>7774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4"/>
        <v>319</v>
      </c>
      <c r="B320" s="47" t="s">
        <v>7888</v>
      </c>
      <c r="C320" s="47" t="s">
        <v>7881</v>
      </c>
      <c r="D320" s="47" t="s">
        <v>7882</v>
      </c>
      <c r="E320" s="47" t="s">
        <v>7883</v>
      </c>
      <c r="F320" s="47" t="s">
        <v>290</v>
      </c>
      <c r="G320" s="47" t="s">
        <v>200</v>
      </c>
      <c r="H320" s="47" t="str">
        <f t="shared" si="16"/>
        <v>SRINAGAR</v>
      </c>
      <c r="I320" s="47" t="s">
        <v>7893</v>
      </c>
      <c r="J320" s="48">
        <v>46023</v>
      </c>
      <c r="K320" s="47">
        <v>7006759527</v>
      </c>
      <c r="L320" s="47" t="s">
        <v>7015</v>
      </c>
      <c r="M320" s="49"/>
      <c r="N320" s="48"/>
      <c r="O320" s="47"/>
      <c r="P320" s="50"/>
      <c r="Q320" s="47"/>
      <c r="R320" s="47" t="s">
        <v>7942</v>
      </c>
    </row>
    <row r="321" spans="1:18" x14ac:dyDescent="0.25">
      <c r="A321" s="47">
        <f t="shared" si="14"/>
        <v>320</v>
      </c>
      <c r="B321" s="47" t="s">
        <v>7887</v>
      </c>
      <c r="C321" s="47" t="s">
        <v>7889</v>
      </c>
      <c r="D321" s="47" t="s">
        <v>7890</v>
      </c>
      <c r="E321" s="47" t="s">
        <v>7891</v>
      </c>
      <c r="F321" s="47" t="s">
        <v>633</v>
      </c>
      <c r="G321" s="47" t="s">
        <v>199</v>
      </c>
      <c r="H321" s="47" t="str">
        <f t="shared" si="16"/>
        <v>SRINAGAR</v>
      </c>
      <c r="I321" s="47" t="s">
        <v>7894</v>
      </c>
      <c r="J321" s="48">
        <v>46023</v>
      </c>
      <c r="K321" s="47">
        <v>7006616090</v>
      </c>
      <c r="L321" s="47" t="s">
        <v>2248</v>
      </c>
      <c r="M321" s="49" t="s">
        <v>8165</v>
      </c>
      <c r="N321" s="48">
        <v>46029</v>
      </c>
      <c r="O321" s="47" t="s">
        <v>23</v>
      </c>
      <c r="P321" s="50">
        <v>46028</v>
      </c>
      <c r="Q321" s="47" t="s">
        <v>6460</v>
      </c>
      <c r="R321" s="47"/>
    </row>
    <row r="322" spans="1:18" x14ac:dyDescent="0.25">
      <c r="A322" s="47">
        <f t="shared" si="14"/>
        <v>321</v>
      </c>
      <c r="B322" s="47" t="s">
        <v>7898</v>
      </c>
      <c r="C322" s="47" t="s">
        <v>7896</v>
      </c>
      <c r="D322" s="47" t="s">
        <v>7897</v>
      </c>
      <c r="E322" s="47" t="s">
        <v>658</v>
      </c>
      <c r="F322" s="47" t="s">
        <v>119</v>
      </c>
      <c r="G322" s="47" t="s">
        <v>174</v>
      </c>
      <c r="H322" s="47" t="str">
        <f t="shared" si="16"/>
        <v>BARAMULLA</v>
      </c>
      <c r="I322" s="47" t="s">
        <v>7927</v>
      </c>
      <c r="J322" s="48">
        <v>46024</v>
      </c>
      <c r="K322" s="47">
        <v>7006898324</v>
      </c>
      <c r="L322" s="47" t="s">
        <v>2172</v>
      </c>
      <c r="M322" s="49"/>
      <c r="N322" s="48"/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4"/>
        <v>322</v>
      </c>
      <c r="B323" s="47" t="s">
        <v>7902</v>
      </c>
      <c r="C323" s="47" t="s">
        <v>7899</v>
      </c>
      <c r="D323" s="47" t="s">
        <v>7900</v>
      </c>
      <c r="E323" s="47" t="s">
        <v>7901</v>
      </c>
      <c r="F323" s="47" t="s">
        <v>119</v>
      </c>
      <c r="G323" s="47" t="s">
        <v>200</v>
      </c>
      <c r="H323" s="47" t="str">
        <f t="shared" si="16"/>
        <v>SRINAGAR</v>
      </c>
      <c r="I323" s="47" t="s">
        <v>7924</v>
      </c>
      <c r="J323" s="48">
        <v>46024</v>
      </c>
      <c r="K323" s="47">
        <v>9149638830</v>
      </c>
      <c r="L323" s="47" t="s">
        <v>2248</v>
      </c>
      <c r="M323" s="49" t="s">
        <v>8165</v>
      </c>
      <c r="N323" s="48">
        <v>46029</v>
      </c>
      <c r="O323" s="47" t="s">
        <v>23</v>
      </c>
      <c r="P323" s="50">
        <v>46029</v>
      </c>
      <c r="Q323" s="47" t="s">
        <v>8168</v>
      </c>
      <c r="R323" s="47"/>
    </row>
    <row r="324" spans="1:18" x14ac:dyDescent="0.25">
      <c r="A324" s="47">
        <f t="shared" si="14"/>
        <v>323</v>
      </c>
      <c r="B324" s="47" t="s">
        <v>7903</v>
      </c>
      <c r="C324" s="47" t="s">
        <v>7920</v>
      </c>
      <c r="D324" s="47" t="s">
        <v>7921</v>
      </c>
      <c r="E324" s="47" t="s">
        <v>7922</v>
      </c>
      <c r="F324" s="47" t="s">
        <v>5</v>
      </c>
      <c r="G324" s="47" t="s">
        <v>199</v>
      </c>
      <c r="H324" s="47" t="str">
        <f t="shared" si="16"/>
        <v>BANDIPORA</v>
      </c>
      <c r="I324" s="47" t="s">
        <v>7923</v>
      </c>
      <c r="J324" s="48">
        <v>46024</v>
      </c>
      <c r="K324" s="47">
        <v>9906605048</v>
      </c>
      <c r="L324" s="47" t="s">
        <v>307</v>
      </c>
      <c r="M324" s="49" t="s">
        <v>8094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 t="shared" si="14"/>
        <v>324</v>
      </c>
      <c r="B325" s="47" t="s">
        <v>7904</v>
      </c>
      <c r="C325" s="47" t="s">
        <v>7905</v>
      </c>
      <c r="D325" s="47" t="s">
        <v>7906</v>
      </c>
      <c r="E325" s="47" t="s">
        <v>7907</v>
      </c>
      <c r="F325" s="47" t="s">
        <v>100</v>
      </c>
      <c r="G325" s="47" t="s">
        <v>200</v>
      </c>
      <c r="H325" s="47" t="str">
        <f t="shared" si="16"/>
        <v>SRINAGAR</v>
      </c>
      <c r="I325" s="47" t="s">
        <v>7926</v>
      </c>
      <c r="J325" s="48">
        <v>46024</v>
      </c>
      <c r="K325" s="47">
        <v>9906473272</v>
      </c>
      <c r="L325" s="47" t="s">
        <v>70</v>
      </c>
      <c r="M325" s="49"/>
      <c r="N325" s="48"/>
      <c r="O325" s="47"/>
      <c r="P325" s="50"/>
      <c r="Q325" s="47"/>
      <c r="R325" s="47"/>
    </row>
    <row r="326" spans="1:18" x14ac:dyDescent="0.25">
      <c r="A326" s="47">
        <f t="shared" si="14"/>
        <v>325</v>
      </c>
      <c r="B326" s="47" t="s">
        <v>7908</v>
      </c>
      <c r="C326" s="47" t="s">
        <v>7909</v>
      </c>
      <c r="D326" s="47" t="s">
        <v>7910</v>
      </c>
      <c r="E326" s="47" t="s">
        <v>7911</v>
      </c>
      <c r="F326" s="47" t="s">
        <v>119</v>
      </c>
      <c r="G326" s="47" t="s">
        <v>200</v>
      </c>
      <c r="H326" s="47" t="str">
        <f t="shared" si="16"/>
        <v>SRINAGAR</v>
      </c>
      <c r="I326" s="47" t="s">
        <v>7925</v>
      </c>
      <c r="J326" s="48">
        <v>46024</v>
      </c>
      <c r="K326" s="47">
        <v>9906786675</v>
      </c>
      <c r="L326" s="47" t="s">
        <v>70</v>
      </c>
      <c r="M326" s="49" t="s">
        <v>7618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 t="shared" si="14"/>
        <v>326</v>
      </c>
      <c r="B327" s="47" t="s">
        <v>7912</v>
      </c>
      <c r="C327" s="47" t="s">
        <v>7913</v>
      </c>
      <c r="D327" s="47" t="s">
        <v>7914</v>
      </c>
      <c r="E327" s="47" t="s">
        <v>7915</v>
      </c>
      <c r="F327" s="47" t="s">
        <v>486</v>
      </c>
      <c r="G327" s="47" t="s">
        <v>199</v>
      </c>
      <c r="H327" s="47" t="str">
        <f t="shared" si="16"/>
        <v>SHOPIAN</v>
      </c>
      <c r="I327" s="47" t="s">
        <v>7956</v>
      </c>
      <c r="J327" s="48">
        <v>46024</v>
      </c>
      <c r="K327" s="47">
        <v>7780943149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si="14"/>
        <v>327</v>
      </c>
      <c r="B328" s="47" t="s">
        <v>7916</v>
      </c>
      <c r="C328" s="47" t="s">
        <v>7917</v>
      </c>
      <c r="D328" s="47" t="s">
        <v>7918</v>
      </c>
      <c r="E328" s="47" t="s">
        <v>7919</v>
      </c>
      <c r="F328" s="47" t="s">
        <v>119</v>
      </c>
      <c r="G328" s="47" t="s">
        <v>200</v>
      </c>
      <c r="H328" s="47" t="str">
        <f t="shared" si="16"/>
        <v>ANANTNAG</v>
      </c>
      <c r="I328" s="47" t="s">
        <v>8015</v>
      </c>
      <c r="J328" s="48">
        <v>46024</v>
      </c>
      <c r="K328" s="47">
        <v>9419813697</v>
      </c>
      <c r="L328" s="47" t="s">
        <v>138</v>
      </c>
      <c r="M328" s="49"/>
      <c r="N328" s="48"/>
      <c r="O328" s="47"/>
      <c r="P328" s="50"/>
      <c r="Q328" s="47"/>
      <c r="R328" s="47"/>
    </row>
    <row r="329" spans="1:18" x14ac:dyDescent="0.25">
      <c r="A329" s="47">
        <f t="shared" si="14"/>
        <v>328</v>
      </c>
      <c r="B329" s="47" t="s">
        <v>8042</v>
      </c>
      <c r="C329" s="47" t="s">
        <v>8040</v>
      </c>
      <c r="D329" s="47" t="s">
        <v>8041</v>
      </c>
      <c r="E329" s="47" t="s">
        <v>556</v>
      </c>
      <c r="F329" s="47" t="s">
        <v>119</v>
      </c>
      <c r="G329" s="47" t="s">
        <v>200</v>
      </c>
      <c r="H329" s="47" t="str">
        <f t="shared" si="16"/>
        <v>PULWAMA</v>
      </c>
      <c r="I329" s="47" t="s">
        <v>8083</v>
      </c>
      <c r="J329" s="48">
        <v>46027</v>
      </c>
      <c r="K329" s="47">
        <v>7780961447</v>
      </c>
      <c r="L329" s="47" t="s">
        <v>6521</v>
      </c>
      <c r="M329" s="49"/>
      <c r="N329" s="48"/>
      <c r="O329" s="47"/>
      <c r="P329" s="50"/>
      <c r="Q329" s="47"/>
      <c r="R329" s="47"/>
    </row>
    <row r="330" spans="1:18" x14ac:dyDescent="0.25">
      <c r="A330" s="47">
        <f t="shared" si="14"/>
        <v>329</v>
      </c>
      <c r="B330" s="47" t="s">
        <v>7935</v>
      </c>
      <c r="C330" s="47" t="s">
        <v>7931</v>
      </c>
      <c r="D330" s="47" t="s">
        <v>7932</v>
      </c>
      <c r="E330" s="47" t="s">
        <v>7933</v>
      </c>
      <c r="F330" s="47" t="s">
        <v>5</v>
      </c>
      <c r="G330" s="47" t="s">
        <v>200</v>
      </c>
      <c r="H330" s="47" t="str">
        <f t="shared" si="16"/>
        <v>SRINAGAR</v>
      </c>
      <c r="I330" s="47" t="s">
        <v>7934</v>
      </c>
      <c r="J330" s="48">
        <v>46024</v>
      </c>
      <c r="K330" s="47">
        <v>7006197341</v>
      </c>
      <c r="L330" s="47" t="s">
        <v>1126</v>
      </c>
      <c r="M330" s="49" t="s">
        <v>7776</v>
      </c>
      <c r="N330" s="48">
        <v>46028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 t="shared" si="14"/>
        <v>330</v>
      </c>
      <c r="B331" s="47" t="s">
        <v>7943</v>
      </c>
      <c r="C331" s="47" t="s">
        <v>7944</v>
      </c>
      <c r="D331" s="47" t="s">
        <v>7945</v>
      </c>
      <c r="E331" s="47" t="s">
        <v>7946</v>
      </c>
      <c r="F331" s="47" t="s">
        <v>12</v>
      </c>
      <c r="G331" s="47" t="s">
        <v>181</v>
      </c>
      <c r="H331" s="47" t="str">
        <f t="shared" si="16"/>
        <v>SRINAGAR</v>
      </c>
      <c r="I331" s="47" t="s">
        <v>7999</v>
      </c>
      <c r="J331" s="48">
        <v>46024</v>
      </c>
      <c r="K331" s="47">
        <v>9906730950</v>
      </c>
      <c r="L331" s="47" t="s">
        <v>194</v>
      </c>
      <c r="M331" s="49" t="s">
        <v>7596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4"/>
        <v>331</v>
      </c>
      <c r="B332" s="47" t="s">
        <v>7947</v>
      </c>
      <c r="C332" s="47" t="s">
        <v>7948</v>
      </c>
      <c r="D332" s="47" t="s">
        <v>7949</v>
      </c>
      <c r="E332" s="47" t="s">
        <v>7950</v>
      </c>
      <c r="F332" s="47" t="s">
        <v>31</v>
      </c>
      <c r="G332" s="47" t="s">
        <v>200</v>
      </c>
      <c r="H332" s="47" t="str">
        <f t="shared" ref="H332:H357" si="17">IF(LEFT(I332,4)="JK13","PULWAMA",IF(LEFT(I332,4)="JK01","SRINAGAR",IF(LEFT(I332,4)="JK04","BUDGAM",IF(LEFT(I332,4)="JK03","ANANTNAG",IF(LEFT(I332,4)="JK05","BARAMULLA",IF(LEFT(I332,4)="25BH","BHARAT",IF(LEFT(I332,4)="JK12","POONCH",IF(LEFT(I332,4)="JK18","KULGAM",IF(LEFT(I332,4)="JK22","SHOPIAN",IF(LEFT(I332,4)="T102","TEMP",IF(LEFT(I332,4)="JK09","KUPWARA",IF(LEFT(I332,4)="JK15","BANDIPORA",IF(LEFT(I332,4)="T112","KARGIL","NEW")))))))))))))</f>
        <v>SRINAGAR</v>
      </c>
      <c r="I332" s="47" t="s">
        <v>8016</v>
      </c>
      <c r="J332" s="48">
        <v>46024</v>
      </c>
      <c r="K332" s="47">
        <v>9419004025</v>
      </c>
      <c r="L332" s="47" t="s">
        <v>6833</v>
      </c>
      <c r="M332" s="49"/>
      <c r="N332" s="48"/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 t="shared" si="14"/>
        <v>332</v>
      </c>
      <c r="B333" s="47" t="s">
        <v>7951</v>
      </c>
      <c r="C333" s="47" t="s">
        <v>7952</v>
      </c>
      <c r="D333" s="47" t="s">
        <v>7953</v>
      </c>
      <c r="E333" s="47" t="s">
        <v>7954</v>
      </c>
      <c r="F333" s="47" t="s">
        <v>5</v>
      </c>
      <c r="G333" s="47" t="s">
        <v>199</v>
      </c>
      <c r="H333" s="47" t="str">
        <f t="shared" si="17"/>
        <v>SHOPIAN</v>
      </c>
      <c r="I333" s="48" t="s">
        <v>8014</v>
      </c>
      <c r="J333" s="48">
        <v>46025</v>
      </c>
      <c r="K333" s="47">
        <v>7006820710</v>
      </c>
      <c r="L333" s="47" t="s">
        <v>6570</v>
      </c>
      <c r="M333" s="49"/>
      <c r="N333" s="48"/>
      <c r="O333" s="47"/>
      <c r="P333" s="50"/>
      <c r="Q333" s="47"/>
      <c r="R333" s="47"/>
    </row>
    <row r="334" spans="1:18" x14ac:dyDescent="0.25">
      <c r="A334" s="47">
        <f t="shared" si="14"/>
        <v>333</v>
      </c>
      <c r="B334" s="47" t="s">
        <v>7962</v>
      </c>
      <c r="C334" s="47" t="s">
        <v>7957</v>
      </c>
      <c r="D334" s="47" t="s">
        <v>7958</v>
      </c>
      <c r="E334" s="47" t="s">
        <v>7959</v>
      </c>
      <c r="F334" s="47" t="s">
        <v>119</v>
      </c>
      <c r="G334" s="47" t="s">
        <v>200</v>
      </c>
      <c r="H334" s="47" t="str">
        <f t="shared" si="17"/>
        <v>PULWAMA</v>
      </c>
      <c r="I334" s="47" t="s">
        <v>7961</v>
      </c>
      <c r="J334" s="48">
        <v>46025</v>
      </c>
      <c r="K334" s="47">
        <v>9682505719</v>
      </c>
      <c r="L334" s="47" t="s">
        <v>7960</v>
      </c>
      <c r="M334" s="49"/>
      <c r="N334" s="48"/>
      <c r="O334" s="47"/>
      <c r="P334" s="50"/>
      <c r="Q334" s="47"/>
      <c r="R334" s="47"/>
    </row>
    <row r="335" spans="1:18" x14ac:dyDescent="0.25">
      <c r="A335" s="47">
        <f t="shared" si="14"/>
        <v>334</v>
      </c>
      <c r="B335" s="47" t="s">
        <v>8059</v>
      </c>
      <c r="C335" s="47" t="s">
        <v>8056</v>
      </c>
      <c r="D335" s="47" t="s">
        <v>8057</v>
      </c>
      <c r="E335" s="47" t="s">
        <v>8058</v>
      </c>
      <c r="F335" s="47" t="s">
        <v>12</v>
      </c>
      <c r="G335" s="47" t="s">
        <v>200</v>
      </c>
      <c r="H335" s="47" t="str">
        <f t="shared" si="17"/>
        <v>PULWAMA</v>
      </c>
      <c r="I335" s="47" t="s">
        <v>8084</v>
      </c>
      <c r="J335" s="48">
        <v>46027</v>
      </c>
      <c r="K335" s="47">
        <v>7298487838</v>
      </c>
      <c r="L335" s="47" t="s">
        <v>6521</v>
      </c>
      <c r="M335" s="49"/>
      <c r="N335" s="48"/>
      <c r="O335" s="47"/>
      <c r="P335" s="50"/>
      <c r="Q335" s="47"/>
      <c r="R335" s="47"/>
    </row>
    <row r="336" spans="1:18" x14ac:dyDescent="0.25">
      <c r="A336" s="47">
        <f t="shared" si="14"/>
        <v>335</v>
      </c>
      <c r="B336" s="47" t="s">
        <v>7971</v>
      </c>
      <c r="C336" s="47" t="s">
        <v>7968</v>
      </c>
      <c r="D336" s="47" t="s">
        <v>7969</v>
      </c>
      <c r="E336" s="47" t="s">
        <v>7970</v>
      </c>
      <c r="F336" s="47" t="s">
        <v>5</v>
      </c>
      <c r="G336" s="47" t="s">
        <v>199</v>
      </c>
      <c r="H336" s="47" t="str">
        <f t="shared" si="17"/>
        <v>SHOPIAN</v>
      </c>
      <c r="I336" s="47" t="s">
        <v>7977</v>
      </c>
      <c r="J336" s="48">
        <v>46025</v>
      </c>
      <c r="K336" s="47">
        <v>9103275011</v>
      </c>
      <c r="L336" s="47" t="s">
        <v>6570</v>
      </c>
      <c r="M336" s="49"/>
      <c r="N336" s="48"/>
      <c r="O336" s="47"/>
      <c r="P336" s="50"/>
      <c r="Q336" s="47"/>
      <c r="R336" s="47"/>
    </row>
    <row r="337" spans="1:18" x14ac:dyDescent="0.25">
      <c r="A337" s="47">
        <f t="shared" si="14"/>
        <v>336</v>
      </c>
      <c r="B337" s="47" t="s">
        <v>7978</v>
      </c>
      <c r="C337" s="47" t="s">
        <v>7972</v>
      </c>
      <c r="D337" s="47" t="s">
        <v>7973</v>
      </c>
      <c r="E337" s="47" t="s">
        <v>7974</v>
      </c>
      <c r="F337" s="47" t="s">
        <v>7975</v>
      </c>
      <c r="G337" s="47" t="s">
        <v>200</v>
      </c>
      <c r="H337" s="47" t="str">
        <f t="shared" si="17"/>
        <v>SRINAGAR</v>
      </c>
      <c r="I337" s="47" t="s">
        <v>7976</v>
      </c>
      <c r="J337" s="48">
        <v>46025</v>
      </c>
      <c r="K337" s="47">
        <v>9149592772</v>
      </c>
      <c r="L337" s="47" t="s">
        <v>194</v>
      </c>
      <c r="M337" s="49" t="s">
        <v>7596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4"/>
        <v>337</v>
      </c>
      <c r="B338" s="47" t="s">
        <v>7982</v>
      </c>
      <c r="C338" s="47" t="s">
        <v>7979</v>
      </c>
      <c r="D338" s="47" t="s">
        <v>7980</v>
      </c>
      <c r="E338" s="47" t="s">
        <v>7981</v>
      </c>
      <c r="F338" s="47" t="s">
        <v>290</v>
      </c>
      <c r="G338" s="47" t="s">
        <v>200</v>
      </c>
      <c r="H338" s="47" t="str">
        <f t="shared" si="17"/>
        <v>SRINAGAR</v>
      </c>
      <c r="I338" s="47" t="s">
        <v>7983</v>
      </c>
      <c r="J338" s="48">
        <v>46025</v>
      </c>
      <c r="K338" s="47">
        <v>9149592772</v>
      </c>
      <c r="L338" s="47" t="s">
        <v>48</v>
      </c>
      <c r="M338" s="49" t="s">
        <v>7774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 t="shared" si="14"/>
        <v>338</v>
      </c>
      <c r="B339" s="47" t="s">
        <v>7986</v>
      </c>
      <c r="C339" s="47" t="s">
        <v>7984</v>
      </c>
      <c r="D339" s="47" t="s">
        <v>7985</v>
      </c>
      <c r="E339" s="47" t="s">
        <v>4284</v>
      </c>
      <c r="F339" s="47" t="s">
        <v>193</v>
      </c>
      <c r="G339" s="47" t="s">
        <v>199</v>
      </c>
      <c r="H339" s="47" t="str">
        <f t="shared" si="17"/>
        <v>SRINAGAR</v>
      </c>
      <c r="I339" s="47" t="s">
        <v>7987</v>
      </c>
      <c r="J339" s="48">
        <v>46025</v>
      </c>
      <c r="K339" s="47">
        <v>8899926488</v>
      </c>
      <c r="L339" s="47" t="s">
        <v>106</v>
      </c>
      <c r="M339" s="49" t="s">
        <v>7602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 t="shared" si="14"/>
        <v>339</v>
      </c>
      <c r="B340" s="47" t="s">
        <v>7991</v>
      </c>
      <c r="C340" s="47" t="s">
        <v>7988</v>
      </c>
      <c r="D340" s="47" t="s">
        <v>7989</v>
      </c>
      <c r="E340" s="47" t="s">
        <v>7990</v>
      </c>
      <c r="F340" s="47" t="s">
        <v>31</v>
      </c>
      <c r="G340" s="47" t="s">
        <v>175</v>
      </c>
      <c r="H340" s="47" t="str">
        <f t="shared" si="17"/>
        <v>SRINAGAR</v>
      </c>
      <c r="I340" s="47" t="s">
        <v>7992</v>
      </c>
      <c r="J340" s="48">
        <v>46025</v>
      </c>
      <c r="K340" s="47">
        <v>9596382727</v>
      </c>
      <c r="L340" s="47" t="s">
        <v>106</v>
      </c>
      <c r="M340" s="49" t="s">
        <v>7602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4"/>
        <v>340</v>
      </c>
      <c r="B341" s="47" t="s">
        <v>7997</v>
      </c>
      <c r="C341" s="47" t="s">
        <v>7993</v>
      </c>
      <c r="D341" s="47" t="s">
        <v>7994</v>
      </c>
      <c r="E341" s="47" t="s">
        <v>7995</v>
      </c>
      <c r="F341" s="47" t="s">
        <v>31</v>
      </c>
      <c r="G341" s="47" t="s">
        <v>175</v>
      </c>
      <c r="H341" s="47" t="str">
        <f t="shared" si="17"/>
        <v>SRINAGAR</v>
      </c>
      <c r="I341" s="47" t="s">
        <v>7996</v>
      </c>
      <c r="J341" s="48">
        <v>46025</v>
      </c>
      <c r="K341" s="47">
        <v>9906863125</v>
      </c>
      <c r="L341" s="47" t="s">
        <v>2172</v>
      </c>
      <c r="M341" s="49" t="s">
        <v>7715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 t="shared" si="14"/>
        <v>341</v>
      </c>
      <c r="B342" s="47" t="s">
        <v>7998</v>
      </c>
      <c r="C342" s="47" t="s">
        <v>8000</v>
      </c>
      <c r="D342" s="47" t="s">
        <v>8001</v>
      </c>
      <c r="E342" s="47" t="s">
        <v>8002</v>
      </c>
      <c r="F342" s="47" t="s">
        <v>125</v>
      </c>
      <c r="G342" s="47" t="s">
        <v>174</v>
      </c>
      <c r="H342" s="47" t="str">
        <f t="shared" si="17"/>
        <v>SRINAGAR</v>
      </c>
      <c r="I342" s="47" t="s">
        <v>8003</v>
      </c>
      <c r="J342" s="48">
        <v>46025</v>
      </c>
      <c r="K342" s="47">
        <v>9419004044</v>
      </c>
      <c r="L342" s="47" t="s">
        <v>48</v>
      </c>
      <c r="M342" s="49"/>
      <c r="N342" s="48"/>
      <c r="O342" s="47"/>
      <c r="P342" s="50"/>
      <c r="Q342" s="47"/>
      <c r="R342" s="47"/>
    </row>
    <row r="343" spans="1:18" x14ac:dyDescent="0.25">
      <c r="A343" s="47">
        <f t="shared" si="14"/>
        <v>342</v>
      </c>
      <c r="B343" s="47" t="s">
        <v>8004</v>
      </c>
      <c r="C343" s="47" t="s">
        <v>8005</v>
      </c>
      <c r="D343" s="47" t="s">
        <v>8006</v>
      </c>
      <c r="E343" s="47" t="s">
        <v>8007</v>
      </c>
      <c r="F343" s="47" t="s">
        <v>31</v>
      </c>
      <c r="G343" s="47" t="s">
        <v>199</v>
      </c>
      <c r="H343" s="47" t="str">
        <f t="shared" si="17"/>
        <v>SRINAGAR</v>
      </c>
      <c r="I343" s="47" t="s">
        <v>8008</v>
      </c>
      <c r="J343" s="48">
        <v>46025</v>
      </c>
      <c r="K343" s="47">
        <v>7889441591</v>
      </c>
      <c r="L343" s="47" t="s">
        <v>110</v>
      </c>
      <c r="M343" s="49" t="s">
        <v>8229</v>
      </c>
      <c r="N343" s="48">
        <v>46031</v>
      </c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 t="shared" si="14"/>
        <v>343</v>
      </c>
      <c r="B344" s="47" t="s">
        <v>8009</v>
      </c>
      <c r="C344" s="47" t="s">
        <v>8010</v>
      </c>
      <c r="D344" s="47" t="s">
        <v>8012</v>
      </c>
      <c r="E344" s="47" t="s">
        <v>8011</v>
      </c>
      <c r="F344" s="47" t="s">
        <v>119</v>
      </c>
      <c r="G344" s="47" t="s">
        <v>174</v>
      </c>
      <c r="H344" s="47" t="str">
        <f t="shared" si="17"/>
        <v>SRINAGAR</v>
      </c>
      <c r="I344" s="47" t="s">
        <v>8013</v>
      </c>
      <c r="J344" s="48">
        <v>46025</v>
      </c>
      <c r="K344" s="47">
        <v>7006441266</v>
      </c>
      <c r="L344" s="47" t="s">
        <v>43</v>
      </c>
      <c r="M344" s="49" t="s">
        <v>7618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 t="shared" si="14"/>
        <v>344</v>
      </c>
      <c r="B345" s="47" t="s">
        <v>8019</v>
      </c>
      <c r="C345" s="47" t="s">
        <v>8020</v>
      </c>
      <c r="D345" s="47" t="s">
        <v>8021</v>
      </c>
      <c r="E345" s="47" t="s">
        <v>5417</v>
      </c>
      <c r="F345" s="47" t="s">
        <v>12</v>
      </c>
      <c r="G345" s="47" t="s">
        <v>181</v>
      </c>
      <c r="H345" s="47" t="str">
        <f t="shared" si="17"/>
        <v>ANANTNAG</v>
      </c>
      <c r="I345" s="47" t="s">
        <v>8031</v>
      </c>
      <c r="J345" s="48">
        <v>46025</v>
      </c>
      <c r="K345" s="47">
        <v>7889730611</v>
      </c>
      <c r="L345" s="47" t="s">
        <v>6540</v>
      </c>
      <c r="M345" s="49"/>
      <c r="N345" s="48"/>
      <c r="O345" s="47"/>
      <c r="P345" s="50"/>
      <c r="Q345" s="47"/>
      <c r="R345" s="47"/>
    </row>
    <row r="346" spans="1:18" x14ac:dyDescent="0.25">
      <c r="A346" s="47">
        <f t="shared" si="14"/>
        <v>345</v>
      </c>
      <c r="B346" s="47" t="s">
        <v>8025</v>
      </c>
      <c r="C346" s="47" t="s">
        <v>8022</v>
      </c>
      <c r="D346" s="47" t="s">
        <v>8023</v>
      </c>
      <c r="E346" s="47" t="s">
        <v>8024</v>
      </c>
      <c r="F346" s="47" t="s">
        <v>12</v>
      </c>
      <c r="G346" s="47" t="s">
        <v>200</v>
      </c>
      <c r="H346" s="47" t="str">
        <f t="shared" si="17"/>
        <v>KUPWARA</v>
      </c>
      <c r="I346" s="47" t="s">
        <v>8026</v>
      </c>
      <c r="J346" s="48">
        <v>46025</v>
      </c>
      <c r="K346" s="47">
        <v>6005210447</v>
      </c>
      <c r="L346" s="47" t="s">
        <v>2248</v>
      </c>
      <c r="M346" s="49" t="s">
        <v>7618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4"/>
        <v>346</v>
      </c>
      <c r="B347" s="47" t="s">
        <v>8027</v>
      </c>
      <c r="C347" s="47" t="s">
        <v>8028</v>
      </c>
      <c r="D347" s="47" t="s">
        <v>8029</v>
      </c>
      <c r="E347" s="47" t="s">
        <v>8030</v>
      </c>
      <c r="F347" s="47" t="s">
        <v>1686</v>
      </c>
      <c r="G347" s="47" t="s">
        <v>199</v>
      </c>
      <c r="H347" s="47" t="str">
        <f t="shared" si="17"/>
        <v>SRINAGAR</v>
      </c>
      <c r="I347" s="47" t="s">
        <v>8032</v>
      </c>
      <c r="J347" s="48">
        <v>46025</v>
      </c>
      <c r="K347" s="47">
        <v>7051417712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4"/>
        <v>347</v>
      </c>
      <c r="B348" s="47" t="s">
        <v>8035</v>
      </c>
      <c r="C348" s="47" t="s">
        <v>8033</v>
      </c>
      <c r="D348" s="47" t="s">
        <v>8034</v>
      </c>
      <c r="E348" s="47" t="s">
        <v>6433</v>
      </c>
      <c r="F348" s="47" t="s">
        <v>7402</v>
      </c>
      <c r="G348" s="47" t="s">
        <v>200</v>
      </c>
      <c r="H348" s="47" t="str">
        <f t="shared" si="17"/>
        <v>BARAMULLA</v>
      </c>
      <c r="I348" s="47" t="s">
        <v>8081</v>
      </c>
      <c r="J348" s="48">
        <v>46027</v>
      </c>
      <c r="K348" s="47">
        <v>7298545112</v>
      </c>
      <c r="L348" s="47" t="s">
        <v>26</v>
      </c>
      <c r="M348" s="49"/>
      <c r="N348" s="48"/>
      <c r="O348" s="47"/>
      <c r="P348" s="50"/>
      <c r="Q348" s="47"/>
      <c r="R348" s="47"/>
    </row>
    <row r="349" spans="1:18" x14ac:dyDescent="0.25">
      <c r="A349" s="47">
        <f t="shared" si="14"/>
        <v>348</v>
      </c>
      <c r="B349" s="47" t="s">
        <v>8039</v>
      </c>
      <c r="C349" s="47" t="s">
        <v>8036</v>
      </c>
      <c r="D349" s="47" t="s">
        <v>8037</v>
      </c>
      <c r="E349" s="47" t="s">
        <v>8038</v>
      </c>
      <c r="F349" s="47" t="s">
        <v>102</v>
      </c>
      <c r="G349" s="47" t="s">
        <v>181</v>
      </c>
      <c r="H349" s="47" t="str">
        <f t="shared" si="17"/>
        <v>NEW</v>
      </c>
      <c r="I349" s="47" t="s">
        <v>8082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4"/>
        <v>349</v>
      </c>
      <c r="B350" s="47" t="s">
        <v>8068</v>
      </c>
      <c r="C350" s="47" t="s">
        <v>8069</v>
      </c>
      <c r="D350" s="47" t="s">
        <v>8070</v>
      </c>
      <c r="E350" s="47" t="s">
        <v>8071</v>
      </c>
      <c r="F350" s="47" t="s">
        <v>5</v>
      </c>
      <c r="G350" s="47" t="s">
        <v>200</v>
      </c>
      <c r="H350" s="47" t="str">
        <f t="shared" si="17"/>
        <v>PULWAMA</v>
      </c>
      <c r="I350" s="47" t="s">
        <v>8085</v>
      </c>
      <c r="J350" s="48">
        <v>46027</v>
      </c>
      <c r="K350" s="47">
        <v>9419278824</v>
      </c>
      <c r="L350" s="47" t="s">
        <v>6521</v>
      </c>
      <c r="M350" s="49"/>
      <c r="N350" s="48"/>
      <c r="O350" s="47"/>
      <c r="P350" s="50"/>
      <c r="Q350" s="47"/>
      <c r="R350" s="47" t="s">
        <v>8093</v>
      </c>
    </row>
    <row r="351" spans="1:18" x14ac:dyDescent="0.25">
      <c r="A351" s="47">
        <f t="shared" si="14"/>
        <v>350</v>
      </c>
      <c r="B351" s="47" t="s">
        <v>8046</v>
      </c>
      <c r="C351" s="47" t="s">
        <v>8043</v>
      </c>
      <c r="D351" s="47" t="s">
        <v>8044</v>
      </c>
      <c r="E351" s="47" t="s">
        <v>8045</v>
      </c>
      <c r="F351" s="47" t="s">
        <v>31</v>
      </c>
      <c r="G351" s="47" t="s">
        <v>199</v>
      </c>
      <c r="H351" s="47" t="str">
        <f t="shared" si="17"/>
        <v>NEW</v>
      </c>
      <c r="I351" s="47" t="s">
        <v>8086</v>
      </c>
      <c r="J351" s="48">
        <v>46027</v>
      </c>
      <c r="K351" s="47">
        <v>9906284454</v>
      </c>
      <c r="L351" s="47" t="s">
        <v>2172</v>
      </c>
      <c r="M351" s="49" t="s">
        <v>8165</v>
      </c>
      <c r="N351" s="48">
        <v>46029</v>
      </c>
      <c r="O351" s="47" t="s">
        <v>23</v>
      </c>
      <c r="P351" s="50">
        <v>46029</v>
      </c>
      <c r="Q351" s="47" t="s">
        <v>6460</v>
      </c>
      <c r="R351" s="47"/>
    </row>
    <row r="352" spans="1:18" x14ac:dyDescent="0.25">
      <c r="A352" s="47">
        <f t="shared" ref="A352:A357" si="18">ROW()-1</f>
        <v>351</v>
      </c>
      <c r="B352" s="47" t="s">
        <v>8047</v>
      </c>
      <c r="C352" s="47" t="s">
        <v>8048</v>
      </c>
      <c r="D352" s="47" t="s">
        <v>8049</v>
      </c>
      <c r="E352" s="47" t="s">
        <v>8050</v>
      </c>
      <c r="F352" s="47" t="s">
        <v>119</v>
      </c>
      <c r="G352" s="47" t="s">
        <v>175</v>
      </c>
      <c r="H352" s="47" t="str">
        <f t="shared" si="17"/>
        <v>SRINAGAR</v>
      </c>
      <c r="I352" s="47" t="s">
        <v>8091</v>
      </c>
      <c r="J352" s="48">
        <v>46027</v>
      </c>
      <c r="K352" s="47">
        <v>9070111588</v>
      </c>
      <c r="L352" s="47" t="s">
        <v>194</v>
      </c>
      <c r="M352" s="49" t="s">
        <v>7596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8"/>
        <v>352</v>
      </c>
      <c r="B353" s="47" t="s">
        <v>8051</v>
      </c>
      <c r="C353" s="47" t="s">
        <v>8052</v>
      </c>
      <c r="D353" s="47" t="s">
        <v>8053</v>
      </c>
      <c r="E353" s="47" t="s">
        <v>8054</v>
      </c>
      <c r="F353" s="47" t="s">
        <v>8055</v>
      </c>
      <c r="G353" s="47" t="s">
        <v>226</v>
      </c>
      <c r="H353" s="47" t="str">
        <f t="shared" si="17"/>
        <v>SRINAGAR</v>
      </c>
      <c r="I353" s="47" t="s">
        <v>8090</v>
      </c>
      <c r="J353" s="48">
        <v>46027</v>
      </c>
      <c r="K353" s="47">
        <v>9797897619</v>
      </c>
      <c r="L353" s="47" t="s">
        <v>26</v>
      </c>
      <c r="M353" s="49" t="s">
        <v>7456</v>
      </c>
      <c r="N353" s="48">
        <v>46028</v>
      </c>
      <c r="O353" s="47"/>
      <c r="P353" s="50"/>
      <c r="Q353" s="47"/>
      <c r="R353" s="47"/>
    </row>
    <row r="354" spans="1:18" x14ac:dyDescent="0.25">
      <c r="A354" s="47">
        <f t="shared" si="18"/>
        <v>353</v>
      </c>
      <c r="B354" s="47" t="s">
        <v>7603</v>
      </c>
      <c r="C354" s="47" t="s">
        <v>7604</v>
      </c>
      <c r="D354" s="47" t="s">
        <v>7605</v>
      </c>
      <c r="E354" s="47" t="s">
        <v>7606</v>
      </c>
      <c r="F354" s="47" t="s">
        <v>31</v>
      </c>
      <c r="G354" s="47" t="s">
        <v>174</v>
      </c>
      <c r="H354" s="47" t="str">
        <f t="shared" si="17"/>
        <v>SHOPIAN</v>
      </c>
      <c r="I354" s="48" t="s">
        <v>7611</v>
      </c>
      <c r="J354" s="48">
        <v>46017</v>
      </c>
      <c r="K354" s="47">
        <v>6006651112</v>
      </c>
      <c r="L354" s="47" t="s">
        <v>6521</v>
      </c>
      <c r="M354" s="49"/>
      <c r="N354" s="48"/>
      <c r="O354" s="47"/>
      <c r="P354" s="50"/>
      <c r="Q354" s="47"/>
      <c r="R354" s="47"/>
    </row>
    <row r="355" spans="1:18" x14ac:dyDescent="0.25">
      <c r="A355" s="47">
        <f t="shared" si="18"/>
        <v>354</v>
      </c>
      <c r="B355" s="47" t="s">
        <v>8060</v>
      </c>
      <c r="C355" s="47" t="s">
        <v>8061</v>
      </c>
      <c r="D355" s="47" t="s">
        <v>8062</v>
      </c>
      <c r="E355" s="47" t="s">
        <v>8063</v>
      </c>
      <c r="F355" s="47" t="s">
        <v>31</v>
      </c>
      <c r="G355" s="47" t="s">
        <v>221</v>
      </c>
      <c r="H355" s="47" t="str">
        <f t="shared" si="17"/>
        <v>SRINAGAR</v>
      </c>
      <c r="I355" s="47" t="s">
        <v>8087</v>
      </c>
      <c r="J355" s="48">
        <v>46027</v>
      </c>
      <c r="K355" s="47">
        <v>9070599346</v>
      </c>
      <c r="L355" s="47" t="s">
        <v>166</v>
      </c>
      <c r="M355" s="49" t="s">
        <v>7673</v>
      </c>
      <c r="N355" s="48">
        <v>46030</v>
      </c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 t="shared" si="18"/>
        <v>355</v>
      </c>
      <c r="B356" s="47" t="s">
        <v>8064</v>
      </c>
      <c r="C356" s="47" t="s">
        <v>8065</v>
      </c>
      <c r="D356" s="47" t="s">
        <v>8066</v>
      </c>
      <c r="E356" s="47" t="s">
        <v>8067</v>
      </c>
      <c r="F356" s="47" t="s">
        <v>119</v>
      </c>
      <c r="G356" s="47" t="s">
        <v>200</v>
      </c>
      <c r="H356" s="47" t="str">
        <f t="shared" si="17"/>
        <v>SHOPIAN</v>
      </c>
      <c r="I356" s="47" t="s">
        <v>8089</v>
      </c>
      <c r="J356" s="48">
        <v>46027</v>
      </c>
      <c r="K356" s="47">
        <v>9797071432</v>
      </c>
      <c r="L356" s="47" t="s">
        <v>6540</v>
      </c>
      <c r="M356" s="49"/>
      <c r="N356" s="48"/>
      <c r="O356" s="47" t="s">
        <v>23</v>
      </c>
      <c r="P356" s="50">
        <v>46028</v>
      </c>
      <c r="Q356" s="47" t="s">
        <v>6460</v>
      </c>
      <c r="R356" s="47" t="s">
        <v>8124</v>
      </c>
    </row>
    <row r="357" spans="1:18" x14ac:dyDescent="0.25">
      <c r="A357" s="47">
        <f t="shared" si="18"/>
        <v>356</v>
      </c>
      <c r="B357" s="47" t="s">
        <v>7936</v>
      </c>
      <c r="C357" s="47" t="s">
        <v>7928</v>
      </c>
      <c r="D357" s="47" t="s">
        <v>7929</v>
      </c>
      <c r="E357" s="47" t="s">
        <v>7930</v>
      </c>
      <c r="F357" s="47" t="s">
        <v>31</v>
      </c>
      <c r="G357" s="47" t="s">
        <v>199</v>
      </c>
      <c r="H357" s="47" t="str">
        <f t="shared" si="17"/>
        <v>SRINAGAR</v>
      </c>
      <c r="I357" s="47" t="s">
        <v>7937</v>
      </c>
      <c r="J357" s="48">
        <v>46024</v>
      </c>
      <c r="K357" s="47">
        <v>9149695812</v>
      </c>
      <c r="L357" s="47" t="s">
        <v>6521</v>
      </c>
      <c r="M357" s="49"/>
      <c r="N357" s="48"/>
      <c r="O357" s="47"/>
      <c r="P357" s="50"/>
      <c r="Q357" s="47"/>
      <c r="R357" s="47"/>
    </row>
    <row r="358" spans="1:18" x14ac:dyDescent="0.25">
      <c r="A358" s="47">
        <f t="shared" ref="A358:A363" si="19">ROW()-1</f>
        <v>357</v>
      </c>
      <c r="B358" s="47" t="s">
        <v>8072</v>
      </c>
      <c r="C358" s="47" t="s">
        <v>8073</v>
      </c>
      <c r="D358" s="47" t="s">
        <v>8074</v>
      </c>
      <c r="E358" s="47" t="s">
        <v>8075</v>
      </c>
      <c r="F358" s="47" t="s">
        <v>31</v>
      </c>
      <c r="G358" s="47" t="s">
        <v>199</v>
      </c>
      <c r="H358" s="47" t="str">
        <f t="shared" ref="H358:H359" si="20">IF(LEFT(I358,4)="JK13","PULWAMA",IF(LEFT(I358,4)="JK01","SRINAGAR",IF(LEFT(I358,4)="JK04","BUDGAM",IF(LEFT(I358,4)="JK03","ANANTNAG",IF(LEFT(I358,4)="JK05","BARAMULLA",IF(LEFT(I358,4)="25BH","BHARAT",IF(LEFT(I358,4)="JK12","POONCH",IF(LEFT(I358,4)="JK18","KULGAM",IF(LEFT(I358,4)="JK22","SHOPIAN",IF(LEFT(I358,4)="T102","TEMP",IF(LEFT(I358,4)="JK09","KUPWARA",IF(LEFT(I358,4)="JK15","BANDIPORA",IF(LEFT(I358,4)="T112","KARGIL","NEW")))))))))))))</f>
        <v>NEW</v>
      </c>
      <c r="I358" s="47" t="s">
        <v>8088</v>
      </c>
      <c r="J358" s="48">
        <v>46027</v>
      </c>
      <c r="K358" s="47">
        <v>6005254071</v>
      </c>
      <c r="L358" s="47" t="s">
        <v>194</v>
      </c>
      <c r="M358" s="49" t="s">
        <v>7596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9"/>
        <v>358</v>
      </c>
      <c r="B359" s="47" t="s">
        <v>8080</v>
      </c>
      <c r="C359" s="47" t="s">
        <v>8077</v>
      </c>
      <c r="D359" s="47" t="s">
        <v>8078</v>
      </c>
      <c r="E359" s="47" t="s">
        <v>8079</v>
      </c>
      <c r="F359" s="47" t="s">
        <v>37</v>
      </c>
      <c r="G359" s="47" t="s">
        <v>199</v>
      </c>
      <c r="H359" s="47" t="str">
        <f t="shared" si="20"/>
        <v>NEW</v>
      </c>
      <c r="I359" s="47" t="s">
        <v>8132</v>
      </c>
      <c r="J359" s="48">
        <v>46027</v>
      </c>
      <c r="K359" s="47">
        <v>9086008167</v>
      </c>
      <c r="L359" s="47" t="s">
        <v>26</v>
      </c>
      <c r="M359" s="49"/>
      <c r="N359" s="48"/>
      <c r="O359" s="47"/>
      <c r="P359" s="50"/>
      <c r="Q359" s="47"/>
      <c r="R359" s="47"/>
    </row>
    <row r="360" spans="1:18" x14ac:dyDescent="0.25">
      <c r="A360" s="47">
        <f t="shared" si="19"/>
        <v>359</v>
      </c>
      <c r="B360" s="47" t="s">
        <v>8099</v>
      </c>
      <c r="C360" s="47" t="s">
        <v>8096</v>
      </c>
      <c r="D360" s="47" t="s">
        <v>8097</v>
      </c>
      <c r="E360" s="47" t="s">
        <v>8098</v>
      </c>
      <c r="F360" s="47" t="s">
        <v>31</v>
      </c>
      <c r="G360" s="47" t="s">
        <v>200</v>
      </c>
      <c r="H360" s="47" t="str">
        <f t="shared" ref="H360:H374" si="21">IF(LEFT(I360,4)="JK13","PULWAMA",IF(LEFT(I360,4)="JK01","SRINAGAR",IF(LEFT(I360,4)="JK04","BUDGAM",IF(LEFT(I360,4)="JK03","ANANTNAG",IF(LEFT(I360,4)="JK05","BARAMULLA",IF(LEFT(I360,4)="25BH","BHARAT",IF(LEFT(I360,4)="JK12","POONCH",IF(LEFT(I360,4)="JK18","KULGAM",IF(LEFT(I360,4)="JK22","SHOPIAN",IF(LEFT(I360,4)="T102","TEMP",IF(LEFT(I360,4)="JK09","KUPWARA",IF(LEFT(I360,4)="JK15","BANDIPORA",IF(LEFT(I360,4)="T112","KARGIL","NEW")))))))))))))</f>
        <v>BUDGAM</v>
      </c>
      <c r="I360" s="47" t="s">
        <v>8119</v>
      </c>
      <c r="J360" s="48">
        <v>46028</v>
      </c>
      <c r="K360" s="47">
        <v>7780804850</v>
      </c>
      <c r="L360" s="47" t="s">
        <v>2172</v>
      </c>
      <c r="M360" s="49" t="s">
        <v>7717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 t="shared" si="19"/>
        <v>360</v>
      </c>
      <c r="B361" s="47" t="s">
        <v>8100</v>
      </c>
      <c r="C361" s="47" t="s">
        <v>8101</v>
      </c>
      <c r="D361" s="47" t="s">
        <v>8102</v>
      </c>
      <c r="E361" s="47" t="s">
        <v>8103</v>
      </c>
      <c r="F361" s="47" t="s">
        <v>31</v>
      </c>
      <c r="G361" s="47" t="s">
        <v>200</v>
      </c>
      <c r="H361" s="47" t="str">
        <f t="shared" si="21"/>
        <v>BUDGAM</v>
      </c>
      <c r="I361" s="47" t="s">
        <v>8118</v>
      </c>
      <c r="J361" s="48">
        <v>46028</v>
      </c>
      <c r="K361" s="47">
        <v>9622595048</v>
      </c>
      <c r="L361" s="47" t="s">
        <v>8104</v>
      </c>
      <c r="M361" s="49" t="s">
        <v>8230</v>
      </c>
      <c r="N361" s="48">
        <v>46031</v>
      </c>
      <c r="O361" s="47" t="s">
        <v>23</v>
      </c>
      <c r="P361" s="50">
        <v>46031</v>
      </c>
      <c r="Q361" s="47" t="s">
        <v>6460</v>
      </c>
      <c r="R361" s="47"/>
    </row>
    <row r="362" spans="1:18" x14ac:dyDescent="0.25">
      <c r="A362" s="47">
        <f t="shared" si="19"/>
        <v>361</v>
      </c>
      <c r="B362" s="47" t="s">
        <v>8105</v>
      </c>
      <c r="C362" s="47" t="s">
        <v>8106</v>
      </c>
      <c r="D362" s="47" t="s">
        <v>8107</v>
      </c>
      <c r="E362" s="47" t="s">
        <v>8108</v>
      </c>
      <c r="F362" s="47" t="s">
        <v>238</v>
      </c>
      <c r="G362" s="47" t="s">
        <v>200</v>
      </c>
      <c r="H362" s="47" t="str">
        <f t="shared" si="21"/>
        <v>SRINAGAR</v>
      </c>
      <c r="I362" s="47" t="s">
        <v>8120</v>
      </c>
      <c r="J362" s="48">
        <v>46028</v>
      </c>
      <c r="K362" s="47">
        <v>8899110779</v>
      </c>
      <c r="L362" s="47" t="s">
        <v>48</v>
      </c>
      <c r="M362" s="49" t="s">
        <v>7776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 t="shared" si="19"/>
        <v>362</v>
      </c>
      <c r="B363" s="47" t="s">
        <v>8109</v>
      </c>
      <c r="C363" s="47" t="s">
        <v>8110</v>
      </c>
      <c r="D363" s="47" t="s">
        <v>8111</v>
      </c>
      <c r="E363" s="47" t="s">
        <v>2303</v>
      </c>
      <c r="F363" s="47" t="s">
        <v>31</v>
      </c>
      <c r="G363" s="47" t="s">
        <v>175</v>
      </c>
      <c r="H363" s="47" t="str">
        <f t="shared" si="21"/>
        <v>POONCH</v>
      </c>
      <c r="I363" s="47" t="s">
        <v>8117</v>
      </c>
      <c r="J363" s="48">
        <v>46028</v>
      </c>
      <c r="K363" s="47">
        <v>9797443009</v>
      </c>
      <c r="L363" s="47" t="s">
        <v>195</v>
      </c>
      <c r="M363" s="49"/>
      <c r="N363" s="48"/>
      <c r="O363" s="47"/>
      <c r="P363" s="50"/>
      <c r="Q363" s="47"/>
      <c r="R363" s="47"/>
    </row>
    <row r="364" spans="1:18" x14ac:dyDescent="0.25">
      <c r="A364" s="47">
        <f t="shared" ref="A364:A379" si="22">ROW()-1</f>
        <v>363</v>
      </c>
      <c r="B364" s="47" t="s">
        <v>8112</v>
      </c>
      <c r="C364" s="47" t="s">
        <v>8113</v>
      </c>
      <c r="D364" s="47" t="s">
        <v>8114</v>
      </c>
      <c r="E364" s="47" t="s">
        <v>8115</v>
      </c>
      <c r="F364" s="47" t="s">
        <v>102</v>
      </c>
      <c r="G364" s="47" t="s">
        <v>199</v>
      </c>
      <c r="H364" s="47" t="str">
        <f t="shared" si="21"/>
        <v>PULWAMA</v>
      </c>
      <c r="I364" s="47" t="s">
        <v>8116</v>
      </c>
      <c r="J364" s="48">
        <v>46028</v>
      </c>
      <c r="K364" s="47">
        <v>7889385453</v>
      </c>
      <c r="L364" s="47" t="s">
        <v>6451</v>
      </c>
      <c r="M364" s="49"/>
      <c r="N364" s="48"/>
      <c r="O364" s="47"/>
      <c r="P364" s="50"/>
      <c r="Q364" s="47"/>
      <c r="R364" s="47"/>
    </row>
    <row r="365" spans="1:18" x14ac:dyDescent="0.25">
      <c r="A365" s="47">
        <f t="shared" si="22"/>
        <v>364</v>
      </c>
      <c r="B365" s="47" t="s">
        <v>8039</v>
      </c>
      <c r="C365" s="47" t="s">
        <v>8126</v>
      </c>
      <c r="D365" s="47" t="s">
        <v>8127</v>
      </c>
      <c r="E365" s="47" t="s">
        <v>3192</v>
      </c>
      <c r="F365" s="47" t="s">
        <v>119</v>
      </c>
      <c r="G365" s="47" t="s">
        <v>221</v>
      </c>
      <c r="H365" s="47" t="str">
        <f t="shared" si="21"/>
        <v>SRINAGAR</v>
      </c>
      <c r="I365" s="47" t="s">
        <v>8166</v>
      </c>
      <c r="J365" s="48">
        <v>46028</v>
      </c>
      <c r="K365" s="47">
        <v>9906796717</v>
      </c>
      <c r="L365" s="47" t="s">
        <v>75</v>
      </c>
      <c r="M365" s="49"/>
      <c r="N365" s="48"/>
      <c r="O365" s="47"/>
      <c r="P365" s="50"/>
      <c r="Q365" s="47"/>
      <c r="R365" s="47"/>
    </row>
    <row r="366" spans="1:18" x14ac:dyDescent="0.25">
      <c r="A366" s="47">
        <f t="shared" si="22"/>
        <v>365</v>
      </c>
      <c r="B366" s="47" t="s">
        <v>8128</v>
      </c>
      <c r="C366" s="47" t="s">
        <v>8129</v>
      </c>
      <c r="D366" s="47" t="s">
        <v>8130</v>
      </c>
      <c r="E366" s="47" t="s">
        <v>8131</v>
      </c>
      <c r="F366" s="47" t="s">
        <v>119</v>
      </c>
      <c r="G366" s="47" t="s">
        <v>175</v>
      </c>
      <c r="H366" s="47" t="str">
        <f t="shared" si="21"/>
        <v>PULWAMA</v>
      </c>
      <c r="I366" s="47" t="s">
        <v>8167</v>
      </c>
      <c r="J366" s="48">
        <v>46028</v>
      </c>
      <c r="K366" s="47">
        <v>9018734100</v>
      </c>
      <c r="L366" s="47" t="s">
        <v>166</v>
      </c>
      <c r="M366" s="49" t="s">
        <v>7776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22"/>
        <v>366</v>
      </c>
      <c r="B367" s="47" t="s">
        <v>8172</v>
      </c>
      <c r="C367" s="47" t="s">
        <v>8169</v>
      </c>
      <c r="D367" s="47" t="s">
        <v>8170</v>
      </c>
      <c r="E367" s="47" t="s">
        <v>8171</v>
      </c>
      <c r="F367" s="47" t="s">
        <v>3130</v>
      </c>
      <c r="G367" s="47" t="s">
        <v>6475</v>
      </c>
      <c r="H367" s="47" t="str">
        <f t="shared" si="21"/>
        <v>BANDIPORA</v>
      </c>
      <c r="I367" s="47" t="s">
        <v>8173</v>
      </c>
      <c r="J367" s="48">
        <v>46029</v>
      </c>
      <c r="K367" s="47">
        <v>9596443329</v>
      </c>
      <c r="L367" s="47" t="s">
        <v>6833</v>
      </c>
      <c r="M367" s="49"/>
      <c r="N367" s="48"/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 t="shared" si="22"/>
        <v>367</v>
      </c>
      <c r="B368" s="47" t="s">
        <v>8183</v>
      </c>
      <c r="C368" s="47" t="s">
        <v>8179</v>
      </c>
      <c r="D368" s="47" t="s">
        <v>8180</v>
      </c>
      <c r="E368" s="47" t="s">
        <v>8182</v>
      </c>
      <c r="F368" s="47" t="s">
        <v>8181</v>
      </c>
      <c r="G368" s="47" t="s">
        <v>200</v>
      </c>
      <c r="H368" s="47" t="str">
        <f t="shared" si="21"/>
        <v>SRINAGAR</v>
      </c>
      <c r="I368" s="47" t="s">
        <v>8194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22"/>
        <v>368</v>
      </c>
      <c r="B369" s="47" t="s">
        <v>8184</v>
      </c>
      <c r="C369" s="47" t="s">
        <v>8186</v>
      </c>
      <c r="D369" s="47" t="s">
        <v>8193</v>
      </c>
      <c r="E369" s="47" t="s">
        <v>8185</v>
      </c>
      <c r="F369" s="47" t="s">
        <v>5</v>
      </c>
      <c r="G369" s="47" t="s">
        <v>200</v>
      </c>
      <c r="H369" s="47" t="str">
        <f t="shared" si="21"/>
        <v>SRINAGAR</v>
      </c>
      <c r="I369" s="47" t="s">
        <v>8187</v>
      </c>
      <c r="J369" s="48">
        <v>46030</v>
      </c>
      <c r="K369" s="47">
        <v>7889664350</v>
      </c>
      <c r="L369" s="47" t="s">
        <v>18</v>
      </c>
      <c r="M369" s="49"/>
      <c r="N369" s="48"/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22"/>
        <v>369</v>
      </c>
      <c r="B370" s="47" t="s">
        <v>8191</v>
      </c>
      <c r="C370" s="47" t="s">
        <v>8188</v>
      </c>
      <c r="D370" s="47" t="s">
        <v>8189</v>
      </c>
      <c r="E370" s="47" t="s">
        <v>8190</v>
      </c>
      <c r="F370" s="47" t="s">
        <v>6546</v>
      </c>
      <c r="G370" s="47" t="s">
        <v>200</v>
      </c>
      <c r="H370" s="47" t="str">
        <f t="shared" si="21"/>
        <v>KULGAM</v>
      </c>
      <c r="I370" s="47" t="s">
        <v>8198</v>
      </c>
      <c r="J370" s="48">
        <v>46030</v>
      </c>
      <c r="K370" s="47">
        <v>9541822070</v>
      </c>
      <c r="L370" s="47" t="s">
        <v>6570</v>
      </c>
      <c r="M370" s="49"/>
      <c r="N370" s="48"/>
      <c r="O370" s="47"/>
      <c r="P370" s="50"/>
      <c r="Q370" s="47"/>
      <c r="R370" s="47" t="s">
        <v>8212</v>
      </c>
    </row>
    <row r="371" spans="1:18" x14ac:dyDescent="0.25">
      <c r="A371" s="47">
        <f t="shared" si="22"/>
        <v>370</v>
      </c>
      <c r="B371" s="47" t="s">
        <v>8192</v>
      </c>
      <c r="C371" s="47" t="s">
        <v>8195</v>
      </c>
      <c r="D371" s="47" t="s">
        <v>8196</v>
      </c>
      <c r="E371" s="47" t="s">
        <v>8197</v>
      </c>
      <c r="F371" s="47" t="s">
        <v>5</v>
      </c>
      <c r="G371" s="47" t="s">
        <v>181</v>
      </c>
      <c r="H371" s="47" t="str">
        <f t="shared" si="21"/>
        <v>SHOPIAN</v>
      </c>
      <c r="I371" s="47" t="s">
        <v>8207</v>
      </c>
      <c r="J371" s="48">
        <v>46030</v>
      </c>
      <c r="K371" s="47">
        <v>9906656754</v>
      </c>
      <c r="L371" s="47" t="s">
        <v>6451</v>
      </c>
      <c r="M371" s="49"/>
      <c r="N371" s="48"/>
      <c r="O371" s="47"/>
      <c r="P371" s="50"/>
      <c r="Q371" s="47"/>
      <c r="R371" s="47" t="s">
        <v>7177</v>
      </c>
    </row>
    <row r="372" spans="1:18" x14ac:dyDescent="0.25">
      <c r="A372" s="47">
        <f t="shared" si="22"/>
        <v>371</v>
      </c>
      <c r="B372" s="47" t="s">
        <v>8199</v>
      </c>
      <c r="C372" s="47" t="s">
        <v>8200</v>
      </c>
      <c r="D372" s="47" t="s">
        <v>8201</v>
      </c>
      <c r="E372" s="47" t="s">
        <v>8202</v>
      </c>
      <c r="F372" s="47" t="s">
        <v>2701</v>
      </c>
      <c r="G372" s="47" t="s">
        <v>200</v>
      </c>
      <c r="H372" s="47" t="str">
        <f t="shared" si="21"/>
        <v>SRINAGAR</v>
      </c>
      <c r="I372" s="47" t="s">
        <v>8209</v>
      </c>
      <c r="J372" s="48">
        <v>46030</v>
      </c>
      <c r="K372" s="47">
        <v>8491882203</v>
      </c>
      <c r="L372" s="47" t="s">
        <v>2248</v>
      </c>
      <c r="M372" s="49" t="s">
        <v>8165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22"/>
        <v>372</v>
      </c>
      <c r="B373" s="47" t="s">
        <v>8206</v>
      </c>
      <c r="C373" s="47" t="s">
        <v>8203</v>
      </c>
      <c r="D373" s="47" t="s">
        <v>8204</v>
      </c>
      <c r="E373" s="47" t="s">
        <v>8205</v>
      </c>
      <c r="F373" s="47" t="s">
        <v>67</v>
      </c>
      <c r="G373" s="47" t="s">
        <v>181</v>
      </c>
      <c r="H373" s="47" t="str">
        <f t="shared" si="21"/>
        <v>SRINAGAR</v>
      </c>
      <c r="I373" s="47" t="s">
        <v>8208</v>
      </c>
      <c r="J373" s="48">
        <v>46030</v>
      </c>
      <c r="K373" s="47">
        <v>7780867070</v>
      </c>
      <c r="L373" s="47" t="s">
        <v>1228</v>
      </c>
      <c r="M373" s="49"/>
      <c r="N373" s="48"/>
      <c r="O373" s="47" t="s">
        <v>23</v>
      </c>
      <c r="P373" s="50">
        <v>46031</v>
      </c>
      <c r="Q373" s="47" t="s">
        <v>6460</v>
      </c>
      <c r="R373" s="47"/>
    </row>
    <row r="374" spans="1:18" x14ac:dyDescent="0.25">
      <c r="A374" s="47">
        <f t="shared" si="22"/>
        <v>373</v>
      </c>
      <c r="B374" s="47" t="s">
        <v>8214</v>
      </c>
      <c r="C374" s="47" t="s">
        <v>8215</v>
      </c>
      <c r="D374" s="47" t="s">
        <v>8216</v>
      </c>
      <c r="E374" s="47" t="s">
        <v>8217</v>
      </c>
      <c r="F374" s="47" t="s">
        <v>67</v>
      </c>
      <c r="G374" s="47" t="s">
        <v>181</v>
      </c>
      <c r="H374" s="47" t="str">
        <f t="shared" si="21"/>
        <v>SRINAGAR</v>
      </c>
      <c r="I374" s="47" t="s">
        <v>8222</v>
      </c>
      <c r="J374" s="48">
        <v>46030</v>
      </c>
      <c r="K374" s="47">
        <v>6005379500</v>
      </c>
      <c r="L374" s="47" t="s">
        <v>8218</v>
      </c>
      <c r="M374" s="49"/>
      <c r="N374" s="48"/>
      <c r="O374" s="47"/>
      <c r="P374" s="50"/>
      <c r="Q374" s="47"/>
      <c r="R374" s="47"/>
    </row>
    <row r="375" spans="1:18" x14ac:dyDescent="0.25">
      <c r="A375" s="47">
        <f t="shared" si="22"/>
        <v>374</v>
      </c>
      <c r="B375" s="47"/>
      <c r="C375" s="47"/>
      <c r="D375" s="47"/>
      <c r="E375" s="47"/>
      <c r="F375" s="47"/>
      <c r="G375" s="47"/>
      <c r="H375" s="47" t="str">
        <f t="shared" ref="H375:H379" si="23">IF(LEFT(I375,4)="JK13","PULWAMA",IF(LEFT(I375,4)="JK01","SRINAGAR",IF(LEFT(I375,4)="JK04","BUDGAM",IF(LEFT(I375,4)="JK03","ANANTNAG",IF(LEFT(I375,4)="JK05","BARAMULLA",IF(LEFT(I375,4)="25BH","BHARAT",IF(LEFT(I375,4)="JK12","POONCH",IF(LEFT(I375,4)="JK18","KULGAM",IF(LEFT(I375,4)="JK22","SHOPIAN",IF(LEFT(I375,4)="T102","TEMP",IF(LEFT(I375,4)="JK09","KUPWARA",IF(LEFT(I375,4)="JK15","BANDIPORA",IF(LEFT(I375,4)="T112","KARGIL","NEW")))))))))))))</f>
        <v>NEW</v>
      </c>
      <c r="I375" s="47"/>
      <c r="J375" s="48"/>
      <c r="K375" s="47"/>
      <c r="L375" s="47"/>
      <c r="M375" s="49"/>
      <c r="N375" s="48"/>
      <c r="O375" s="47"/>
      <c r="P375" s="50"/>
      <c r="Q375" s="47"/>
      <c r="R375" s="47"/>
    </row>
    <row r="376" spans="1:18" x14ac:dyDescent="0.25">
      <c r="A376" s="47">
        <f t="shared" si="22"/>
        <v>375</v>
      </c>
      <c r="B376" s="47"/>
      <c r="C376" s="47"/>
      <c r="D376" s="47"/>
      <c r="E376" s="47"/>
      <c r="F376" s="47"/>
      <c r="G376" s="47"/>
      <c r="H376" s="47" t="str">
        <f t="shared" si="23"/>
        <v>NEW</v>
      </c>
      <c r="I376" s="47"/>
      <c r="J376" s="48"/>
      <c r="K376" s="47"/>
      <c r="L376" s="47"/>
      <c r="M376" s="49"/>
      <c r="N376" s="48"/>
      <c r="O376" s="47"/>
      <c r="P376" s="50"/>
      <c r="Q376" s="47"/>
      <c r="R376" s="47"/>
    </row>
    <row r="377" spans="1:18" x14ac:dyDescent="0.25">
      <c r="A377" s="47">
        <f t="shared" si="22"/>
        <v>376</v>
      </c>
      <c r="B377" s="47"/>
      <c r="C377" s="47"/>
      <c r="D377" s="47"/>
      <c r="E377" s="47"/>
      <c r="F377" s="47"/>
      <c r="G377" s="47"/>
      <c r="H377" s="47" t="str">
        <f t="shared" si="23"/>
        <v>NEW</v>
      </c>
      <c r="I377" s="47"/>
      <c r="J377" s="48"/>
      <c r="K377" s="47"/>
      <c r="L377" s="47"/>
      <c r="M377" s="49"/>
      <c r="N377" s="48"/>
      <c r="O377" s="47"/>
      <c r="P377" s="50"/>
      <c r="Q377" s="47"/>
      <c r="R377" s="47"/>
    </row>
    <row r="378" spans="1:18" x14ac:dyDescent="0.25">
      <c r="A378" s="47">
        <f t="shared" si="22"/>
        <v>377</v>
      </c>
      <c r="B378" s="47"/>
      <c r="C378" s="47"/>
      <c r="D378" s="47"/>
      <c r="E378" s="47"/>
      <c r="F378" s="47"/>
      <c r="G378" s="47"/>
      <c r="H378" s="47" t="str">
        <f t="shared" si="23"/>
        <v>NEW</v>
      </c>
      <c r="I378" s="47"/>
      <c r="J378" s="48"/>
      <c r="K378" s="47"/>
      <c r="L378" s="47"/>
      <c r="M378" s="49"/>
      <c r="N378" s="48"/>
      <c r="O378" s="47"/>
      <c r="P378" s="50"/>
      <c r="Q378" s="47"/>
      <c r="R378" s="47"/>
    </row>
    <row r="379" spans="1:18" x14ac:dyDescent="0.25">
      <c r="A379" s="47">
        <f t="shared" si="22"/>
        <v>378</v>
      </c>
      <c r="B379" s="47"/>
      <c r="C379" s="47"/>
      <c r="D379" s="47"/>
      <c r="E379" s="47"/>
      <c r="F379" s="47"/>
      <c r="G379" s="47"/>
      <c r="H379" s="47" t="str">
        <f t="shared" si="23"/>
        <v>NEW</v>
      </c>
      <c r="I379" s="47"/>
      <c r="J379" s="48"/>
      <c r="K379" s="47"/>
      <c r="L379" s="47"/>
      <c r="M379" s="49"/>
      <c r="N379" s="48"/>
      <c r="O379" s="47"/>
      <c r="P379" s="50"/>
      <c r="Q379" s="47"/>
      <c r="R379" s="47"/>
    </row>
    <row r="380" spans="1:18" ht="15.75" x14ac:dyDescent="0.25">
      <c r="B380" s="47"/>
      <c r="C380" s="47"/>
      <c r="D380" s="47"/>
      <c r="E380" s="47"/>
      <c r="F380" s="47"/>
      <c r="G380" s="47"/>
      <c r="H380" s="1"/>
      <c r="I380" s="55"/>
      <c r="J380" s="19"/>
      <c r="K380" s="47"/>
      <c r="M380" t="s">
        <v>44</v>
      </c>
    </row>
    <row r="381" spans="1:18" ht="15.75" x14ac:dyDescent="0.25">
      <c r="F381" s="1"/>
      <c r="G381" s="1"/>
      <c r="H381" s="1"/>
      <c r="I381" s="20"/>
      <c r="K381" s="47"/>
    </row>
    <row r="382" spans="1:18" ht="15.75" x14ac:dyDescent="0.25">
      <c r="F382" s="1"/>
      <c r="G382" s="1"/>
      <c r="H382" s="1"/>
      <c r="I382" s="20"/>
      <c r="K382" s="47"/>
    </row>
    <row r="383" spans="1:18" ht="15.75" x14ac:dyDescent="0.25">
      <c r="F383" s="1"/>
      <c r="G383" s="1"/>
      <c r="H383" s="1"/>
      <c r="I383" s="20"/>
      <c r="K383" s="47"/>
    </row>
    <row r="384" spans="1:18" ht="15.75" x14ac:dyDescent="0.25">
      <c r="C384" s="1"/>
      <c r="D384" s="1"/>
      <c r="E384" s="1"/>
      <c r="F384" s="1"/>
      <c r="G384" s="1"/>
      <c r="H384" s="1"/>
      <c r="I384" s="20"/>
      <c r="K384" s="47"/>
    </row>
    <row r="385" spans="1:17" x14ac:dyDescent="0.25">
      <c r="A385" s="5"/>
      <c r="B385" s="6"/>
      <c r="C385" s="7"/>
      <c r="D385" s="7"/>
      <c r="E385" s="7"/>
      <c r="F385" s="7"/>
      <c r="G385" s="7"/>
      <c r="H385" s="7"/>
      <c r="I385" s="7"/>
      <c r="J385" s="7"/>
      <c r="K385" s="47"/>
      <c r="L385" s="7"/>
      <c r="M385" s="7"/>
      <c r="N385" s="7"/>
      <c r="O385" s="7"/>
      <c r="P385" s="7"/>
      <c r="Q385" s="7"/>
    </row>
    <row r="386" spans="1:17" x14ac:dyDescent="0.25">
      <c r="A386" s="5"/>
      <c r="B386" s="6"/>
      <c r="C386" s="7"/>
      <c r="D386" s="7"/>
      <c r="E386" s="7"/>
      <c r="F386" s="7"/>
      <c r="G386" s="7"/>
      <c r="H386" s="7"/>
      <c r="I386" s="7"/>
      <c r="J386" s="7"/>
      <c r="K386" s="47"/>
      <c r="L386" s="7"/>
      <c r="M386" s="7"/>
      <c r="N386" s="7"/>
      <c r="O386" s="7"/>
      <c r="P386" s="7"/>
      <c r="Q386" s="7"/>
    </row>
    <row r="387" spans="1:17" x14ac:dyDescent="0.25">
      <c r="K387" s="47"/>
    </row>
    <row r="388" spans="1:17" x14ac:dyDescent="0.25">
      <c r="K388" s="47"/>
    </row>
    <row r="389" spans="1:17" x14ac:dyDescent="0.25">
      <c r="K389" s="47"/>
    </row>
    <row r="390" spans="1:17" x14ac:dyDescent="0.25">
      <c r="K390" s="47"/>
    </row>
    <row r="391" spans="1:17" x14ac:dyDescent="0.25">
      <c r="K391" s="47"/>
    </row>
    <row r="392" spans="1:17" x14ac:dyDescent="0.25">
      <c r="K392" s="47"/>
    </row>
    <row r="393" spans="1:17" x14ac:dyDescent="0.25">
      <c r="K393" s="47"/>
    </row>
    <row r="394" spans="1:17" x14ac:dyDescent="0.25">
      <c r="K394" s="47"/>
    </row>
    <row r="395" spans="1:17" x14ac:dyDescent="0.25">
      <c r="K395" s="47"/>
    </row>
    <row r="396" spans="1:17" x14ac:dyDescent="0.25">
      <c r="K396" s="47"/>
    </row>
    <row r="397" spans="1:17" x14ac:dyDescent="0.25">
      <c r="K397" s="47"/>
    </row>
    <row r="398" spans="1:17" x14ac:dyDescent="0.25">
      <c r="K398" s="47"/>
    </row>
    <row r="399" spans="1:17" x14ac:dyDescent="0.25">
      <c r="K399" s="47"/>
    </row>
    <row r="400" spans="1:17" x14ac:dyDescent="0.25">
      <c r="K400" s="47"/>
    </row>
    <row r="401" spans="11:11" x14ac:dyDescent="0.25">
      <c r="K401" s="47"/>
    </row>
    <row r="402" spans="11:11" x14ac:dyDescent="0.25">
      <c r="K402" s="47"/>
    </row>
    <row r="403" spans="11:11" x14ac:dyDescent="0.25">
      <c r="K403" s="47"/>
    </row>
    <row r="404" spans="11:11" x14ac:dyDescent="0.25">
      <c r="K404" s="47"/>
    </row>
    <row r="405" spans="11:11" x14ac:dyDescent="0.25">
      <c r="K405" s="47"/>
    </row>
    <row r="406" spans="11:11" x14ac:dyDescent="0.25">
      <c r="K406" s="47"/>
    </row>
    <row r="407" spans="11:11" x14ac:dyDescent="0.25">
      <c r="K407" s="47"/>
    </row>
    <row r="408" spans="11:11" x14ac:dyDescent="0.25">
      <c r="K408" s="47"/>
    </row>
    <row r="409" spans="11:11" x14ac:dyDescent="0.25">
      <c r="K409" s="47"/>
    </row>
    <row r="410" spans="11:11" x14ac:dyDescent="0.25">
      <c r="K410" s="47"/>
    </row>
    <row r="411" spans="11:11" x14ac:dyDescent="0.25">
      <c r="K411" s="47"/>
    </row>
    <row r="412" spans="11:11" x14ac:dyDescent="0.25">
      <c r="K412" s="47"/>
    </row>
    <row r="413" spans="11:11" x14ac:dyDescent="0.25">
      <c r="K413" s="47"/>
    </row>
    <row r="414" spans="11:11" x14ac:dyDescent="0.25">
      <c r="K414" s="47"/>
    </row>
    <row r="415" spans="11:11" x14ac:dyDescent="0.25">
      <c r="K415" s="47"/>
    </row>
    <row r="416" spans="11:11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ht="15.75" x14ac:dyDescent="0.25">
      <c r="K470" s="19"/>
    </row>
    <row r="471" spans="11:11" ht="15.75" x14ac:dyDescent="0.25">
      <c r="K471" s="19"/>
    </row>
    <row r="472" spans="11:11" ht="15.75" x14ac:dyDescent="0.25">
      <c r="K472" s="19"/>
    </row>
    <row r="473" spans="11:11" ht="15.75" x14ac:dyDescent="0.25">
      <c r="K473" s="19"/>
    </row>
    <row r="474" spans="11:11" ht="15.75" x14ac:dyDescent="0.25">
      <c r="K474" s="19"/>
    </row>
    <row r="475" spans="11:11" ht="15.75" x14ac:dyDescent="0.25">
      <c r="K475" s="19"/>
    </row>
    <row r="476" spans="11:11" ht="15.75" x14ac:dyDescent="0.25">
      <c r="K476" s="19"/>
    </row>
    <row r="477" spans="11:11" ht="15.75" x14ac:dyDescent="0.25">
      <c r="K477" s="19"/>
    </row>
    <row r="478" spans="11:11" ht="15.75" x14ac:dyDescent="0.25">
      <c r="K478" s="19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ht="15.75" x14ac:dyDescent="0.25">
      <c r="K514" s="19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x14ac:dyDescent="0.25">
      <c r="K519" s="44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ht="15.75" x14ac:dyDescent="0.25">
      <c r="K528" s="19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</sheetData>
  <conditionalFormatting sqref="A2:R190 K186:K216 I191:R192 I191:I193 A191:H200 J193:N193 O193:R196 L194:N196 I194:J198 L197:R215 I198:I219 J199 I200:J202 A201:G205 H201:H217 J203:J215 A206:H206 A207:G217 J216:R219 G218:H219 G218:G220 A218:F221 B219:G247 H220:J220 K220:R221 K220:K297 G221:J222 I221:I224 A222:A231 L222:R244 H223:J223 H224 J224 H225:J226 H227:H229 I227:J238 F230:H230 H231 A232:H232 A233 H233:H234 A234:B234 A235:H237 H238 A238:A241 G239:J244 A242:B242 A243 A244:B244 H245:R245 A245:A296 B246:J249 L246:R254 D247:D251 G247:G251 D248:F253 H250:J250 B250:C256 E250:F256 G251:J252 H253:J253 D254:D256 G254:J256 G254:G258 K255:R255 L255:L263 L256:R260 H257:J257 J258:J262 H258:I264 M261:R261 L262:R262 J263:R263 J264:J265 I264:I273 L264:R297 H265:J269 H270:H273 J270:J273 H274:J274 H275:H282 J275:J282 I276:I282 H283:J290 I285:I293 H291 J291 H292:J312 A297:B297 B297:G380 A298:A300 K298:R300 K299:K325 A301:B301 L301:R325 A302:A379 I308:I317 H313:H314 J313:J314 H315:J328 I325:I332 K326:R374 H329:H330 J329:J333 H331:J332 H333 H334:J360 I357:I368 H361:H368 J361:J368 H369:J374 H375:R379 I380 K380:K469">
    <cfRule type="expression" dxfId="14" priority="7">
      <formula>CELL("row")=ROW()</formula>
    </cfRule>
  </conditionalFormatting>
  <conditionalFormatting sqref="B257:G290 B291:B300 C291:G301">
    <cfRule type="expression" dxfId="13" priority="5">
      <formula>CELL("row")=ROW()</formula>
    </cfRule>
  </conditionalFormatting>
  <conditionalFormatting sqref="F326:G326">
    <cfRule type="expression" dxfId="12" priority="2">
      <formula>CELL("row")=ROW()</formula>
    </cfRule>
  </conditionalFormatting>
  <conditionalFormatting sqref="G266">
    <cfRule type="expression" dxfId="11" priority="4">
      <formula>CELL("row")=ROW()</formula>
    </cfRule>
  </conditionalFormatting>
  <conditionalFormatting sqref="K381:O391 L380:O380">
    <cfRule type="expression" dxfId="10" priority="16">
      <formula>ROW(M93)=HighlightRow</formula>
    </cfRule>
  </conditionalFormatting>
  <conditionalFormatting sqref="P380:Q391">
    <cfRule type="expression" dxfId="9" priority="20">
      <formula>ROW(S93)=HighlightRow</formula>
    </cfRule>
  </conditionalFormatting>
  <conditionalFormatting sqref="S105:XFD105">
    <cfRule type="expression" dxfId="8" priority="21">
      <formula>ROW(T94)=HighlightRow</formula>
    </cfRule>
  </conditionalFormatting>
  <conditionalFormatting sqref="S106:XFD114">
    <cfRule type="expression" dxfId="7" priority="18">
      <formula>ROW(T96)=HighlightRow</formula>
    </cfRule>
  </conditionalFormatting>
  <pageMargins left="0.7" right="0.7" top="0.75" bottom="0.75" header="0.3" footer="0.3"/>
  <pageSetup paperSize="9" scale="17" fitToHeight="0" orientation="portrait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738" zoomScaleNormal="100" workbookViewId="0">
      <selection activeCell="C751" sqref="C7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7460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81"/>
  <sheetViews>
    <sheetView topLeftCell="A133" zoomScale="85" zoomScaleNormal="85" workbookViewId="0">
      <selection activeCell="B170" sqref="B170:E181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7939</v>
      </c>
      <c r="C3" s="19">
        <v>7006955275</v>
      </c>
      <c r="D3" s="19" t="s">
        <v>7940</v>
      </c>
      <c r="E3" s="19" t="s">
        <v>7941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7806</v>
      </c>
      <c r="C4" s="19">
        <v>7889324122</v>
      </c>
      <c r="D4" s="19" t="s">
        <v>7815</v>
      </c>
      <c r="E4" s="19" t="s">
        <v>7812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7820</v>
      </c>
      <c r="C5" s="19">
        <v>7006000499</v>
      </c>
      <c r="D5" s="19" t="s">
        <v>8153</v>
      </c>
      <c r="E5" s="19" t="s">
        <v>7847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8154</v>
      </c>
      <c r="C6" s="19">
        <v>7006582052</v>
      </c>
      <c r="D6" s="19" t="s">
        <v>8155</v>
      </c>
      <c r="E6" s="19" t="s">
        <v>7850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7886</v>
      </c>
      <c r="C7" s="19">
        <v>8082623899</v>
      </c>
      <c r="D7" s="19" t="s">
        <v>8156</v>
      </c>
      <c r="E7" s="19" t="s">
        <v>7879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7793</v>
      </c>
      <c r="C8" s="19">
        <v>7780996739</v>
      </c>
      <c r="D8" s="19" t="s">
        <v>8157</v>
      </c>
      <c r="E8" s="19" t="s">
        <v>7848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7878</v>
      </c>
      <c r="C9" s="19">
        <v>7889588496</v>
      </c>
      <c r="D9" s="19" t="s">
        <v>7938</v>
      </c>
      <c r="E9" s="19" t="s">
        <v>7892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7933</v>
      </c>
      <c r="C10" s="19">
        <v>7006197341</v>
      </c>
      <c r="D10" s="19" t="s">
        <v>8158</v>
      </c>
      <c r="E10" s="19" t="s">
        <v>7934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7922</v>
      </c>
      <c r="C11" s="19">
        <v>9906605048</v>
      </c>
      <c r="D11" s="19" t="s">
        <v>8159</v>
      </c>
      <c r="E11" s="19" t="s">
        <v>7923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7907</v>
      </c>
      <c r="C12" s="19">
        <v>9906473272</v>
      </c>
      <c r="D12" s="19" t="s">
        <v>8150</v>
      </c>
      <c r="E12" s="19" t="s">
        <v>7926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8160</v>
      </c>
      <c r="C13" s="19">
        <v>9906786675</v>
      </c>
      <c r="D13" s="19" t="s">
        <v>8161</v>
      </c>
      <c r="E13" s="19" t="s">
        <v>7925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7855</v>
      </c>
      <c r="C14" s="19">
        <v>9622459354</v>
      </c>
      <c r="D14" s="19" t="s">
        <v>8162</v>
      </c>
      <c r="E14" s="19" t="s">
        <v>7861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7891</v>
      </c>
      <c r="C15" s="19">
        <v>7006616090</v>
      </c>
      <c r="D15" s="19" t="s">
        <v>8122</v>
      </c>
      <c r="E15" s="19" t="s">
        <v>7894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8151</v>
      </c>
      <c r="C16" s="19">
        <v>9906730950</v>
      </c>
      <c r="D16" s="19" t="s">
        <v>8152</v>
      </c>
      <c r="E16" s="19" t="s">
        <v>7999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8163</v>
      </c>
      <c r="C17" s="19">
        <v>7006441266</v>
      </c>
      <c r="D17" s="19" t="s">
        <v>8164</v>
      </c>
      <c r="E17" s="19" t="s">
        <v>8013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6748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6746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6745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ref="A35:A66" si="1">ROW()-2</f>
        <v>33</v>
      </c>
      <c r="B35" s="43" t="s">
        <v>6626</v>
      </c>
      <c r="C35" s="43">
        <v>9906454751</v>
      </c>
      <c r="D35" s="43" t="s">
        <v>6747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1"/>
        <v>34</v>
      </c>
      <c r="B36" s="43" t="s">
        <v>6777</v>
      </c>
      <c r="C36" s="43">
        <v>7780824558</v>
      </c>
      <c r="D36" s="43" t="s">
        <v>6778</v>
      </c>
      <c r="E36" s="43" t="s">
        <v>6764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6756</v>
      </c>
      <c r="C37" s="43">
        <v>8899778092</v>
      </c>
      <c r="D37" s="43" t="s">
        <v>6776</v>
      </c>
      <c r="E37" s="43" t="s">
        <v>6763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6779</v>
      </c>
      <c r="C38" s="43">
        <v>9906337730</v>
      </c>
      <c r="D38" s="43" t="s">
        <v>6780</v>
      </c>
      <c r="E38" s="43" t="s">
        <v>6765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6769</v>
      </c>
      <c r="C39" s="43">
        <v>9606595001</v>
      </c>
      <c r="D39" s="43" t="s">
        <v>6781</v>
      </c>
      <c r="E39" s="43" t="s">
        <v>6770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6792</v>
      </c>
      <c r="C40" s="43">
        <v>7006748463</v>
      </c>
      <c r="D40" s="43" t="s">
        <v>6796</v>
      </c>
      <c r="E40" s="43" t="s">
        <v>6795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3590</v>
      </c>
      <c r="C41" s="43">
        <v>9797971835</v>
      </c>
      <c r="D41" s="43" t="s">
        <v>6797</v>
      </c>
      <c r="E41" s="43" t="s">
        <v>6789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6804</v>
      </c>
      <c r="C42" s="43">
        <v>7006009589</v>
      </c>
      <c r="D42" s="43" t="s">
        <v>6837</v>
      </c>
      <c r="E42" s="43" t="s">
        <v>6821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1"/>
        <v>41</v>
      </c>
      <c r="B43" s="43" t="s">
        <v>6829</v>
      </c>
      <c r="C43" s="43">
        <v>7006154383</v>
      </c>
      <c r="D43" s="43" t="s">
        <v>6880</v>
      </c>
      <c r="E43" s="43" t="s">
        <v>6842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1"/>
        <v>42</v>
      </c>
      <c r="B44" s="43" t="s">
        <v>6817</v>
      </c>
      <c r="C44" s="43">
        <v>8493043123</v>
      </c>
      <c r="D44" s="43" t="s">
        <v>6879</v>
      </c>
      <c r="E44" s="43" t="s">
        <v>6822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1"/>
        <v>43</v>
      </c>
      <c r="B45" s="43" t="s">
        <v>6887</v>
      </c>
      <c r="C45" s="43">
        <v>9149984428</v>
      </c>
      <c r="D45" s="43" t="s">
        <v>6888</v>
      </c>
      <c r="E45" s="43" t="s">
        <v>6889</v>
      </c>
      <c r="F45" s="21">
        <v>45999</v>
      </c>
      <c r="G45" s="21" t="s">
        <v>341</v>
      </c>
      <c r="H45" s="19" t="s">
        <v>6665</v>
      </c>
    </row>
    <row r="46" spans="1:14" ht="15.75" x14ac:dyDescent="0.25">
      <c r="A46" s="19">
        <f t="shared" si="1"/>
        <v>44</v>
      </c>
      <c r="B46" s="43" t="s">
        <v>6832</v>
      </c>
      <c r="C46" s="43">
        <v>9797004941</v>
      </c>
      <c r="D46" s="43" t="s">
        <v>6890</v>
      </c>
      <c r="E46" s="43" t="s">
        <v>6849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1"/>
        <v>45</v>
      </c>
      <c r="B47" s="43" t="s">
        <v>6528</v>
      </c>
      <c r="C47" s="43">
        <v>7006565560</v>
      </c>
      <c r="D47" s="43" t="s">
        <v>6936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1"/>
        <v>46</v>
      </c>
      <c r="B48" s="43" t="s">
        <v>6898</v>
      </c>
      <c r="C48" s="43">
        <v>9906488569</v>
      </c>
      <c r="D48" s="43" t="s">
        <v>6947</v>
      </c>
      <c r="E48" s="43" t="s">
        <v>6899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4930</v>
      </c>
      <c r="C49" s="43">
        <v>9622687856</v>
      </c>
      <c r="D49" s="43" t="s">
        <v>6949</v>
      </c>
      <c r="E49" s="43" t="s">
        <v>6941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6932</v>
      </c>
      <c r="C50" s="43">
        <v>9419052455</v>
      </c>
      <c r="D50" s="43" t="s">
        <v>6950</v>
      </c>
      <c r="E50" s="43" t="s">
        <v>6937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6840</v>
      </c>
      <c r="C51" s="43">
        <v>9682362746</v>
      </c>
      <c r="D51" s="43" t="s">
        <v>6957</v>
      </c>
      <c r="E51" s="43" t="s">
        <v>6848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6958</v>
      </c>
      <c r="C52" s="43">
        <v>7889471670</v>
      </c>
      <c r="D52" s="43" t="s">
        <v>6959</v>
      </c>
      <c r="E52" s="43" t="s">
        <v>6946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6966</v>
      </c>
      <c r="C53" s="43">
        <v>7889467793</v>
      </c>
      <c r="D53" s="43" t="s">
        <v>6978</v>
      </c>
      <c r="E53" s="43" t="s">
        <v>6974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3089</v>
      </c>
      <c r="C54" s="43">
        <v>9419381680</v>
      </c>
      <c r="D54" s="43" t="s">
        <v>6977</v>
      </c>
      <c r="E54" s="43" t="s">
        <v>6973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6962</v>
      </c>
      <c r="C55" s="43">
        <v>9103172002</v>
      </c>
      <c r="D55" s="43" t="s">
        <v>6976</v>
      </c>
      <c r="E55" s="43" t="s">
        <v>6972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6981</v>
      </c>
      <c r="C56" s="43">
        <v>9797126573</v>
      </c>
      <c r="D56" s="43" t="s">
        <v>6991</v>
      </c>
      <c r="E56" s="43" t="s">
        <v>6985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7030</v>
      </c>
      <c r="C57" s="43">
        <v>8082636745</v>
      </c>
      <c r="D57" s="43" t="s">
        <v>7034</v>
      </c>
      <c r="E57" s="43" t="s">
        <v>7028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7029</v>
      </c>
      <c r="C58" s="43">
        <v>9541537572</v>
      </c>
      <c r="D58" s="43" t="s">
        <v>7033</v>
      </c>
      <c r="E58" s="43" t="s">
        <v>7009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4399</v>
      </c>
      <c r="C59" s="43">
        <v>6006763182</v>
      </c>
      <c r="D59" s="43" t="s">
        <v>7032</v>
      </c>
      <c r="E59" s="43" t="s">
        <v>7026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7004</v>
      </c>
      <c r="C60" s="43">
        <v>9149852485</v>
      </c>
      <c r="D60" s="43" t="s">
        <v>7031</v>
      </c>
      <c r="E60" s="43" t="s">
        <v>7027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7036</v>
      </c>
      <c r="C61" s="43">
        <v>9469001234</v>
      </c>
      <c r="D61" s="43" t="s">
        <v>7037</v>
      </c>
      <c r="E61" s="43" t="s">
        <v>7038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7047</v>
      </c>
      <c r="C62" s="43">
        <v>9622901567</v>
      </c>
      <c r="D62" s="43" t="s">
        <v>7078</v>
      </c>
      <c r="E62" s="43" t="s">
        <v>7065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7079</v>
      </c>
      <c r="C63" s="43">
        <v>9419015767</v>
      </c>
      <c r="D63" s="43" t="s">
        <v>7080</v>
      </c>
      <c r="E63" s="43" t="s">
        <v>7063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7081</v>
      </c>
      <c r="C64" s="43">
        <v>9419705595</v>
      </c>
      <c r="D64" s="43" t="s">
        <v>7082</v>
      </c>
      <c r="E64" s="43" t="s">
        <v>7075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7061</v>
      </c>
      <c r="C65" s="43">
        <v>9682101195</v>
      </c>
      <c r="D65" s="43" t="s">
        <v>7083</v>
      </c>
      <c r="E65" s="43" t="s">
        <v>7076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173</v>
      </c>
      <c r="C66" s="43">
        <v>9469888011</v>
      </c>
      <c r="D66" s="43" t="s">
        <v>7087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98" si="2">ROW()-2</f>
        <v>65</v>
      </c>
      <c r="B67" s="43" t="s">
        <v>1971</v>
      </c>
      <c r="C67" s="43">
        <v>9797764631</v>
      </c>
      <c r="D67" s="43" t="s">
        <v>7088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7093</v>
      </c>
      <c r="C68" s="43">
        <v>7006296665</v>
      </c>
      <c r="D68" s="43" t="s">
        <v>7111</v>
      </c>
      <c r="E68" s="43" t="s">
        <v>7094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7102</v>
      </c>
      <c r="C69" s="43">
        <v>7006224132</v>
      </c>
      <c r="D69" s="43" t="s">
        <v>7110</v>
      </c>
      <c r="E69" s="43" t="s">
        <v>7109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6096</v>
      </c>
      <c r="C70" s="43">
        <v>7006205953</v>
      </c>
      <c r="D70" s="43" t="s">
        <v>7116</v>
      </c>
      <c r="E70" s="43" t="s">
        <v>6983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7119</v>
      </c>
      <c r="C71" s="43">
        <v>7006159140</v>
      </c>
      <c r="D71" s="43" t="s">
        <v>7137</v>
      </c>
      <c r="E71" s="43" t="s">
        <v>7121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7125</v>
      </c>
      <c r="C72" s="43">
        <v>7006417231</v>
      </c>
      <c r="D72" s="43" t="s">
        <v>7138</v>
      </c>
      <c r="E72" s="43" t="s">
        <v>7127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7134</v>
      </c>
      <c r="C73" s="43">
        <v>9419007332</v>
      </c>
      <c r="D73" s="43" t="s">
        <v>7139</v>
      </c>
      <c r="E73" s="43" t="s">
        <v>7135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7130</v>
      </c>
      <c r="C74" s="43">
        <v>6006807265</v>
      </c>
      <c r="D74" s="43" t="s">
        <v>7140</v>
      </c>
      <c r="E74" s="43" t="s">
        <v>7136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7163</v>
      </c>
      <c r="C75" s="43">
        <v>8493000467</v>
      </c>
      <c r="D75" s="43" t="s">
        <v>7176</v>
      </c>
      <c r="E75" s="43" t="s">
        <v>7170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7148</v>
      </c>
      <c r="C76" s="43">
        <v>7889821425</v>
      </c>
      <c r="D76" s="43" t="s">
        <v>7175</v>
      </c>
      <c r="E76" s="43" t="s">
        <v>7173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7180</v>
      </c>
      <c r="C77" s="43">
        <v>8825095120</v>
      </c>
      <c r="D77" s="43" t="s">
        <v>7191</v>
      </c>
      <c r="E77" s="43" t="s">
        <v>7189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7190</v>
      </c>
      <c r="C78" s="43">
        <v>9622347307</v>
      </c>
      <c r="D78" s="43" t="s">
        <v>7192</v>
      </c>
      <c r="E78" s="43" t="s">
        <v>7188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7169</v>
      </c>
      <c r="C79" s="43">
        <v>9797255546</v>
      </c>
      <c r="D79" s="43" t="s">
        <v>7193</v>
      </c>
      <c r="E79" s="43" t="s">
        <v>7187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7185</v>
      </c>
      <c r="C80" s="43">
        <v>6005890836</v>
      </c>
      <c r="D80" s="43" t="s">
        <v>7194</v>
      </c>
      <c r="E80" s="43" t="s">
        <v>7186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7256</v>
      </c>
      <c r="C81" s="43">
        <v>6005634614</v>
      </c>
      <c r="D81" s="43" t="s">
        <v>7257</v>
      </c>
      <c r="E81" s="43" t="s">
        <v>7209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7254</v>
      </c>
      <c r="C82" s="43">
        <v>9419273796</v>
      </c>
      <c r="D82" s="43" t="s">
        <v>7255</v>
      </c>
      <c r="E82" s="43" t="s">
        <v>7232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7220</v>
      </c>
      <c r="C83" s="43">
        <v>6005112387</v>
      </c>
      <c r="D83" s="43" t="s">
        <v>7252</v>
      </c>
      <c r="E83" s="43" t="s">
        <v>7230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5115</v>
      </c>
      <c r="C84" s="43">
        <v>9797187246</v>
      </c>
      <c r="D84" s="43" t="s">
        <v>7253</v>
      </c>
      <c r="E84" s="43" t="s">
        <v>7235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7204</v>
      </c>
      <c r="C85" s="43">
        <v>7006565352</v>
      </c>
      <c r="D85" s="43" t="s">
        <v>7262</v>
      </c>
      <c r="E85" s="43" t="s">
        <v>7210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7264</v>
      </c>
      <c r="C86" s="43">
        <v>7006646319</v>
      </c>
      <c r="D86" s="43" t="s">
        <v>7265</v>
      </c>
      <c r="E86" s="43" t="s">
        <v>7062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7199</v>
      </c>
      <c r="C87" s="43">
        <v>9906946331</v>
      </c>
      <c r="D87" s="43" t="s">
        <v>7272</v>
      </c>
      <c r="E87" s="43" t="s">
        <v>7231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687</v>
      </c>
      <c r="C88" s="43">
        <v>9906859364</v>
      </c>
      <c r="D88" s="43" t="s">
        <v>7273</v>
      </c>
      <c r="E88" s="43" t="s">
        <v>7258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7229</v>
      </c>
      <c r="C89" s="43">
        <v>8825002572</v>
      </c>
      <c r="D89" s="43" t="s">
        <v>7279</v>
      </c>
      <c r="E89" s="43" t="s">
        <v>7234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7298</v>
      </c>
      <c r="C90" s="43">
        <v>9797150382</v>
      </c>
      <c r="D90" s="43" t="s">
        <v>7319</v>
      </c>
      <c r="E90" s="43" t="s">
        <v>7299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7310</v>
      </c>
      <c r="C91" s="43">
        <v>9797913220</v>
      </c>
      <c r="D91" s="43" t="s">
        <v>7333</v>
      </c>
      <c r="E91" s="43" t="s">
        <v>7322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7328</v>
      </c>
      <c r="C92" s="43">
        <v>9622755213</v>
      </c>
      <c r="D92" s="43" t="s">
        <v>7334</v>
      </c>
      <c r="E92" s="43" t="s">
        <v>7329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7331</v>
      </c>
      <c r="C93" s="43">
        <v>9596209114</v>
      </c>
      <c r="D93" s="43" t="s">
        <v>7335</v>
      </c>
      <c r="E93" s="43" t="s">
        <v>7332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2"/>
        <v>92</v>
      </c>
      <c r="B94" s="43" t="s">
        <v>7313</v>
      </c>
      <c r="C94" s="43">
        <v>7006878734</v>
      </c>
      <c r="D94" s="43" t="s">
        <v>7336</v>
      </c>
      <c r="E94" s="43" t="s">
        <v>7321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2"/>
        <v>93</v>
      </c>
      <c r="B95" s="43" t="s">
        <v>7338</v>
      </c>
      <c r="C95" s="43">
        <v>8899903781</v>
      </c>
      <c r="D95" s="43" t="s">
        <v>7337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7291</v>
      </c>
      <c r="C96" s="43">
        <v>9018112121</v>
      </c>
      <c r="D96" s="43" t="s">
        <v>7349</v>
      </c>
      <c r="E96" s="43" t="s">
        <v>7293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2"/>
        <v>95</v>
      </c>
      <c r="B97" s="43" t="s">
        <v>6571</v>
      </c>
      <c r="C97" s="43">
        <v>9797300880</v>
      </c>
      <c r="D97" s="43" t="s">
        <v>7350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2"/>
        <v>96</v>
      </c>
      <c r="B98" s="43" t="s">
        <v>7366</v>
      </c>
      <c r="C98" s="43">
        <v>7780927793</v>
      </c>
      <c r="D98" s="43" t="s">
        <v>7388</v>
      </c>
      <c r="E98" s="43" t="s">
        <v>7377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ref="A99:A130" si="3">ROW()-2</f>
        <v>97</v>
      </c>
      <c r="B99" s="43" t="s">
        <v>7354</v>
      </c>
      <c r="C99" s="43">
        <v>7006028890</v>
      </c>
      <c r="D99" s="43" t="s">
        <v>7389</v>
      </c>
      <c r="E99" s="43" t="s">
        <v>7375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3"/>
        <v>98</v>
      </c>
      <c r="B100" s="43" t="s">
        <v>7417</v>
      </c>
      <c r="C100" s="43">
        <v>8491813907</v>
      </c>
      <c r="D100" s="43" t="s">
        <v>7418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3"/>
        <v>99</v>
      </c>
      <c r="B101" s="43" t="s">
        <v>7396</v>
      </c>
      <c r="C101" s="43">
        <v>7006740143</v>
      </c>
      <c r="D101" s="43" t="s">
        <v>7423</v>
      </c>
      <c r="E101" s="43" t="s">
        <v>7397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3"/>
        <v>100</v>
      </c>
      <c r="B102" s="43" t="s">
        <v>7401</v>
      </c>
      <c r="C102" s="43">
        <v>9906387311</v>
      </c>
      <c r="D102" s="43" t="s">
        <v>7422</v>
      </c>
      <c r="E102" s="43" t="s">
        <v>7405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3"/>
        <v>101</v>
      </c>
      <c r="B103" s="43" t="s">
        <v>7411</v>
      </c>
      <c r="C103" s="43">
        <v>8899080830</v>
      </c>
      <c r="D103" s="43" t="s">
        <v>7424</v>
      </c>
      <c r="E103" s="43" t="s">
        <v>7420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3"/>
        <v>102</v>
      </c>
      <c r="B104" s="43" t="s">
        <v>357</v>
      </c>
      <c r="C104" s="43">
        <v>7006804594</v>
      </c>
      <c r="D104" s="43" t="s">
        <v>7425</v>
      </c>
      <c r="E104" s="43" t="s">
        <v>7419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3"/>
        <v>103</v>
      </c>
      <c r="B105" s="43" t="s">
        <v>7415</v>
      </c>
      <c r="C105" s="43">
        <v>7780857793</v>
      </c>
      <c r="D105" s="43" t="s">
        <v>7439</v>
      </c>
      <c r="E105" s="43" t="s">
        <v>7421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3"/>
        <v>104</v>
      </c>
      <c r="B106" s="43" t="s">
        <v>7393</v>
      </c>
      <c r="C106" s="43">
        <v>9622737390</v>
      </c>
      <c r="D106" s="43" t="s">
        <v>7440</v>
      </c>
      <c r="E106" s="43" t="s">
        <v>7404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3"/>
        <v>105</v>
      </c>
      <c r="B107" s="43" t="s">
        <v>7437</v>
      </c>
      <c r="C107" s="43">
        <v>9906998728</v>
      </c>
      <c r="D107" s="43" t="s">
        <v>7442</v>
      </c>
      <c r="E107" s="43" t="s">
        <v>7441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3"/>
        <v>106</v>
      </c>
      <c r="B108" s="43" t="s">
        <v>7432</v>
      </c>
      <c r="C108" s="43">
        <v>7889474847</v>
      </c>
      <c r="D108" s="43" t="s">
        <v>7452</v>
      </c>
      <c r="E108" s="43" t="s">
        <v>7376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3"/>
        <v>107</v>
      </c>
      <c r="B109" s="43" t="s">
        <v>7247</v>
      </c>
      <c r="C109" s="43">
        <v>7889801873</v>
      </c>
      <c r="D109" s="43" t="s">
        <v>7553</v>
      </c>
      <c r="E109" s="43" t="s">
        <v>7261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3"/>
        <v>108</v>
      </c>
      <c r="B110" s="43" t="s">
        <v>7357</v>
      </c>
      <c r="C110" s="43">
        <v>8491929306</v>
      </c>
      <c r="D110" s="43" t="s">
        <v>7453</v>
      </c>
      <c r="E110" s="43" t="s">
        <v>7438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3"/>
        <v>109</v>
      </c>
      <c r="B111" s="43" t="s">
        <v>7464</v>
      </c>
      <c r="C111" s="43">
        <v>7889383674</v>
      </c>
      <c r="D111" s="43" t="s">
        <v>7551</v>
      </c>
      <c r="E111" s="43" t="s">
        <v>7490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3"/>
        <v>110</v>
      </c>
      <c r="B112" s="43" t="s">
        <v>7468</v>
      </c>
      <c r="C112" s="43">
        <v>9541622336</v>
      </c>
      <c r="D112" s="43" t="s">
        <v>7550</v>
      </c>
      <c r="E112" s="43" t="s">
        <v>7494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3"/>
        <v>111</v>
      </c>
      <c r="B113" s="43" t="s">
        <v>7346</v>
      </c>
      <c r="C113" s="43">
        <v>7006565342</v>
      </c>
      <c r="D113" s="43" t="s">
        <v>7548</v>
      </c>
      <c r="E113" s="43" t="s">
        <v>7348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3"/>
        <v>112</v>
      </c>
      <c r="B114" s="43" t="s">
        <v>7546</v>
      </c>
      <c r="C114" s="43">
        <v>7889605207</v>
      </c>
      <c r="D114" s="43" t="s">
        <v>7547</v>
      </c>
      <c r="E114" s="43" t="s">
        <v>7347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3"/>
        <v>113</v>
      </c>
      <c r="B115" s="43" t="s">
        <v>7463</v>
      </c>
      <c r="C115" s="43">
        <v>9018754974</v>
      </c>
      <c r="D115" s="43" t="s">
        <v>7549</v>
      </c>
      <c r="E115" s="43" t="s">
        <v>7489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3"/>
        <v>114</v>
      </c>
      <c r="B116" s="43" t="s">
        <v>6499</v>
      </c>
      <c r="C116" s="43">
        <v>7006084104</v>
      </c>
      <c r="D116" s="43" t="s">
        <v>7572</v>
      </c>
      <c r="E116" s="43" t="s">
        <v>6500</v>
      </c>
      <c r="F116" s="21"/>
      <c r="G116" s="21"/>
      <c r="H116" s="19" t="s">
        <v>7573</v>
      </c>
    </row>
    <row r="117" spans="1:8" ht="15.75" x14ac:dyDescent="0.25">
      <c r="A117" s="19">
        <f t="shared" si="3"/>
        <v>115</v>
      </c>
      <c r="B117" s="43" t="s">
        <v>7503</v>
      </c>
      <c r="C117" s="43">
        <v>6005068829</v>
      </c>
      <c r="D117" s="43" t="s">
        <v>7552</v>
      </c>
      <c r="E117" s="43" t="s">
        <v>7517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3"/>
        <v>116</v>
      </c>
      <c r="B118" s="43" t="s">
        <v>7570</v>
      </c>
      <c r="C118" s="43">
        <v>7889559968</v>
      </c>
      <c r="D118" s="43" t="s">
        <v>7571</v>
      </c>
      <c r="E118" s="43" t="s">
        <v>7554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3"/>
        <v>117</v>
      </c>
      <c r="B119" s="43" t="s">
        <v>6433</v>
      </c>
      <c r="C119" s="43">
        <v>9858321757</v>
      </c>
      <c r="D119" s="43" t="s">
        <v>7569</v>
      </c>
      <c r="E119" s="43" t="s">
        <v>7555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3"/>
        <v>118</v>
      </c>
      <c r="B120" s="43" t="s">
        <v>7451</v>
      </c>
      <c r="C120" s="43">
        <v>7298772174</v>
      </c>
      <c r="D120" s="43" t="s">
        <v>7567</v>
      </c>
      <c r="E120" s="43" t="s">
        <v>7458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3"/>
        <v>119</v>
      </c>
      <c r="B121" s="43" t="s">
        <v>7462</v>
      </c>
      <c r="C121" s="43">
        <v>9906539681</v>
      </c>
      <c r="D121" s="43" t="s">
        <v>7568</v>
      </c>
      <c r="E121" s="43" t="s">
        <v>7488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3"/>
        <v>120</v>
      </c>
      <c r="B122" s="43" t="s">
        <v>7544</v>
      </c>
      <c r="C122" s="43">
        <v>8825061187</v>
      </c>
      <c r="D122" s="43" t="s">
        <v>7624</v>
      </c>
      <c r="E122" s="43" t="s">
        <v>7556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3"/>
        <v>121</v>
      </c>
      <c r="B123" s="43" t="s">
        <v>7622</v>
      </c>
      <c r="C123" s="43">
        <v>7889773670</v>
      </c>
      <c r="D123" s="43" t="s">
        <v>7623</v>
      </c>
      <c r="E123" s="43" t="s">
        <v>7594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3"/>
        <v>122</v>
      </c>
      <c r="B124" s="43" t="s">
        <v>7575</v>
      </c>
      <c r="C124" s="43">
        <v>9419002237</v>
      </c>
      <c r="D124" s="43" t="s">
        <v>7614</v>
      </c>
      <c r="E124" s="43" t="s">
        <v>7592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3"/>
        <v>123</v>
      </c>
      <c r="B125" s="43" t="s">
        <v>7609</v>
      </c>
      <c r="C125" s="43">
        <v>9149416177</v>
      </c>
      <c r="D125" s="43" t="s">
        <v>7621</v>
      </c>
      <c r="E125" s="43" t="s">
        <v>7610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3"/>
        <v>124</v>
      </c>
      <c r="B126" s="43" t="s">
        <v>6865</v>
      </c>
      <c r="C126" s="43">
        <v>9596341802</v>
      </c>
      <c r="D126" s="43" t="s">
        <v>7619</v>
      </c>
      <c r="E126" s="43" t="s">
        <v>6873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3"/>
        <v>125</v>
      </c>
      <c r="B127" s="43" t="s">
        <v>7565</v>
      </c>
      <c r="C127" s="43">
        <v>9906918176</v>
      </c>
      <c r="D127" s="43" t="s">
        <v>7620</v>
      </c>
      <c r="E127" s="43" t="s">
        <v>7591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3"/>
        <v>126</v>
      </c>
      <c r="B128" s="43" t="s">
        <v>7601</v>
      </c>
      <c r="C128" s="43">
        <v>9797222635</v>
      </c>
      <c r="D128" s="43" t="s">
        <v>7686</v>
      </c>
      <c r="E128" s="43" t="s">
        <v>7612</v>
      </c>
      <c r="F128" s="21"/>
      <c r="G128" s="21" t="s">
        <v>341</v>
      </c>
      <c r="H128" s="19" t="s">
        <v>7778</v>
      </c>
    </row>
    <row r="129" spans="1:8" ht="15.75" x14ac:dyDescent="0.25">
      <c r="A129" s="19">
        <f t="shared" si="3"/>
        <v>127</v>
      </c>
      <c r="B129" s="43" t="s">
        <v>7582</v>
      </c>
      <c r="C129" s="43">
        <v>7006907205</v>
      </c>
      <c r="D129" s="43" t="s">
        <v>7638</v>
      </c>
      <c r="E129" s="43" t="s">
        <v>7593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3"/>
        <v>128</v>
      </c>
      <c r="B130" s="43" t="s">
        <v>6517</v>
      </c>
      <c r="C130" s="43">
        <v>7006812581</v>
      </c>
      <c r="D130" s="43" t="s">
        <v>7633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62" si="4">ROW()-2</f>
        <v>129</v>
      </c>
      <c r="B131" s="43" t="s">
        <v>6486</v>
      </c>
      <c r="C131" s="43">
        <v>7051606206</v>
      </c>
      <c r="D131" s="43" t="s">
        <v>7635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4"/>
        <v>130</v>
      </c>
      <c r="B132" s="43" t="s">
        <v>7467</v>
      </c>
      <c r="C132" s="43">
        <v>9205000009</v>
      </c>
      <c r="D132" s="43" t="s">
        <v>7674</v>
      </c>
      <c r="E132" s="43" t="s">
        <v>7493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4"/>
        <v>131</v>
      </c>
      <c r="B133" s="43" t="s">
        <v>7429</v>
      </c>
      <c r="C133" s="43">
        <v>9797999350</v>
      </c>
      <c r="D133" s="43" t="s">
        <v>7676</v>
      </c>
      <c r="E133" s="43" t="s">
        <v>7443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4"/>
        <v>132</v>
      </c>
      <c r="B134" s="43" t="s">
        <v>7507</v>
      </c>
      <c r="C134" s="43">
        <v>9858727429</v>
      </c>
      <c r="D134" s="43" t="s">
        <v>7675</v>
      </c>
      <c r="E134" s="43" t="s">
        <v>7518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4"/>
        <v>133</v>
      </c>
      <c r="B135" s="43" t="s">
        <v>3775</v>
      </c>
      <c r="C135" s="43"/>
      <c r="D135" s="43" t="s">
        <v>7685</v>
      </c>
      <c r="E135" s="43" t="s">
        <v>3776</v>
      </c>
      <c r="F135" s="21"/>
      <c r="G135" s="21" t="s">
        <v>341</v>
      </c>
      <c r="H135" s="19" t="s">
        <v>7573</v>
      </c>
    </row>
    <row r="136" spans="1:8" ht="15.75" x14ac:dyDescent="0.25">
      <c r="A136" s="19">
        <f t="shared" si="4"/>
        <v>134</v>
      </c>
      <c r="B136" s="43" t="s">
        <v>7628</v>
      </c>
      <c r="C136" s="43">
        <v>9596366782</v>
      </c>
      <c r="D136" s="43" t="s">
        <v>7679</v>
      </c>
      <c r="E136" s="43" t="s">
        <v>7636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4"/>
        <v>135</v>
      </c>
      <c r="B137" s="43" t="s">
        <v>7362</v>
      </c>
      <c r="C137" s="43">
        <v>6005579912</v>
      </c>
      <c r="D137" s="43" t="s">
        <v>7677</v>
      </c>
      <c r="E137" s="43" t="s">
        <v>7380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4"/>
        <v>136</v>
      </c>
      <c r="B138" s="43" t="s">
        <v>7680</v>
      </c>
      <c r="C138" s="43">
        <v>9906687592</v>
      </c>
      <c r="D138" s="43" t="s">
        <v>7681</v>
      </c>
      <c r="E138" s="43" t="s">
        <v>7637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4"/>
        <v>137</v>
      </c>
      <c r="B139" s="43" t="s">
        <v>7642</v>
      </c>
      <c r="C139" s="43">
        <v>7006141977</v>
      </c>
      <c r="D139" s="43" t="s">
        <v>7678</v>
      </c>
      <c r="E139" s="43" t="s">
        <v>7652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4"/>
        <v>138</v>
      </c>
      <c r="B140" s="43" t="s">
        <v>7682</v>
      </c>
      <c r="C140" s="43">
        <v>9622531795</v>
      </c>
      <c r="D140" s="43" t="s">
        <v>7683</v>
      </c>
      <c r="E140" s="43" t="s">
        <v>7662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4"/>
        <v>139</v>
      </c>
      <c r="B141" s="43" t="s">
        <v>7656</v>
      </c>
      <c r="C141" s="43">
        <v>8715929114</v>
      </c>
      <c r="D141" s="43" t="s">
        <v>7708</v>
      </c>
      <c r="E141" s="43" t="s">
        <v>7658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4"/>
        <v>140</v>
      </c>
      <c r="B142" s="43" t="s">
        <v>7693</v>
      </c>
      <c r="C142" s="43">
        <v>9622716592</v>
      </c>
      <c r="D142" s="43" t="s">
        <v>7707</v>
      </c>
      <c r="E142" s="43" t="s">
        <v>7704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4"/>
        <v>141</v>
      </c>
      <c r="B143" s="43" t="s">
        <v>7729</v>
      </c>
      <c r="C143" s="43">
        <v>9541083744</v>
      </c>
      <c r="D143" s="43" t="s">
        <v>7786</v>
      </c>
      <c r="E143" s="43" t="s">
        <v>7748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4"/>
        <v>142</v>
      </c>
      <c r="B144" s="43" t="s">
        <v>7772</v>
      </c>
      <c r="C144" s="43">
        <v>9596336858</v>
      </c>
      <c r="D144" s="43" t="s">
        <v>8176</v>
      </c>
      <c r="E144" s="43" t="s">
        <v>7775</v>
      </c>
      <c r="F144" s="21"/>
      <c r="G144" s="21"/>
      <c r="H144" s="19" t="s">
        <v>8168</v>
      </c>
    </row>
    <row r="145" spans="1:8" ht="15.75" x14ac:dyDescent="0.25">
      <c r="A145" s="19">
        <f t="shared" si="4"/>
        <v>143</v>
      </c>
      <c r="B145" s="43" t="s">
        <v>7743</v>
      </c>
      <c r="C145" s="43">
        <v>7006409005</v>
      </c>
      <c r="D145" s="43" t="s">
        <v>7785</v>
      </c>
      <c r="E145" s="43" t="s">
        <v>7751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4"/>
        <v>144</v>
      </c>
      <c r="B146" s="43" t="s">
        <v>7766</v>
      </c>
      <c r="C146" s="43">
        <v>9622775800</v>
      </c>
      <c r="D146" s="43" t="s">
        <v>7816</v>
      </c>
      <c r="E146" s="43" t="s">
        <v>7768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4"/>
        <v>145</v>
      </c>
      <c r="B147" s="43" t="s">
        <v>2915</v>
      </c>
      <c r="C147" s="43">
        <v>9906625047</v>
      </c>
      <c r="D147" s="43" t="s">
        <v>7817</v>
      </c>
      <c r="E147" s="43" t="s">
        <v>7749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4"/>
        <v>146</v>
      </c>
      <c r="B148" s="43" t="s">
        <v>6391</v>
      </c>
      <c r="C148" s="43">
        <v>8493055195</v>
      </c>
      <c r="D148" s="43" t="s">
        <v>7813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4"/>
        <v>147</v>
      </c>
      <c r="B149" s="43" t="s">
        <v>7790</v>
      </c>
      <c r="C149" s="43">
        <v>9419070393</v>
      </c>
      <c r="D149" s="43" t="s">
        <v>7814</v>
      </c>
      <c r="E149" s="43" t="s">
        <v>7795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4"/>
        <v>148</v>
      </c>
      <c r="B150" s="43" t="s">
        <v>658</v>
      </c>
      <c r="C150" s="43">
        <v>7006898324</v>
      </c>
      <c r="D150" s="43" t="s">
        <v>8145</v>
      </c>
      <c r="E150" s="43" t="s">
        <v>7927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4"/>
        <v>149</v>
      </c>
      <c r="B151" s="43" t="s">
        <v>3624</v>
      </c>
      <c r="C151" s="43">
        <v>7006928931</v>
      </c>
      <c r="D151" s="43" t="s">
        <v>8144</v>
      </c>
      <c r="E151" s="43" t="s">
        <v>7750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4"/>
        <v>150</v>
      </c>
      <c r="B152" s="43" t="s">
        <v>8063</v>
      </c>
      <c r="C152" s="43">
        <v>9070599346</v>
      </c>
      <c r="D152" s="43" t="s">
        <v>8092</v>
      </c>
      <c r="E152" s="43" t="s">
        <v>8087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4"/>
        <v>151</v>
      </c>
      <c r="B153" s="43" t="s">
        <v>8050</v>
      </c>
      <c r="C153" s="43">
        <v>9070111588</v>
      </c>
      <c r="D153" s="43" t="s">
        <v>8148</v>
      </c>
      <c r="E153" s="43" t="s">
        <v>8091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4"/>
        <v>152</v>
      </c>
      <c r="B154" s="19" t="s">
        <v>8075</v>
      </c>
      <c r="C154" s="19">
        <v>6005254071</v>
      </c>
      <c r="D154" s="19" t="s">
        <v>8121</v>
      </c>
      <c r="E154" s="19" t="s">
        <v>8088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4"/>
        <v>153</v>
      </c>
      <c r="B155" s="19" t="s">
        <v>8067</v>
      </c>
      <c r="C155" s="19">
        <v>9797071432</v>
      </c>
      <c r="D155" s="19" t="s">
        <v>8123</v>
      </c>
      <c r="E155" s="19" t="s">
        <v>8089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4"/>
        <v>154</v>
      </c>
      <c r="B156" s="19" t="s">
        <v>8141</v>
      </c>
      <c r="C156" s="19">
        <v>7780804850</v>
      </c>
      <c r="D156" s="19" t="s">
        <v>8142</v>
      </c>
      <c r="E156" s="19" t="s">
        <v>8119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4"/>
        <v>155</v>
      </c>
      <c r="B157" s="19" t="s">
        <v>7711</v>
      </c>
      <c r="C157" s="19">
        <v>9622020576</v>
      </c>
      <c r="D157" s="19" t="s">
        <v>8147</v>
      </c>
      <c r="E157" s="19"/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4"/>
        <v>156</v>
      </c>
      <c r="B158" s="19" t="s">
        <v>2915</v>
      </c>
      <c r="C158" s="19">
        <v>9596187640</v>
      </c>
      <c r="D158" s="19" t="s">
        <v>8146</v>
      </c>
      <c r="E158" s="19" t="s">
        <v>7862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4"/>
        <v>157</v>
      </c>
      <c r="B159" s="19" t="s">
        <v>8133</v>
      </c>
      <c r="C159" s="19">
        <v>7889666298</v>
      </c>
      <c r="D159" s="19" t="s">
        <v>8134</v>
      </c>
      <c r="E159" s="19" t="s">
        <v>7457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4"/>
        <v>158</v>
      </c>
      <c r="B160" s="19" t="s">
        <v>8045</v>
      </c>
      <c r="C160" s="19">
        <v>9906284454</v>
      </c>
      <c r="D160" s="19" t="s">
        <v>8135</v>
      </c>
      <c r="E160" s="19" t="s">
        <v>8086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4"/>
        <v>159</v>
      </c>
      <c r="B161" s="19" t="s">
        <v>6773</v>
      </c>
      <c r="C161" s="19">
        <v>7006274587</v>
      </c>
      <c r="D161" s="19" t="s">
        <v>8175</v>
      </c>
      <c r="E161" s="19" t="s">
        <v>7730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4"/>
        <v>160</v>
      </c>
      <c r="B162" s="19" t="s">
        <v>8177</v>
      </c>
      <c r="C162" s="19">
        <v>9018734100</v>
      </c>
      <c r="D162" s="19" t="s">
        <v>8178</v>
      </c>
      <c r="E162" s="19" t="s">
        <v>8167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ref="A163:A180" si="5">ROW()-2</f>
        <v>161</v>
      </c>
      <c r="B163" s="19" t="s">
        <v>2303</v>
      </c>
      <c r="C163" s="19">
        <v>9797443009</v>
      </c>
      <c r="D163" s="19" t="s">
        <v>8211</v>
      </c>
      <c r="E163" s="19" t="s">
        <v>8117</v>
      </c>
      <c r="F163" s="21">
        <v>46030</v>
      </c>
      <c r="G163" s="21" t="s">
        <v>341</v>
      </c>
      <c r="H163" s="19" t="s">
        <v>8168</v>
      </c>
    </row>
    <row r="164" spans="1:8" ht="15.75" x14ac:dyDescent="0.25">
      <c r="A164" s="19">
        <f t="shared" si="5"/>
        <v>162</v>
      </c>
      <c r="B164" s="19" t="s">
        <v>8171</v>
      </c>
      <c r="C164" s="19">
        <v>9596443329</v>
      </c>
      <c r="D164" s="19" t="s">
        <v>8210</v>
      </c>
      <c r="E164" s="19" t="s">
        <v>8173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5"/>
        <v>163</v>
      </c>
      <c r="B165" s="19" t="s">
        <v>8108</v>
      </c>
      <c r="C165" s="19">
        <v>8899110779</v>
      </c>
      <c r="D165" s="19" t="s">
        <v>8213</v>
      </c>
      <c r="E165" s="19" t="s">
        <v>8120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5"/>
        <v>164</v>
      </c>
      <c r="B166" s="19" t="s">
        <v>8185</v>
      </c>
      <c r="C166" s="19">
        <v>7889664350</v>
      </c>
      <c r="D166" s="19" t="s">
        <v>8223</v>
      </c>
      <c r="E166" s="19" t="s">
        <v>8187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5"/>
        <v>165</v>
      </c>
      <c r="B167" s="19" t="s">
        <v>8220</v>
      </c>
      <c r="C167" s="19">
        <v>6006052436</v>
      </c>
      <c r="D167" s="19" t="s">
        <v>8221</v>
      </c>
      <c r="E167" s="19" t="s">
        <v>7784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5"/>
        <v>166</v>
      </c>
      <c r="B168" s="47" t="s">
        <v>8217</v>
      </c>
      <c r="C168" s="47">
        <v>6005379500</v>
      </c>
      <c r="D168" s="19" t="s">
        <v>8227</v>
      </c>
      <c r="E168" s="19"/>
      <c r="F168" s="21">
        <v>46030</v>
      </c>
      <c r="G168" s="21" t="s">
        <v>341</v>
      </c>
      <c r="H168" s="19" t="s">
        <v>8168</v>
      </c>
    </row>
    <row r="169" spans="1:8" ht="15.75" x14ac:dyDescent="0.25">
      <c r="A169" s="19">
        <f t="shared" si="5"/>
        <v>167</v>
      </c>
      <c r="B169" s="19" t="s">
        <v>8182</v>
      </c>
      <c r="C169" s="19">
        <v>9906409906</v>
      </c>
      <c r="D169" s="19" t="s">
        <v>8226</v>
      </c>
      <c r="E169" s="19" t="s">
        <v>8194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5"/>
        <v>168</v>
      </c>
      <c r="B170" s="19" t="s">
        <v>7950</v>
      </c>
      <c r="C170" s="19">
        <v>9419004025</v>
      </c>
      <c r="D170" s="19" t="s">
        <v>8149</v>
      </c>
      <c r="E170" s="19" t="s">
        <v>8016</v>
      </c>
      <c r="F170" s="21">
        <v>46026</v>
      </c>
      <c r="G170" s="21" t="s">
        <v>341</v>
      </c>
      <c r="H170" s="19" t="s">
        <v>6665</v>
      </c>
    </row>
    <row r="171" spans="1:8" ht="15.75" x14ac:dyDescent="0.25">
      <c r="A171" s="19">
        <f t="shared" si="5"/>
        <v>169</v>
      </c>
      <c r="B171" s="19" t="s">
        <v>8007</v>
      </c>
      <c r="C171" s="19">
        <v>7889441591</v>
      </c>
      <c r="D171" s="19" t="s">
        <v>8143</v>
      </c>
      <c r="E171" s="19" t="s">
        <v>8008</v>
      </c>
      <c r="F171" s="21">
        <v>46029</v>
      </c>
      <c r="G171" s="21" t="s">
        <v>341</v>
      </c>
      <c r="H171" s="19" t="s">
        <v>6665</v>
      </c>
    </row>
    <row r="172" spans="1:8" ht="15.75" x14ac:dyDescent="0.25">
      <c r="A172" s="19">
        <f t="shared" si="5"/>
        <v>170</v>
      </c>
      <c r="B172" s="19" t="s">
        <v>2841</v>
      </c>
      <c r="C172" s="19">
        <v>7006960324</v>
      </c>
      <c r="D172" s="19" t="s">
        <v>8140</v>
      </c>
      <c r="E172" s="19" t="s">
        <v>7867</v>
      </c>
      <c r="F172" s="21">
        <v>46029</v>
      </c>
      <c r="G172" s="21" t="s">
        <v>341</v>
      </c>
      <c r="H172" s="19" t="s">
        <v>6665</v>
      </c>
    </row>
    <row r="173" spans="1:8" ht="15.75" x14ac:dyDescent="0.25">
      <c r="A173" s="19">
        <f t="shared" si="5"/>
        <v>171</v>
      </c>
      <c r="B173" s="19" t="s">
        <v>7866</v>
      </c>
      <c r="C173" s="19">
        <v>9906759399</v>
      </c>
      <c r="D173" s="19" t="s">
        <v>8139</v>
      </c>
      <c r="E173" s="19" t="s">
        <v>7868</v>
      </c>
      <c r="F173" s="21">
        <v>46029</v>
      </c>
      <c r="G173" s="21" t="s">
        <v>341</v>
      </c>
      <c r="H173" s="19" t="s">
        <v>6665</v>
      </c>
    </row>
    <row r="174" spans="1:8" ht="15.75" x14ac:dyDescent="0.25">
      <c r="A174" s="19">
        <f t="shared" si="5"/>
        <v>172</v>
      </c>
      <c r="B174" s="19" t="s">
        <v>7974</v>
      </c>
      <c r="C174" s="19">
        <v>9149592772</v>
      </c>
      <c r="D174" s="19" t="s">
        <v>8138</v>
      </c>
      <c r="E174" s="19" t="s">
        <v>7976</v>
      </c>
      <c r="F174" s="21">
        <v>46029</v>
      </c>
      <c r="G174" s="21" t="s">
        <v>341</v>
      </c>
      <c r="H174" s="19" t="s">
        <v>6665</v>
      </c>
    </row>
    <row r="175" spans="1:8" ht="15.75" x14ac:dyDescent="0.25">
      <c r="A175" s="19">
        <f t="shared" si="5"/>
        <v>173</v>
      </c>
      <c r="B175" s="19" t="s">
        <v>7990</v>
      </c>
      <c r="C175" s="19">
        <v>9596382727</v>
      </c>
      <c r="D175" s="19" t="s">
        <v>8137</v>
      </c>
      <c r="E175" s="19" t="s">
        <v>7992</v>
      </c>
      <c r="F175" s="21">
        <v>46029</v>
      </c>
      <c r="G175" s="21" t="s">
        <v>341</v>
      </c>
      <c r="H175" s="19" t="s">
        <v>6665</v>
      </c>
    </row>
    <row r="176" spans="1:8" ht="15.75" x14ac:dyDescent="0.25">
      <c r="A176" s="19">
        <f t="shared" si="5"/>
        <v>174</v>
      </c>
      <c r="B176" s="19" t="s">
        <v>4284</v>
      </c>
      <c r="C176" s="19">
        <v>8899926488</v>
      </c>
      <c r="D176" s="19" t="s">
        <v>8136</v>
      </c>
      <c r="E176" s="19" t="s">
        <v>7987</v>
      </c>
      <c r="F176" s="21">
        <v>46029</v>
      </c>
      <c r="G176" s="21" t="s">
        <v>341</v>
      </c>
      <c r="H176" s="19" t="s">
        <v>6665</v>
      </c>
    </row>
    <row r="177" spans="1:8" ht="15.75" x14ac:dyDescent="0.25">
      <c r="A177" s="19">
        <f t="shared" si="5"/>
        <v>175</v>
      </c>
      <c r="B177" s="19" t="s">
        <v>8202</v>
      </c>
      <c r="C177" s="19">
        <v>8491882203</v>
      </c>
      <c r="D177" s="19" t="s">
        <v>8228</v>
      </c>
      <c r="E177" s="19" t="s">
        <v>8209</v>
      </c>
      <c r="F177" s="21">
        <v>46031</v>
      </c>
      <c r="G177" s="21" t="s">
        <v>341</v>
      </c>
      <c r="H177" s="19" t="s">
        <v>6665</v>
      </c>
    </row>
    <row r="178" spans="1:8" ht="15.75" x14ac:dyDescent="0.25">
      <c r="A178" s="19">
        <f t="shared" si="5"/>
        <v>176</v>
      </c>
      <c r="B178" s="19" t="s">
        <v>8205</v>
      </c>
      <c r="C178" s="19">
        <v>7780867070</v>
      </c>
      <c r="D178" s="19" t="s">
        <v>8232</v>
      </c>
      <c r="E178" s="19" t="s">
        <v>8208</v>
      </c>
      <c r="F178" s="21">
        <v>46031</v>
      </c>
      <c r="G178" s="21" t="s">
        <v>341</v>
      </c>
      <c r="H178" s="19" t="s">
        <v>6665</v>
      </c>
    </row>
    <row r="179" spans="1:8" ht="15.75" x14ac:dyDescent="0.25">
      <c r="A179" s="19">
        <f t="shared" si="5"/>
        <v>177</v>
      </c>
      <c r="B179" s="19" t="s">
        <v>8103</v>
      </c>
      <c r="C179" s="19">
        <v>9622595048</v>
      </c>
      <c r="D179" s="19" t="s">
        <v>8233</v>
      </c>
      <c r="E179" s="19" t="s">
        <v>8118</v>
      </c>
      <c r="F179" s="21">
        <v>46031</v>
      </c>
      <c r="G179" s="21" t="s">
        <v>341</v>
      </c>
      <c r="H179" s="19" t="s">
        <v>6665</v>
      </c>
    </row>
    <row r="180" spans="1:8" ht="15.75" x14ac:dyDescent="0.25">
      <c r="A180" s="19">
        <f t="shared" si="5"/>
        <v>178</v>
      </c>
      <c r="B180" s="19"/>
      <c r="C180" s="19"/>
      <c r="D180" s="19"/>
      <c r="E180" s="19"/>
      <c r="F180" s="21"/>
      <c r="G180" s="21"/>
      <c r="H180" s="19"/>
    </row>
    <row r="181" spans="1:8" ht="15.75" x14ac:dyDescent="0.25">
      <c r="B181" s="19"/>
      <c r="C181" s="19"/>
      <c r="D181" s="19"/>
      <c r="E181" s="19"/>
    </row>
  </sheetData>
  <mergeCells count="1">
    <mergeCell ref="A1:H1"/>
  </mergeCells>
  <conditionalFormatting sqref="B103 E103 B121:E154">
    <cfRule type="expression" dxfId="6" priority="13">
      <formula>CELL("row")=ROW()</formula>
    </cfRule>
  </conditionalFormatting>
  <conditionalFormatting sqref="B169:E181">
    <cfRule type="expression" dxfId="5" priority="3">
      <formula>CELL("row")=ROW()</formula>
    </cfRule>
  </conditionalFormatting>
  <conditionalFormatting sqref="C103">
    <cfRule type="expression" dxfId="4" priority="12">
      <formula>CELL("row")=ROW()</formula>
    </cfRule>
  </conditionalFormatting>
  <conditionalFormatting sqref="C122">
    <cfRule type="expression" dxfId="3" priority="9">
      <formula>CELL("row")=ROW()</formula>
    </cfRule>
  </conditionalFormatting>
  <conditionalFormatting sqref="C176">
    <cfRule type="expression" dxfId="2" priority="2">
      <formula>CELL("row")=ROW()</formula>
    </cfRule>
  </conditionalFormatting>
  <conditionalFormatting sqref="E122">
    <cfRule type="expression" dxfId="1" priority="10">
      <formula>CELL("row")=ROW()</formula>
    </cfRule>
  </conditionalFormatting>
  <conditionalFormatting sqref="C178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22" sqref="D2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2026-01-09T11:35:53Z</dcterms:modified>
</cp:coreProperties>
</file>