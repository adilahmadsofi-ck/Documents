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2BE71C1-21CD-4191-85D4-4B3EAF63F9E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0" i="7" l="1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99" i="4"/>
  <c r="H300" i="4"/>
  <c r="A297" i="4"/>
  <c r="A298" i="4"/>
  <c r="A299" i="4"/>
  <c r="A300" i="4"/>
  <c r="H287" i="4"/>
  <c r="H288" i="4"/>
  <c r="H289" i="4"/>
  <c r="H290" i="4"/>
  <c r="H291" i="4"/>
  <c r="H292" i="4"/>
  <c r="H293" i="4"/>
  <c r="H294" i="4"/>
  <c r="H295" i="4"/>
  <c r="H296" i="4"/>
  <c r="A287" i="4"/>
  <c r="A288" i="4"/>
  <c r="A28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83" i="4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<sst xmlns="http://schemas.openxmlformats.org/spreadsheetml/2006/main" count="20176" uniqueCount="7814">
  <si>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</si>
  <si>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</si>
  <si>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</si>
  <si>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</si>
  <si>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</si>
  <si>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</si>
  <si>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</si>
  <si>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</si>
  <si>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</si>
  <si>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</si>
  <si>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</si>
  <si>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</si>
  <si>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</si>
  <si>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</si>
  <si>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</si>
  <si>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</si>
  <si>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</si>
  <si>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</si>
  <si>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</si>
  <si>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</si>
  <si>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</si>
  <si>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</si>
  <si>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</si>
  <si>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</si>
  <si>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</si>
  <si>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</si>
  <si>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</si>
  <si>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</si>
  <si>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</si>
  <si>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</si>
  <si>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</si>
  <si>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</si>
  <si>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</si>
  <si>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</si>
  <si>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</si>
  <si>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</si>
  <si>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</si>
  <si>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</si>
  <si>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</si>
  <si>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</si>
  <si>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</si>
  <si>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</si>
  <si>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</si>
  <si>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</si>
  <si>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</si>
  <si>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</si>
  <si>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</si>
  <si>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</si>
  <si>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</si>
  <si>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</si>
  <si>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</si>
  <si>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</si>
  <si>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</si>
  <si>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</si>
  <si>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</si>
  <si>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</si>
  <si>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</si>
  <si>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</si>
  <si>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</si>
  <si>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</si>
  <si>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</si>
  <si>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</si>
  <si>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</si>
  <si>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</si>
  <si>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</si>
  <si>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</si>
  <si>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</si>
  <si>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</si>
  <si>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</si>
  <si>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</si>
  <si>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</si>
  <si>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</si>
  <si>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</si>
  <si>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</si>
  <si>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</si>
  <si>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</si>
  <si>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</si>
  <si>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</si>
  <si>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</si>
  <si>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</si>
  <si>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</si>
  <si>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</si>
  <si>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</si>
  <si>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</si>
  <si>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</si>
  <si>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</si>
  <si>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</si>
  <si>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</si>
  <si>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</si>
  <si>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</si>
  <si>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</si>
  <si>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</si>
  <si>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</si>
  <si>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</si>
  <si>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</si>
  <si>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</si>
  <si>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</si>
  <si>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</si>
  <si>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</si>
  <si>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</si>
  <si>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</si>
  <si>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</si>
  <si>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</si>
  <si>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</si>
  <si>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</si>
  <si>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</si>
  <si>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</si>
  <si>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</si>
  <si>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</si>
  <si>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</si>
  <si>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</si>
  <si>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</si>
  <si>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</si>
  <si>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</si>
  <si>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</si>
  <si>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</si>
  <si>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</si>
  <si>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</si>
  <si>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</si>
  <si>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</si>
  <si>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</si>
  <si>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</si>
  <si>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</si>
  <si>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</si>
  <si>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</si>
  <si>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</si>
  <si>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</si>
  <si>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</si>
  <si>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</si>
  <si>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</si>
  <si>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</si>
  <si>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</si>
  <si>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</si>
  <si>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</si>
  <si>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</si>
  <si>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</si>
  <si>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</si>
  <si>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</si>
  <si>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</si>
  <si>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</si>
  <si>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</si>
  <si>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</si>
  <si>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</si>
  <si>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</si>
  <si>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</si>
  <si>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</si>
  <si>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</si>
  <si>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</si>
  <si>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</si>
  <si>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</si>
  <si>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</si>
  <si>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</si>
  <si>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</si>
  <si>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</si>
  <si>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</si>
  <si>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</si>
  <si>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</si>
  <si>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</si>
  <si>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</si>
  <si>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</si>
  <si>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</si>
  <si>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</si>
  <si>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</si>
  <si>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</si>
  <si>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</si>
  <si>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</si>
  <si>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</si>
  <si>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</si>
  <si>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</si>
  <si>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</si>
  <si>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</si>
  <si>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</si>
  <si>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</si>
  <si>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</si>
  <si>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</si>
  <si>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</si>
  <si>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</si>
  <si>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</si>
  <si>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</si>
  <si>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</si>
  <si>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</si>
  <si>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</si>
  <si>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</si>
  <si>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</si>
  <si>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</si>
  <si>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</si>
  <si>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</si>
  <si>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</si>
  <si>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</si>
  <si>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</si>
  <si>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</si>
  <si>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</si>
  <si>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</si>
  <si>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</si>
  <si>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</si>
  <si>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</si>
  <si>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</si>
  <si>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</si>
  <si>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</si>
  <si>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</si>
  <si>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</si>
  <si>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</si>
  <si>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</si>
  <si>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</si>
  <si>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</si>
  <si>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</si>
  <si>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</si>
  <si>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</si>
  <si>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</si>
  <si>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</si>
  <si>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</si>
  <si>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</si>
  <si>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</si>
  <si>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</si>
  <si>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</si>
  <si>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</si>
  <si>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</si>
  <si>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</si>
  <si>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</si>
  <si>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</si>
  <si>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</si>
  <si>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</si>
  <si>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</si>
  <si>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</si>
  <si>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</si>
  <si>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</si>
  <si>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</si>
  <si>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</si>
  <si>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</si>
  <si>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</si>
  <si>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</si>
  <si>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</si>
  <si>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</si>
  <si>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</si>
  <si>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</si>
  <si>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</si>
  <si>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</si>
  <si>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</si>
  <si>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</si>
  <si>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</si>
  <si>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</si>
  <si>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</si>
  <si>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</si>
  <si>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</si>
  <si>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</si>
  <si>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</si>
  <si>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</si>
  <si>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</si>
  <si>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</si>
  <si>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</si>
  <si>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</si>
  <si>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</si>
  <si>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</si>
  <si>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</si>
  <si>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</si>
  <si>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</si>
  <si>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</si>
  <si>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</si>
  <si>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</si>
  <si>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</si>
  <si>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</si>
  <si>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</si>
  <si>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</si>
  <si>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</si>
  <si>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</si>
  <si>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</si>
  <si>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</si>
  <si>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</si>
  <si>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</si>
  <si>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</si>
  <si>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</si>
  <si>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</si>
  <si>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</si>
  <si>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</si>
  <si>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</si>
  <si>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</si>
  <si>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</si>
  <si>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</si>
  <si>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</si>
  <si>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</si>
  <si>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</si>
  <si>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</si>
  <si>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</si>
  <si>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</si>
  <si>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</si>
  <si>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</si>
  <si>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</si>
  <si>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</si>
  <si>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</si>
  <si>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</si>
  <si>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</si>
  <si>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</si>
  <si>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</si>
  <si>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</si>
  <si>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</si>
  <si>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</si>
  <si>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</si>
  <si>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</si>
  <si>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</si>
  <si>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</si>
  <si>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</si>
  <si>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</si>
  <si>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</si>
  <si>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</si>
  <si>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</si>
  <si>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</si>
  <si>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</si>
  <si>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</si>
  <si>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</si>
  <si>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</si>
  <si>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</si>
  <si>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</si>
  <si>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</si>
  <si>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</si>
  <si>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</si>
  <si>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</si>
  <si>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</si>
  <si>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</si>
  <si>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</si>
  <si>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</si>
  <si>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</si>
  <si>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</si>
  <si>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</si>
  <si>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</si>
  <si>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</si>
  <si>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</si>
  <si>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</si>
  <si>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</si>
  <si>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</si>
  <si>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</si>
  <si>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</si>
  <si>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</si>
  <si>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</si>
  <si>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</si>
  <si>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</si>
  <si>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</si>
  <si>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</si>
  <si>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</si>
  <si>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</si>
  <si>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</si>
  <si>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</si>
  <si>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</si>
  <si>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</si>
  <si>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</si>
  <si>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</si>
  <si>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</si>
  <si>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</si>
  <si>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</si>
  <si>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</si>
  <si>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</si>
  <si>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</si>
  <si>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</si>
  <si>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</si>
  <si>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</si>
  <si>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</si>
  <si>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</si>
  <si>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</si>
  <si>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</si>
  <si>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</si>
  <si>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</si>
  <si>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</si>
  <si>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</si>
  <si>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</si>
  <si>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</si>
  <si>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</si>
  <si>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</si>
  <si>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</si>
  <si>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</si>
  <si>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</si>
  <si>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</si>
  <si>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</si>
  <si>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</si>
  <si>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</si>
  <si>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</si>
  <si>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</si>
  <si>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</si>
  <si>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</si>
  <si>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</si>
  <si>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</si>
  <si>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</si>
  <si>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</si>
  <si>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</si>
  <si>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</si>
  <si>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</si>
  <si>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</si>
  <si>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</si>
  <si>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</si>
  <si>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</si>
  <si>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</si>
  <si>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</si>
  <si>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</si>
  <si>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</si>
  <si>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</si>
  <si>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</si>
  <si>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</si>
  <si>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</si>
  <si>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</si>
  <si>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</si>
  <si>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</si>
  <si>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</si>
  <si>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</si>
  <si>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</si>
  <si>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</si>
  <si>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</si>
  <si>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</si>
  <si>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</si>
  <si>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</si>
  <si>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</si>
  <si>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</si>
  <si>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</si>
  <si>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</si>
  <si>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</si>
  <si>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</si>
  <si>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</si>
  <si>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</si>
  <si>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</si>
  <si>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</si>
  <si>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</si>
  <si>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</si>
  <si>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</si>
  <si>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</si>
  <si>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</si>
  <si>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</si>
  <si>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</si>
  <si>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</si>
  <si>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</si>
  <si>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</si>
  <si>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</si>
  <si>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</si>
  <si>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</si>
  <si>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</si>
  <si>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</si>
  <si>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</si>
  <si>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</si>
  <si>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</si>
  <si>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</si>
  <si>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</si>
  <si>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</si>
  <si>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</si>
  <si>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</si>
  <si>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</si>
  <si>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</si>
  <si>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</si>
  <si>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</si>
  <si>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</si>
  <si>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</si>
  <si>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</si>
  <si>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</si>
  <si>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</si>
  <si>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</si>
  <si>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</si>
  <si>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</si>
  <si>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</si>
  <si>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</si>
  <si>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</si>
  <si>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</si>
  <si>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</si>
  <si>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</si>
  <si>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</si>
  <si>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</si>
  <si>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</si>
  <si>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</si>
  <si>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</si>
  <si>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</si>
  <si>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</si>
  <si>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</si>
  <si>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</si>
  <si>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</si>
  <si>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</si>
  <si>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</si>
  <si>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</si>
  <si>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</si>
  <si>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</si>
  <si>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</si>
  <si>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</si>
  <si>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</si>
  <si>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</si>
  <si>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</si>
  <si>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</si>
  <si>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</si>
  <si>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</si>
  <si>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</si>
  <si>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</si>
  <si>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</si>
  <si>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</si>
  <si>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</si>
  <si>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</si>
  <si>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</si>
  <si>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</si>
  <si>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</si>
  <si>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</si>
  <si>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</si>
  <si>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</si>
  <si>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</si>
  <si>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</si>
  <si>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</si>
  <si>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</si>
  <si>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</si>
  <si>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</si>
  <si>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</si>
  <si>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</si>
  <si>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</si>
  <si>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</si>
  <si>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</si>
  <si>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</si>
  <si>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</si>
  <si>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</si>
  <si>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</si>
  <si>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</si>
  <si>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</si>
  <si>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</si>
  <si>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</si>
  <si>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</si>
  <si>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</si>
  <si>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</si>
  <si>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</si>
  <si>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</si>
  <si>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</si>
  <si>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</si>
  <si>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</si>
  <si>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</si>
  <si>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</si>
  <si>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</si>
  <si>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</si>
  <si>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</si>
  <si>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</si>
  <si>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</si>
  <si>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</si>
  <si>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</si>
  <si>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</si>
  <si>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</si>
  <si>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</si>
  <si>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</si>
  <si>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</si>
  <si>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</si>
  <si>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</si>
  <si>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</si>
  <si>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</si>
  <si>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</si>
  <si>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</si>
  <si>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</si>
  <si>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</si>
  <si>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</si>
  <si>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</si>
  <si>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</si>
  <si>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</si>
  <si>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</si>
  <si>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</si>
  <si>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</si>
  <si>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</si>
  <si>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</si>
  <si>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</si>
  <si>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</si>
  <si>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</si>
  <si>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</si>
  <si>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</si>
  <si>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</si>
  <si>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</si>
  <si>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</si>
  <si>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</si>
  <si>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</si>
  <si>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</si>
  <si>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</si>
  <si>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</si>
  <si>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</si>
  <si>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</si>
  <si>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</si>
  <si>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</si>
  <si>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</si>
  <si>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</si>
  <si>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</si>
  <si>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</si>
  <si>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</si>
  <si>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</si>
  <si>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</si>
  <si>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</si>
  <si>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</si>
  <si>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</si>
  <si>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</si>
  <si>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</si>
  <si>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</si>
  <si>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</si>
  <si>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</si>
  <si>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</si>
  <si>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</si>
  <si>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</si>
  <si>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</si>
  <si>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</si>
  <si>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</si>
  <si>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</si>
  <si>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</si>
  <si>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</si>
  <si>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</si>
  <si>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</si>
  <si>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</si>
  <si>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</si>
  <si>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</si>
  <si>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</si>
  <si>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</si>
  <si>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</si>
  <si>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</si>
  <si>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</si>
  <si>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</si>
  <si>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</si>
  <si>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</si>
  <si>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</si>
  <si>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</si>
  <si>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</si>
  <si>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</si>
  <si>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</si>
  <si>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</si>
  <si>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</si>
  <si>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</si>
  <si>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</si>
  <si>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</si>
  <si>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</si>
  <si>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</si>
  <si>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</si>
  <si>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</si>
  <si>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</si>
  <si>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</si>
  <si>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</si>
  <si>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</si>
  <si>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</si>
  <si>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</si>
  <si>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</si>
  <si>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</si>
  <si>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</si>
  <si>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</si>
  <si>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</si>
  <si>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</si>
  <si>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</si>
  <si>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</si>
  <si>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</si>
  <si>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</si>
  <si>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</si>
  <si>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</si>
  <si>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</si>
  <si>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</si>
  <si>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</si>
  <si>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</si>
  <si>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</si>
  <si>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</si>
  <si>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</si>
  <si>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</si>
  <si>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</si>
  <si>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</si>
  <si>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</si>
  <si>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</si>
  <si>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</si>
  <si>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</si>
  <si>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</si>
  <si>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</si>
  <si>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</si>
  <si>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</si>
  <si>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</si>
  <si>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</si>
  <si>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</si>
  <si>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</si>
  <si>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</si>
  <si>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</si>
  <si>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</si>
  <si>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</si>
  <si>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</si>
  <si>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</si>
  <si>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</si>
  <si>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</si>
  <si>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</si>
  <si>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</si>
  <si>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</si>
  <si>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</si>
  <si>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</si>
  <si>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</si>
  <si>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</si>
  <si>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</si>
  <si>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</si>
  <si>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</si>
  <si>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</si>
  <si>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</si>
  <si>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</si>
  <si>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</si>
  <si>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</si>
  <si>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</si>
  <si>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</si>
  <si>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</si>
  <si>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</si>
  <si>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</si>
  <si>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</si>
  <si>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</si>
  <si>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</si>
  <si>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</si>
  <si>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</si>
  <si>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</si>
  <si>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</si>
  <si>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</si>
  <si>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</si>
  <si>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</si>
  <si>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</si>
  <si>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</si>
  <si>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</si>
  <si>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</si>
  <si>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</si>
  <si>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</si>
  <si>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</si>
  <si>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</si>
  <si>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</si>
  <si>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</si>
  <si>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</si>
  <si>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</si>
  <si>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</si>
  <si>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</si>
  <si>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</si>
  <si>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</si>
  <si>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</si>
  <si>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</si>
  <si>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</si>
  <si>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</si>
  <si>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</si>
  <si>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</si>
  <si>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</si>
  <si>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</si>
  <si>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</si>
  <si>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</si>
  <si>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</si>
  <si>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</si>
  <si>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</si>
  <si>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</si>
  <si>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</si>
  <si>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</si>
  <si>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</si>
  <si>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</si>
  <si>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</si>
  <si>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</si>
  <si>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</si>
  <si>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</si>
  <si>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</si>
  <si>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</si>
  <si>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</si>
  <si>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</si>
  <si>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</si>
  <si>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</si>
  <si>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</si>
  <si>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</si>
  <si>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</si>
  <si>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</si>
  <si>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</si>
  <si>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</si>
  <si>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</si>
  <si>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</si>
  <si>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</si>
  <si>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</si>
  <si>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</si>
  <si>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</si>
  <si>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</si>
  <si>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</si>
  <si>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</si>
  <si>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</si>
  <si>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</si>
  <si>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</si>
  <si>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</si>
  <si>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</si>
  <si>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</si>
  <si>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</si>
  <si>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</si>
  <si>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</si>
  <si>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</si>
  <si>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</si>
  <si>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</si>
  <si>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</si>
  <si>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</si>
  <si>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</si>
  <si>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</si>
  <si>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</si>
  <si>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</si>
  <si>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</si>
  <si>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</si>
  <si>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</si>
  <si>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</si>
  <si>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</si>
  <si>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</si>
  <si>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</si>
  <si>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</si>
  <si>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</si>
  <si>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</si>
  <si>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</si>
  <si>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</si>
  <si>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</si>
  <si>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</si>
  <si>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</si>
  <si>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</si>
  <si>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</si>
  <si>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</si>
  <si>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</si>
  <si>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</si>
  <si>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</si>
  <si>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</si>
  <si>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</si>
  <si>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</si>
  <si>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</si>
  <si>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</si>
  <si>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</si>
  <si>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</si>
  <si>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</si>
  <si>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</si>
  <si>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</si>
  <si>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</si>
  <si>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</si>
  <si>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</si>
  <si>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</si>
  <si>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</si>
  <si>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</si>
  <si>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</si>
  <si>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</si>
  <si>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</si>
  <si>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</si>
  <si>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</si>
  <si>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</si>
  <si>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</si>
  <si>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</si>
  <si>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</si>
  <si>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</si>
  <si>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</si>
  <si>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</si>
  <si>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</si>
  <si>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</si>
  <si>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</si>
  <si>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</si>
  <si>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</si>
  <si>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</si>
  <si>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</si>
  <si>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</si>
  <si>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</si>
  <si>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</si>
  <si>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</si>
  <si>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</si>
  <si>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</si>
  <si>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</si>
  <si>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</si>
  <si>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</si>
  <si>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</si>
  <si>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</si>
  <si>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</si>
  <si>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</si>
  <si>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</si>
  <si>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</si>
  <si>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</si>
  <si>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</si>
  <si>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</si>
  <si>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</si>
  <si>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</si>
  <si>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</si>
  <si>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</si>
  <si>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</si>
  <si>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</si>
  <si>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</si>
  <si>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</si>
  <si>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</si>
  <si>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</si>
  <si>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</si>
  <si>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</si>
  <si>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</si>
  <si>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</si>
  <si>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</si>
  <si>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</si>
  <si>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</si>
  <si>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</si>
  <si>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</si>
  <si>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</si>
  <si>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</si>
  <si>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</si>
  <si>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</si>
  <si>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</si>
  <si>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</si>
  <si>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</si>
  <si>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</si>
  <si>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</si>
  <si>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</si>
  <si>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</si>
  <si>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</si>
  <si>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</si>
  <si>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</si>
  <si>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</si>
  <si>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</si>
  <si>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</si>
  <si>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</si>
  <si>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</si>
  <si>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</si>
  <si>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</si>
  <si>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</si>
  <si>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</si>
  <si>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</si>
  <si>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</si>
  <si>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</si>
  <si>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</si>
  <si>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</si>
  <si>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</si>
  <si>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</si>
  <si>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</si>
  <si>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</si>
  <si>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</si>
  <si>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</si>
  <si>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</si>
  <si>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</si>
  <si>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</si>
  <si>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</si>
  <si>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</si>
  <si>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</si>
  <si>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</si>
  <si>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</si>
  <si>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</si>
  <si>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</si>
  <si>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</si>
  <si>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</si>
  <si>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</si>
  <si>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</si>
  <si>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</si>
  <si>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</si>
  <si>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</si>
  <si>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</si>
  <si>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</si>
  <si>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</si>
  <si>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</si>
  <si>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</si>
  <si>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</si>
  <si>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</si>
  <si>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</si>
  <si>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</si>
  <si>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</si>
  <si>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</si>
  <si>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</si>
  <si>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</si>
  <si>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</si>
  <si>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</si>
  <si>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</si>
  <si>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</si>
  <si>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</si>
  <si>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</si>
  <si>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</si>
  <si>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</si>
  <si>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</si>
  <si>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</si>
  <si>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</si>
  <si>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</si>
  <si>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</si>
  <si>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</si>
  <si>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</si>
  <si>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</si>
  <si>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</si>
  <si>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</si>
  <si>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</si>
  <si>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</si>
  <si>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</si>
  <si>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</si>
  <si>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</si>
  <si>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</si>
  <si>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</si>
  <si>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</si>
  <si>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</si>
  <si>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</si>
  <si>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</si>
  <si>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</si>
  <si>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</si>
  <si>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</si>
  <si>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</si>
  <si>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</si>
  <si>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</si>
  <si>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</si>
  <si>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</si>
  <si>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</si>
  <si>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</si>
  <si>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</si>
  <si>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</si>
  <si>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</si>
  <si>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</si>
  <si>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</si>
  <si>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</si>
  <si>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</si>
  <si>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</si>
  <si>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</si>
  <si>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</si>
  <si>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</si>
  <si>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</si>
  <si>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</si>
  <si>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</si>
  <si>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</si>
  <si>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</si>
  <si>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</si>
  <si>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</si>
  <si>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</si>
  <si>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</si>
  <si>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</si>
  <si>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</si>
  <si>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</si>
  <si>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</si>
  <si>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</si>
  <si>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</si>
  <si>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</si>
  <si>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</si>
  <si>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</si>
  <si>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</si>
  <si>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</si>
  <si>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</si>
  <si>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</si>
  <si>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</si>
  <si>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</si>
  <si>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</si>
  <si>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</si>
  <si>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</si>
  <si>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</si>
  <si>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</si>
  <si>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</si>
  <si>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</si>
  <si>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</si>
  <si>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</si>
  <si>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</si>
  <si>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</si>
  <si>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</si>
  <si>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</si>
  <si>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</si>
  <si>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</si>
  <si>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</si>
  <si>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</si>
  <si>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</si>
  <si>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</si>
  <si>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</si>
  <si>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</si>
  <si>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</si>
  <si>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</si>
  <si>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</si>
  <si>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</si>
  <si>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</si>
  <si>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</si>
  <si>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</si>
  <si>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</si>
  <si>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</si>
  <si>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</si>
  <si>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</si>
  <si>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</si>
  <si>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</si>
  <si>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</si>
  <si>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</si>
  <si>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</si>
  <si>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</si>
  <si>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</si>
  <si>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</si>
  <si>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</si>
  <si>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</si>
  <si>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</si>
  <si>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</si>
  <si>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</si>
  <si>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</si>
  <si>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</si>
  <si>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</si>
  <si>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</si>
  <si>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</si>
  <si>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</si>
  <si>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</si>
  <si>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</si>
  <si>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</si>
  <si>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</si>
  <si>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</si>
  <si>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</si>
  <si>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</si>
  <si>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</si>
  <si>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</si>
  <si>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</si>
  <si>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</si>
  <si>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</si>
  <si>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</si>
  <si>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</si>
  <si>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</si>
  <si>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</si>
  <si>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</si>
  <si>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</si>
  <si>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</si>
  <si>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</si>
  <si>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</si>
  <si>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</si>
  <si>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</si>
  <si>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</si>
  <si>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</si>
  <si>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</si>
  <si>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</si>
  <si>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</si>
  <si>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</si>
  <si>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</si>
  <si>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</si>
  <si>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</si>
  <si>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</si>
  <si>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</si>
  <si>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</si>
  <si>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</si>
  <si>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</si>
  <si>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</si>
  <si>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</si>
  <si>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</si>
  <si>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</si>
  <si>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</si>
  <si>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</si>
  <si>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</si>
  <si>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</si>
  <si>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</si>
  <si>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</si>
  <si>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</si>
  <si>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</si>
  <si>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</si>
  <si>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</si>
  <si>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</si>
  <si>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</si>
  <si>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</si>
  <si>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</si>
  <si>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</si>
  <si>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</si>
  <si>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</si>
  <si>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</si>
  <si>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</si>
  <si>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</si>
  <si>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</si>
  <si>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</si>
  <si>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</si>
  <si>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</si>
  <si>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</si>
  <si>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</si>
  <si>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</si>
  <si>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</si>
  <si>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</si>
  <si>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</si>
  <si>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</si>
  <si>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</si>
  <si>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</si>
  <si>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</si>
  <si>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</si>
  <si>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</si>
  <si>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</si>
  <si>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</si>
  <si>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</si>
  <si>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</si>
  <si>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</si>
  <si>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</si>
  <si>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</si>
  <si>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</si>
  <si>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</si>
  <si>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</si>
  <si>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</si>
  <si>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</si>
  <si>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</si>
  <si>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</si>
  <si>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</si>
  <si>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</si>
  <si>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</si>
  <si>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</si>
  <si>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</si>
  <si>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</si>
  <si>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</si>
  <si>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</si>
  <si>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</si>
  <si>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</si>
  <si>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</si>
  <si>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</si>
  <si>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</si>
  <si>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</si>
  <si>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</si>
  <si>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</si>
  <si>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</si>
  <si>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</si>
  <si>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</si>
  <si>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</si>
  <si>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</si>
  <si>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</si>
  <si>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</si>
  <si>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</si>
  <si>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</si>
  <si>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</si>
  <si>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</si>
  <si>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</si>
  <si>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</si>
  <si>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</si>
  <si>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</si>
  <si>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</si>
  <si>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</si>
  <si>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</si>
  <si>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</si>
  <si>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</si>
  <si>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</si>
  <si>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</si>
  <si>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</si>
  <si>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</si>
  <si>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</si>
  <si>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</si>
  <si>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</si>
  <si>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</si>
  <si>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</si>
  <si>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</si>
  <si>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</si>
  <si>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</si>
  <si>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</si>
  <si>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</si>
  <si>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</si>
  <si>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</si>
  <si>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</si>
  <si>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</si>
  <si>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</si>
  <si>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</si>
  <si>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</si>
  <si>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</si>
  <si>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</si>
  <si>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</si>
  <si>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</si>
  <si>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</si>
  <si>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</si>
  <si>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</si>
  <si>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</si>
  <si>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</si>
  <si>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</si>
  <si>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</si>
  <si>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</si>
  <si>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</si>
  <si>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</si>
  <si>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</si>
  <si>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</si>
  <si>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</si>
  <si>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</si>
  <si>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</si>
  <si>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</si>
  <si>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</si>
  <si>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</si>
  <si>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</si>
  <si>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</si>
  <si>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</si>
  <si>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</si>
  <si>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</si>
  <si>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</si>
  <si>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</si>
  <si>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</si>
  <si>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</si>
  <si>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</si>
  <si>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</si>
  <si>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</si>
  <si>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</si>
  <si>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</si>
  <si>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</si>
  <si>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</si>
  <si>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</si>
  <si>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</si>
  <si>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</si>
  <si>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</si>
  <si>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</si>
  <si>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</si>
  <si>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</si>
  <si>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</si>
  <si>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</si>
  <si>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</si>
  <si>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</si>
  <si>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</si>
  <si>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</si>
  <si>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</si>
  <si>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</si>
  <si>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</si>
  <si>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</si>
  <si>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</si>
  <si>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</si>
  <si>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</si>
  <si>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</si>
  <si>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</si>
  <si>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</si>
  <si>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</si>
  <si>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</si>
  <si>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</si>
  <si>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</si>
  <si>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</si>
  <si>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</si>
  <si>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</si>
  <si>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</si>
  <si>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</si>
  <si>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</si>
  <si>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</si>
  <si>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</si>
  <si>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</si>
  <si>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</si>
  <si>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</si>
  <si>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</si>
  <si>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</si>
  <si>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</si>
  <si>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</si>
  <si>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</si>
  <si>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</si>
  <si>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</si>
  <si>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</si>
  <si>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</si>
  <si>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</si>
  <si>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</si>
  <si>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</si>
  <si>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</si>
  <si>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</si>
  <si>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</si>
  <si>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</si>
  <si>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</si>
  <si>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</si>
  <si>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</si>
  <si>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</si>
  <si>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</si>
  <si>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</si>
  <si>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</si>
  <si>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</si>
  <si>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</si>
  <si>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</si>
  <si>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</si>
  <si>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</si>
  <si>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</si>
  <si>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</si>
  <si>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</si>
  <si>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</si>
  <si>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</si>
  <si>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</si>
  <si>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</si>
  <si>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</si>
  <si>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</si>
  <si>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</si>
  <si>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</si>
  <si>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</si>
  <si>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</si>
  <si>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</si>
  <si>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</si>
  <si>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</si>
  <si>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</si>
  <si>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</si>
  <si>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</si>
  <si>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</si>
  <si>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</si>
  <si>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</si>
  <si>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</si>
  <si>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</si>
  <si>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</si>
  <si>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</si>
  <si>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</si>
  <si>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</si>
  <si>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</si>
  <si>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</si>
  <si>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</si>
  <si>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</si>
  <si>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</si>
  <si>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</si>
  <si>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</si>
  <si>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</si>
  <si>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</si>
  <si>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</si>
  <si>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</si>
  <si>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</si>
  <si>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</si>
  <si>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</si>
  <si>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</si>
  <si>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</si>
  <si>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</si>
  <si>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</si>
  <si>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</si>
  <si>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</si>
  <si>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</si>
  <si>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</si>
  <si>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</si>
  <si>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</si>
  <si>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</si>
  <si>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</si>
  <si>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</si>
  <si>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</si>
  <si>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</si>
  <si>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</si>
  <si>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</si>
  <si>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</si>
  <si>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</si>
  <si>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</si>
  <si>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</si>
  <si>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</si>
  <si>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</si>
  <si>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</si>
  <si>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</si>
  <si>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</si>
  <si>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</si>
  <si>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</si>
  <si>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</si>
  <si>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</si>
  <si>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</si>
  <si>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</si>
  <si>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</si>
  <si>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</si>
  <si>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</si>
  <si>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</si>
  <si>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</si>
  <si>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</si>
  <si>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</si>
  <si>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</si>
  <si>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</si>
  <si>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</si>
  <si>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</si>
  <si>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</si>
  <si>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</si>
  <si>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</si>
  <si>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</si>
  <si>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</si>
  <si>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</si>
  <si>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</si>
  <si>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</si>
  <si>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</si>
  <si>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</si>
  <si>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</si>
  <si>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</si>
  <si>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</si>
  <si>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</si>
  <si>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</si>
  <si>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</si>
  <si>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</si>
  <si>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</si>
  <si>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</si>
  <si>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</si>
  <si>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</si>
  <si>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</si>
  <si>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</si>
  <si>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</si>
  <si>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</si>
  <si>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</si>
  <si>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</si>
  <si>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</si>
  <si>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</si>
  <si>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</si>
  <si>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</si>
  <si>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</si>
  <si>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</si>
  <si>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</si>
  <si>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</si>
  <si>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</si>
  <si>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</si>
  <si>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</si>
  <si>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</si>
  <si>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</si>
  <si>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</si>
  <si>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</si>
  <si>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</si>
  <si>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</si>
  <si>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</si>
  <si>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</si>
  <si>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</si>
  <si>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</si>
  <si>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</si>
  <si>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</si>
  <si>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</si>
  <si>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</si>
  <si>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</si>
  <si>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</si>
  <si>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</si>
  <si>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</si>
  <si>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</si>
  <si>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</si>
  <si>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</si>
  <si>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</si>
  <si>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</si>
  <si>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</si>
  <si>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</si>
  <si>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</si>
  <si>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</si>
  <si>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</si>
  <si>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</si>
  <si>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</si>
  <si>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</si>
  <si>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</si>
  <si>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</si>
  <si>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</si>
  <si>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</si>
  <si>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</si>
  <si>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</si>
  <si>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</si>
  <si>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</si>
  <si>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</si>
  <si>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</si>
  <si>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</si>
  <si>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</si>
  <si>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</si>
  <si>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</si>
  <si>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</si>
  <si>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</si>
  <si>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</si>
  <si>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</si>
  <si>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</si>
  <si>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</si>
  <si>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</si>
  <si>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</si>
  <si>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</si>
  <si>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</si>
  <si>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</si>
  <si>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</si>
  <si>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</si>
  <si>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</si>
  <si>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</si>
  <si>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</si>
  <si>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</si>
  <si>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</si>
  <si>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</si>
  <si>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</si>
  <si>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</si>
  <si>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</si>
  <si>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</si>
  <si>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</si>
  <si>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</si>
  <si>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</si>
  <si>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</si>
  <si>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</si>
  <si>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</si>
  <si>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</si>
  <si>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</si>
  <si>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</si>
  <si>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</si>
  <si>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</si>
  <si>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</si>
  <si>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</si>
  <si>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</si>
  <si>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</si>
  <si>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</si>
  <si>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</si>
  <si>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</si>
  <si>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</si>
  <si>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</si>
  <si>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</si>
  <si>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</si>
  <si>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</si>
  <si>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</si>
  <si>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</si>
  <si>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</si>
  <si>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</si>
  <si>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</si>
  <si>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</si>
  <si>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</si>
  <si>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</si>
  <si>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</si>
  <si>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</si>
  <si>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</si>
  <si>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</si>
  <si>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</si>
  <si>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</si>
  <si>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</si>
  <si>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</si>
  <si>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</si>
  <si>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</si>
  <si>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</si>
  <si>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</si>
  <si>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</si>
  <si>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</si>
  <si>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</si>
  <si>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</si>
  <si>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</si>
  <si>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</si>
  <si>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</si>
  <si>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</si>
  <si>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</si>
  <si>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</si>
  <si>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</si>
  <si>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</si>
  <si>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</si>
  <si>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</si>
  <si>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</si>
  <si>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</si>
  <si>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</si>
  <si>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</si>
  <si>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</si>
  <si>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</si>
  <si>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</si>
  <si>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</si>
  <si>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</si>
  <si>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</si>
  <si>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</si>
  <si>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</si>
  <si>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</si>
  <si>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</si>
  <si>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</si>
  <si>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</si>
  <si>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</si>
  <si>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</si>
  <si>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</si>
  <si>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</si>
  <si>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</si>
  <si>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</si>
  <si>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</si>
  <si>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</si>
  <si>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</si>
  <si>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</si>
  <si>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</si>
  <si>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</si>
  <si>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</si>
  <si>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</si>
  <si>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</si>
  <si>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</si>
  <si>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</si>
  <si>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</si>
  <si>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</si>
  <si>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</si>
  <si>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</si>
  <si>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</si>
  <si>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</si>
  <si>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</si>
  <si>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</si>
  <si>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</si>
  <si>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</si>
  <si>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</si>
  <si>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</si>
  <si>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</si>
  <si>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</si>
  <si>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</si>
  <si>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</si>
  <si>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</si>
  <si>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</si>
  <si>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</si>
  <si>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</si>
  <si>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</si>
  <si>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</si>
  <si>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</si>
  <si>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</si>
  <si>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</si>
  <si>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</si>
  <si>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</si>
  <si>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</si>
  <si>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</si>
  <si>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</si>
  <si>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</si>
  <si>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</si>
  <si>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</si>
  <si>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</si>
  <si>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</si>
  <si>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</si>
  <si>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</si>
  <si>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</si>
  <si>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</si>
  <si>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</si>
  <si>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</si>
  <si>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</si>
  <si>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</si>
  <si>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</si>
  <si>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</si>
  <si>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</si>
  <si>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</si>
  <si>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</si>
  <si>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</si>
  <si>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</si>
  <si>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</si>
  <si>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</si>
  <si>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</si>
  <si>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</si>
  <si>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</si>
  <si>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</si>
  <si>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</si>
  <si>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</si>
  <si>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</si>
  <si>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</si>
  <si>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</si>
  <si>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</si>
  <si>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</si>
  <si>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</si>
  <si>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</si>
  <si>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</si>
  <si>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</si>
  <si>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</si>
  <si>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</si>
  <si>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</si>
  <si>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</si>
  <si>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</si>
  <si>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</si>
  <si>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</si>
  <si>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</si>
  <si>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</si>
  <si>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</si>
  <si>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</si>
  <si>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</si>
  <si>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</si>
  <si>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</si>
  <si>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</si>
  <si>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</si>
  <si>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</si>
  <si>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</si>
  <si>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</si>
  <si>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</si>
  <si>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</si>
  <si>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</si>
  <si>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</si>
  <si>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</si>
  <si>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</si>
  <si>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</si>
  <si>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</si>
  <si>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</si>
  <si>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</si>
  <si>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</si>
  <si>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</si>
  <si>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</si>
  <si>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</si>
  <si>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</si>
  <si>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</si>
  <si>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</si>
  <si>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</si>
  <si>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</si>
  <si>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</si>
  <si>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</si>
  <si>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</si>
  <si>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</si>
  <si>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</si>
  <si>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</si>
  <si>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</si>
  <si>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</si>
  <si>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</si>
  <si>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</si>
  <si>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</si>
  <si>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</si>
  <si>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</si>
  <si>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</si>
  <si>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</si>
  <si>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</si>
  <si>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</si>
  <si>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</si>
  <si>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</si>
  <si>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</si>
  <si>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</si>
  <si>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</si>
  <si>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</si>
  <si>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</si>
  <si>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</si>
  <si>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</si>
  <si>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</si>
  <si>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</si>
  <si>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</si>
  <si>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</si>
  <si>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</si>
  <si>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</si>
  <si>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</si>
  <si>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</si>
  <si>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</si>
  <si>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</si>
  <si>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</si>
  <si>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</si>
  <si>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</si>
  <si>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</si>
  <si>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</si>
  <si>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</si>
  <si>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</si>
  <si>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</si>
  <si>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</si>
  <si>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</si>
  <si>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</si>
  <si>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</si>
  <si>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</si>
  <si>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</si>
  <si>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</si>
  <si>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</si>
  <si>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</si>
  <si>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</si>
  <si>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</si>
  <si>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</si>
  <si>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</si>
  <si>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</si>
  <si>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</si>
  <si>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</si>
  <si>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</si>
  <si>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</si>
  <si>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</si>
  <si>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</si>
  <si>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</si>
  <si>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</si>
  <si>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</si>
  <si>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</si>
  <si>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</si>
  <si>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</si>
  <si>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</si>
  <si>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</si>
  <si>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</si>
  <si>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</si>
  <si>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</si>
  <si>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</si>
  <si>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</si>
  <si>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</si>
  <si>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</si>
  <si>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</si>
  <si>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</si>
  <si>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</si>
  <si>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</si>
  <si>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</si>
  <si>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</si>
  <si>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</si>
  <si>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</si>
  <si>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</si>
  <si>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</si>
  <si>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</si>
  <si>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</si>
  <si>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</si>
  <si>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</si>
  <si>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</si>
  <si>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</si>
  <si>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</si>
  <si>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</si>
  <si>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</si>
  <si>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</si>
  <si>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</si>
  <si>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</si>
  <si>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</si>
  <si>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</si>
  <si>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</si>
  <si>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</si>
  <si>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</si>
  <si>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</si>
  <si>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</si>
  <si>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</si>
  <si>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</si>
  <si>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</si>
  <si>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</si>
  <si>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</si>
  <si>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</si>
  <si>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</si>
  <si>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</si>
  <si>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</si>
  <si>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</si>
  <si>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</si>
  <si>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</si>
  <si>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</si>
  <si>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</si>
  <si>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</si>
  <si>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</si>
  <si>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</si>
  <si>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</si>
  <si>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</si>
  <si>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</si>
  <si>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</si>
  <si>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</si>
  <si>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</si>
  <si>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</si>
  <si>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</si>
  <si>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</si>
  <si>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</si>
  <si>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</si>
  <si>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</si>
  <si>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</si>
  <si>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</si>
  <si>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</si>
  <si>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</si>
  <si>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</si>
  <si>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</si>
  <si>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</si>
  <si>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</si>
  <si>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</si>
  <si>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</si>
  <si>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</si>
  <si>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</si>
  <si>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</si>
  <si>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</si>
  <si>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</si>
  <si>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</si>
  <si>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</si>
  <si>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</si>
  <si>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</si>
  <si>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</si>
  <si>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</si>
  <si>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</si>
  <si>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</si>
  <si>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</si>
  <si>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</si>
  <si>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</si>
  <si>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</si>
  <si>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</si>
  <si>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</si>
  <si>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</si>
  <si>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</si>
  <si>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</si>
  <si>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</si>
  <si>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</si>
  <si>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</si>
  <si>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</si>
  <si>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</si>
  <si>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</si>
  <si>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</si>
  <si>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</si>
  <si>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</si>
  <si>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</si>
  <si>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</si>
  <si>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</si>
  <si>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</si>
  <si>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</si>
  <si>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</si>
  <si>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</si>
  <si>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</si>
  <si>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</si>
  <si>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</si>
  <si>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</si>
  <si>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</si>
  <si>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</si>
  <si>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</si>
  <si>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</si>
  <si>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</si>
  <si>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</si>
  <si>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</si>
  <si>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</si>
  <si>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</si>
  <si>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</si>
  <si>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</si>
  <si>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</si>
  <si>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</si>
  <si>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</si>
  <si>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</si>
  <si>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</si>
  <si>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</si>
  <si>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</si>
  <si>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</si>
  <si>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</si>
  <si>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</si>
  <si>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</si>
  <si>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</si>
  <si>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</si>
  <si>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</si>
  <si>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</si>
  <si>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</si>
  <si>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</si>
  <si>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</si>
  <si>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</si>
  <si>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</si>
  <si>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</si>
  <si>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</si>
  <si>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</si>
  <si>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</si>
  <si>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</si>
  <si>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</si>
  <si>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</si>
  <si>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</si>
  <si>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</si>
  <si>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</si>
  <si>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</si>
  <si>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</si>
  <si>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</si>
  <si>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</si>
  <si>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</si>
  <si>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</si>
  <si>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</si>
  <si>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</si>
  <si>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</si>
  <si>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</si>
  <si>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</si>
  <si>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</si>
  <si>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</si>
  <si>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</si>
  <si>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</si>
  <si>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</si>
  <si>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</si>
  <si>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</si>
  <si>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</si>
  <si>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</si>
  <si>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</si>
  <si>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</si>
  <si>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</si>
  <si>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</si>
  <si>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</si>
  <si>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</si>
  <si>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</si>
  <si>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</si>
  <si>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</si>
  <si>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</si>
  <si>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</si>
  <si>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</si>
  <si>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</si>
  <si>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</si>
  <si>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</si>
  <si>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</si>
  <si>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</si>
  <si>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</si>
  <si>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</si>
  <si>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</si>
  <si>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</si>
  <si>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</si>
  <si>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</si>
  <si>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</si>
  <si>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</si>
  <si>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</si>
  <si>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</si>
  <si>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</si>
  <si>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</si>
  <si>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</si>
  <si>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</si>
  <si>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</si>
  <si>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</si>
  <si>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</si>
  <si>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</si>
  <si>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</si>
  <si>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</si>
  <si>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</si>
  <si>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</si>
  <si>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</si>
  <si>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</si>
  <si>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</si>
  <si>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</si>
  <si>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</si>
  <si>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</si>
  <si>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</si>
  <si>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</si>
  <si>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</si>
  <si>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</si>
  <si>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</si>
  <si>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</si>
  <si>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</si>
  <si>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</si>
  <si>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</si>
  <si>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</si>
  <si>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</si>
  <si>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</si>
  <si>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</si>
  <si>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</si>
  <si>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</si>
  <si>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</si>
  <si>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</si>
  <si>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</si>
  <si>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</si>
  <si>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</si>
  <si>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</si>
  <si>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</si>
  <si>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</si>
  <si>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</si>
  <si>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</si>
  <si>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</si>
  <si>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</si>
  <si>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</si>
  <si>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</si>
  <si>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</si>
  <si>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</si>
  <si>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</si>
  <si>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</si>
  <si>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</si>
  <si>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</si>
  <si>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</si>
  <si>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</si>
  <si>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</si>
  <si>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</si>
  <si>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</si>
  <si>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</si>
  <si>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</si>
  <si>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</si>
  <si>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</si>
  <si>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</si>
  <si>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</si>
  <si>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</si>
  <si>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</si>
  <si>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</si>
  <si>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</si>
  <si>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</si>
  <si>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</si>
  <si>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</si>
  <si>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</si>
  <si>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</si>
  <si>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</si>
  <si>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</si>
  <si>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</si>
  <si>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</si>
  <si>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</si>
  <si>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</si>
  <si>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</si>
  <si>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</si>
  <si>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</si>
  <si>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</si>
  <si>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</si>
  <si>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</si>
  <si>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</si>
  <si>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</si>
  <si>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</si>
  <si>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</si>
  <si>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</si>
  <si>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</si>
  <si>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</si>
  <si>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</si>
  <si>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</si>
  <si>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</si>
  <si>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</si>
  <si>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</si>
  <si>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</si>
  <si>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</si>
  <si>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</si>
  <si>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</si>
  <si>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</si>
  <si>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</si>
  <si>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</si>
  <si>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</si>
  <si>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</si>
  <si>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</si>
  <si>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</si>
  <si>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</si>
  <si>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</si>
  <si>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</si>
  <si>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</si>
  <si>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</si>
  <si>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</si>
  <si>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</si>
  <si>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</si>
  <si>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</si>
  <si>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</si>
  <si>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</si>
  <si>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</si>
  <si>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</si>
  <si>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</si>
  <si>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</si>
  <si>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</si>
  <si>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</si>
  <si>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</si>
  <si>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</si>
  <si>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</si>
  <si>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</si>
  <si>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</si>
  <si>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</si>
  <si>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</si>
  <si>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</si>
  <si>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</si>
  <si>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</si>
  <si>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</si>
  <si>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</si>
  <si>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</si>
  <si>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</si>
  <si>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</si>
  <si>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</si>
  <si>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</si>
  <si>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</si>
  <si>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</si>
  <si>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</si>
  <si>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</si>
  <si>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</si>
  <si>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</si>
  <si>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</si>
  <si>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</si>
  <si>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</si>
  <si>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</si>
  <si>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</si>
  <si>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</si>
  <si>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</si>
  <si>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</si>
  <si>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</si>
  <si>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</si>
  <si>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</si>
  <si>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</si>
  <si>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</si>
  <si>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</si>
  <si>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</si>
  <si>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</si>
  <si>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</si>
  <si>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</si>
  <si>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</si>
  <si>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</si>
  <si>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</si>
  <si>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</si>
  <si>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</si>
  <si>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</si>
  <si>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</si>
  <si>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</si>
  <si>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</si>
  <si>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</si>
  <si>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</si>
  <si>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</si>
  <si>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</si>
  <si>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</si>
  <si>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</si>
  <si>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</si>
  <si>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</si>
  <si>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</si>
  <si>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</si>
  <si>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</si>
  <si>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</si>
  <si>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</si>
  <si>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</si>
  <si>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</si>
  <si>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</si>
  <si>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</si>
  <si>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</si>
  <si>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</si>
  <si>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</si>
  <si>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</si>
  <si>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</si>
  <si>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</si>
  <si>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</si>
  <si>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</si>
  <si>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</si>
  <si>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</si>
  <si>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</si>
  <si>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</si>
  <si>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</si>
  <si>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</si>
  <si>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</si>
  <si>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</si>
  <si>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</si>
  <si>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</si>
  <si>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</si>
  <si>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</si>
  <si>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</si>
  <si>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</si>
  <si>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</si>
  <si>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</si>
  <si>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</si>
  <si>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</si>
  <si>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</si>
  <si>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</si>
  <si>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</si>
  <si>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</si>
  <si>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</si>
  <si>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</si>
  <si>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</si>
  <si>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</si>
  <si>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</si>
  <si>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</si>
  <si>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</si>
  <si>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</si>
  <si>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</si>
  <si>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</si>
  <si>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</si>
  <si>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</si>
  <si>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</si>
  <si>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</si>
  <si>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</si>
  <si>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</si>
  <si>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</si>
  <si>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</si>
  <si>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</si>
  <si>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</si>
  <si>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</si>
  <si>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</si>
  <si>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</si>
  <si>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</si>
  <si>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</si>
  <si>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</si>
  <si>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</si>
  <si>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</si>
  <si>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</si>
  <si>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</si>
  <si>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</si>
  <si>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</si>
  <si>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</si>
  <si>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</si>
  <si>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</si>
  <si>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</si>
  <si>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</si>
  <si>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</si>
  <si>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</si>
  <si>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</si>
  <si>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</si>
  <si>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</si>
  <si>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</si>
  <si>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</si>
  <si>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</si>
  <si>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</si>
  <si>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</si>
  <si>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</si>
  <si>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</si>
  <si>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</si>
  <si>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</si>
  <si>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</si>
  <si>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</si>
  <si>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</si>
  <si>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</si>
  <si>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</si>
  <si>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</si>
  <si>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</si>
  <si>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</si>
  <si>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</si>
  <si>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</si>
  <si>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</si>
  <si>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</si>
  <si>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</si>
  <si>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</si>
  <si>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</si>
  <si>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</si>
  <si>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</si>
  <si>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</si>
  <si>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</si>
  <si>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</si>
  <si>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</si>
  <si>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</si>
  <si>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</si>
  <si>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</si>
  <si>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</si>
  <si>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</si>
  <si>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</si>
  <si>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</si>
  <si>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</si>
  <si>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</si>
  <si>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</si>
  <si>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</si>
  <si>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</si>
  <si>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</si>
  <si>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</si>
  <si>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</si>
  <si>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</si>
  <si>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</si>
  <si>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</si>
  <si>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</si>
  <si>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</si>
  <si>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</si>
  <si>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</si>
  <si>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</si>
  <si>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</si>
  <si>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</si>
  <si>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</si>
  <si>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</si>
  <si>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</si>
  <si>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</si>
  <si>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</si>
  <si>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</si>
  <si>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</si>
  <si>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</si>
  <si>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</si>
  <si>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</si>
  <si>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</si>
  <si>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</si>
  <si>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</si>
  <si>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</si>
  <si>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</si>
  <si>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</si>
  <si>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</si>
  <si>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</si>
  <si>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</si>
  <si>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</si>
  <si>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</si>
  <si>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</si>
  <si>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</si>
  <si>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</si>
  <si>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</si>
  <si>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</si>
  <si>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</si>
  <si>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</si>
  <si>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</si>
  <si>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</si>
  <si>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</si>
  <si>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</si>
  <si>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</si>
  <si>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</si>
  <si>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</si>
  <si>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</si>
  <si>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</si>
  <si>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</si>
  <si>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</si>
  <si>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</si>
  <si>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</si>
  <si>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</si>
  <si>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</si>
  <si>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</si>
  <si>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</si>
  <si>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</si>
  <si>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</si>
  <si>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</si>
  <si>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</si>
  <si>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</si>
  <si>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</si>
  <si>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</si>
  <si>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</si>
  <si>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</si>
  <si>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</si>
  <si>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</si>
  <si>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</si>
  <si>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</si>
  <si>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</si>
  <si>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</si>
  <si>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</si>
  <si>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</si>
  <si>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</si>
  <si>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</si>
  <si>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</si>
  <si>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</si>
  <si>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</si>
  <si>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</si>
  <si>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</si>
  <si>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</si>
  <si>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</si>
  <si>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</si>
  <si>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</si>
  <si>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</si>
  <si>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</si>
  <si>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</si>
  <si>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</si>
  <si>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</si>
  <si>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</si>
  <si>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</si>
  <si>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</si>
  <si>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</si>
  <si>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</si>
  <si>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</si>
  <si>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</si>
  <si>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</si>
  <si>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</si>
  <si>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</si>
  <si>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</si>
  <si>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</si>
  <si>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</si>
  <si>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</si>
  <si>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</si>
  <si>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</si>
  <si>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</si>
  <si>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</si>
  <si>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</si>
  <si>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</si>
  <si>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</si>
  <si>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</si>
  <si>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</si>
  <si>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</si>
  <si>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</si>
  <si>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</si>
  <si>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</si>
  <si>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</si>
  <si>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</si>
  <si>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</si>
  <si>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</si>
  <si>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</si>
  <si>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</si>
  <si>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</si>
  <si>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</si>
  <si>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</si>
  <si>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</si>
  <si>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</si>
  <si>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</si>
  <si>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</si>
  <si>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</si>
  <si>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</si>
  <si>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</si>
  <si>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</si>
  <si>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</si>
  <si>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</si>
  <si>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</si>
  <si>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</si>
  <si>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</si>
  <si>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</si>
  <si>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</si>
  <si>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</si>
  <si>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</si>
  <si>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</si>
  <si>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</si>
  <si>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</si>
  <si>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</si>
  <si>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</si>
  <si>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</si>
  <si>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</si>
  <si>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</si>
  <si>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</si>
  <si>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</si>
  <si>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</si>
  <si>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</si>
  <si>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</si>
  <si>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</si>
  <si>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</si>
  <si>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</si>
  <si>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</si>
  <si>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</si>
  <si>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</si>
  <si>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</si>
  <si>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</si>
  <si>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</si>
  <si>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</si>
  <si>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</si>
  <si>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</si>
  <si>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</si>
  <si>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</si>
  <si>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</si>
  <si>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</si>
  <si>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</si>
  <si>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</si>
  <si>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</si>
  <si>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</si>
  <si>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</si>
  <si>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</si>
  <si>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</si>
  <si>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</si>
  <si>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</si>
  <si>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</si>
  <si>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</si>
  <si>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</si>
  <si>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</si>
  <si>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</si>
  <si>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</si>
  <si>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</si>
  <si>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</si>
  <si>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</si>
  <si>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</si>
  <si>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</si>
  <si>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</si>
  <si>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</si>
  <si>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</si>
  <si>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</si>
  <si>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</si>
  <si>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</si>
  <si>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</si>
  <si>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</si>
  <si>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</si>
  <si>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</si>
  <si>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</si>
  <si>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</si>
  <si>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</si>
  <si>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</si>
  <si>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</si>
  <si>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</si>
  <si>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</si>
  <si>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</si>
  <si>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</si>
  <si>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</si>
  <si>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</si>
  <si>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</si>
  <si>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</si>
  <si>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</si>
  <si>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</si>
  <si>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</si>
  <si>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</si>
  <si>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</si>
  <si>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</si>
  <si>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</si>
  <si>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</si>
  <si>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</si>
  <si>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</si>
  <si>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</si>
  <si>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</si>
  <si>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</si>
  <si>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</si>
  <si>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</si>
  <si>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</si>
  <si>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</si>
  <si>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</si>
  <si>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</si>
  <si>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</si>
  <si>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</si>
  <si>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</si>
  <si>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</si>
  <si>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</si>
  <si>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</si>
  <si>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</si>
  <si>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</si>
  <si>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</si>
  <si>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</si>
  <si>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</si>
  <si>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</si>
  <si>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</si>
  <si>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</si>
  <si>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</si>
  <si>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</si>
  <si>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</si>
  <si>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</si>
  <si>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</si>
  <si>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</si>
  <si>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</si>
  <si>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</si>
  <si>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</si>
  <si>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</si>
  <si>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</si>
  <si>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</si>
  <si>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</si>
  <si>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</si>
  <si>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</si>
  <si>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</si>
  <si>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</si>
  <si>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</si>
  <si>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</si>
  <si>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</si>
  <si>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</si>
  <si>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</si>
  <si>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</si>
  <si>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</si>
  <si>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</si>
  <si>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</si>
  <si>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</si>
  <si>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</si>
  <si>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</si>
  <si>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</si>
  <si>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</si>
  <si>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</si>
  <si>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</si>
  <si>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</si>
  <si>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</si>
  <si>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</si>
  <si>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</si>
  <si>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</si>
  <si>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</si>
  <si>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</si>
  <si>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</si>
  <si>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</si>
  <si>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</si>
  <si>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</si>
  <si>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</si>
  <si>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</si>
  <si>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</si>
  <si>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</si>
  <si>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</si>
  <si>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</si>
  <si>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</si>
  <si>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</si>
  <si>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</si>
  <si>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</si>
  <si>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</si>
  <si>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</si>
  <si>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</si>
  <si>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</si>
  <si>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</si>
  <si>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</si>
  <si>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</si>
  <si>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</si>
  <si>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</si>
  <si>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</si>
  <si>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</si>
  <si>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</si>
  <si>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</si>
  <si>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</si>
  <si>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</si>
  <si>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</si>
  <si>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</si>
  <si>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</si>
  <si>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</si>
  <si>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</si>
  <si>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</si>
  <si>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</si>
  <si>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</si>
  <si>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</si>
  <si>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</si>
  <si>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</si>
  <si>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</si>
  <si>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</si>
  <si>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</si>
  <si>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</si>
  <si>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</si>
  <si>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</si>
  <si>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</si>
  <si>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</si>
  <si>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</si>
  <si>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</si>
  <si>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</si>
  <si>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</si>
  <si>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</si>
  <si>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</si>
  <si>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</si>
  <si>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</si>
  <si>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</si>
  <si>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</si>
  <si>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</si>
  <si>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</si>
  <si>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</si>
  <si>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</si>
  <si>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</si>
  <si>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</si>
  <si>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</si>
  <si>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</si>
  <si>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</si>
  <si>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</si>
  <si>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</si>
  <si>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</si>
  <si>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</si>
  <si>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</si>
  <si>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</si>
  <si>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</si>
  <si>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</si>
  <si>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</si>
  <si>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</si>
  <si>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</si>
  <si>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</si>
  <si>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</si>
  <si>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</si>
  <si>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</si>
  <si>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</si>
  <si>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</si>
  <si>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</si>
  <si>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</si>
  <si>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</si>
  <si>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</si>
  <si>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</si>
  <si>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</si>
  <si>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</si>
  <si>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</si>
  <si>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</si>
  <si>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</si>
  <si>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</si>
  <si>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</si>
  <si>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</si>
  <si>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</si>
  <si>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</si>
  <si>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</si>
  <si>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</si>
  <si>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</si>
  <si>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</si>
  <si>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</si>
  <si>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</si>
  <si>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</si>
  <si>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</si>
  <si>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</si>
  <si>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</si>
  <si>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</si>
  <si>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</si>
  <si>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</si>
  <si>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</si>
  <si>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</si>
  <si>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</si>
  <si>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</si>
  <si>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</si>
  <si>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</si>
  <si>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</si>
  <si>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</si>
  <si>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</si>
  <si>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</si>
  <si>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</si>
  <si>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</si>
  <si>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</si>
  <si>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</si>
  <si>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</si>
  <si>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</si>
  <si>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</si>
  <si>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</si>
  <si>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</si>
  <si>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</si>
  <si>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</si>
  <si>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</si>
  <si>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</si>
  <si>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</si>
  <si>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</si>
  <si>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</si>
  <si>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</si>
  <si>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</si>
  <si>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</si>
  <si>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</si>
  <si>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</si>
  <si>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</si>
  <si>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</si>
  <si>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</si>
  <si>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</si>
  <si>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</si>
  <si>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</si>
  <si>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</si>
  <si>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</si>
  <si>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</si>
  <si>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</si>
  <si>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</si>
  <si>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</si>
  <si>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</si>
  <si>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</si>
  <si>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</si>
  <si>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</si>
  <si>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</si>
  <si>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</si>
  <si>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</si>
  <si>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</si>
  <si>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</si>
  <si>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</si>
  <si>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</si>
  <si>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</si>
  <si>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</si>
  <si>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</si>
  <si>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</si>
  <si>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</si>
  <si>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</si>
  <si>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</si>
  <si>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</si>
  <si>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</si>
  <si>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</si>
  <si>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</si>
  <si>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</si>
  <si>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</si>
  <si>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</si>
  <si>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</si>
  <si>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</si>
  <si>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</si>
  <si>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</si>
  <si>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</si>
  <si>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</si>
  <si>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</si>
  <si>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</si>
  <si>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</si>
  <si>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</si>
  <si>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</si>
  <si>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</si>
  <si>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</si>
  <si>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</si>
  <si>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</si>
  <si>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</si>
  <si>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</si>
  <si>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</si>
  <si>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</si>
  <si>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</si>
  <si>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</si>
  <si>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</si>
  <si>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</si>
  <si>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</si>
  <si>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</si>
  <si>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</si>
  <si>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</si>
  <si>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</si>
  <si>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</si>
  <si>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</si>
  <si>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</si>
  <si>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</si>
  <si>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</si>
  <si>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</si>
  <si>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</si>
  <si>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</si>
  <si>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</si>
  <si>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</si>
  <si>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</si>
  <si>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</si>
  <si>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</si>
  <si>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</si>
  <si>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</si>
  <si>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</si>
  <si>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</si>
  <si>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</si>
  <si>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</si>
  <si>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</si>
  <si>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</si>
  <si>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</si>
  <si>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</si>
  <si>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</si>
  <si>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</si>
  <si>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</si>
  <si>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</si>
  <si>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</si>
  <si>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</si>
  <si>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</si>
  <si>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</si>
  <si>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</si>
  <si>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</si>
  <si>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</si>
  <si>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</si>
  <si>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</si>
  <si>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</si>
  <si>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</si>
  <si>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</si>
  <si>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</si>
  <si>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</si>
  <si>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</si>
  <si>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</si>
  <si>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</si>
  <si>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</si>
  <si>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</si>
  <si>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</si>
  <si>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</si>
  <si>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</si>
  <si>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</si>
  <si>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</si>
  <si>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</si>
  <si>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</si>
  <si>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</si>
  <si>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</si>
  <si>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</si>
  <si>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</si>
  <si>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</si>
  <si>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</si>
  <si>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</si>
  <si>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</si>
  <si>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</si>
  <si>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</si>
  <si>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</si>
  <si>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</si>
  <si>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</si>
  <si>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</si>
  <si>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</si>
  <si>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</si>
  <si>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</si>
  <si>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</si>
  <si>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</si>
  <si>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</si>
  <si>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</si>
  <si>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</si>
  <si>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</si>
  <si>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</si>
  <si>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</si>
  <si>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</si>
  <si>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</si>
  <si>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</si>
  <si>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</si>
  <si>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</si>
  <si>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</si>
  <si>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</si>
  <si>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</si>
  <si>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</si>
  <si>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</si>
  <si>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</si>
  <si>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</si>
  <si>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</si>
  <si>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</si>
  <si>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</si>
  <si>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</si>
  <si>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</si>
  <si>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</si>
  <si>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</si>
  <si>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</si>
  <si>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</si>
  <si>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</si>
  <si>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</si>
  <si>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</si>
  <si>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</si>
  <si>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</si>
  <si>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</si>
  <si>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</si>
  <si>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</si>
  <si>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</si>
  <si>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</si>
  <si>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</si>
  <si>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</si>
  <si>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</si>
  <si>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</si>
  <si>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</si>
  <si>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</si>
  <si>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</si>
  <si>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</si>
  <si>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</si>
  <si>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</si>
  <si>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</si>
  <si>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</si>
  <si>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</si>
  <si>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</si>
  <si>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</si>
  <si>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</si>
  <si>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</si>
  <si>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</si>
  <si>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</si>
  <si>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</si>
  <si>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</si>
  <si>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</si>
  <si>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</si>
  <si>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</si>
  <si>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</si>
  <si>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</si>
  <si>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</si>
  <si>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</si>
  <si>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</si>
  <si>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</si>
  <si>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</si>
  <si>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</si>
  <si>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</si>
  <si>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</si>
  <si>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</si>
  <si>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</si>
  <si>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</si>
  <si>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</si>
  <si>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</si>
  <si>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</si>
  <si>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</si>
  <si>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</si>
  <si>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</si>
  <si>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</si>
  <si>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</si>
  <si>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</si>
  <si>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</si>
  <si>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</si>
  <si>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</si>
  <si>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</si>
  <si>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</si>
  <si>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</si>
  <si>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</si>
  <si>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</si>
  <si>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</si>
  <si>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</si>
  <si>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</si>
  <si>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</si>
  <si>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</si>
  <si>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</si>
  <si>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</si>
  <si>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</si>
  <si>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</si>
  <si>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</si>
  <si>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</si>
  <si>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</si>
  <si>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</si>
  <si>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</si>
  <si>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</si>
  <si>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</si>
  <si>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</si>
  <si>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</si>
  <si>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</si>
  <si>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</si>
  <si>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</si>
  <si>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</si>
  <si>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</si>
  <si>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</si>
  <si>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</si>
  <si>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</si>
  <si>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</si>
  <si>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</si>
  <si>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</si>
  <si>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</si>
  <si>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</si>
  <si>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</si>
  <si>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</si>
  <si>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</si>
  <si>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</si>
  <si>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</si>
  <si>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</si>
  <si>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</si>
  <si>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</si>
  <si>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</si>
  <si>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</si>
  <si>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</si>
  <si>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</si>
  <si>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</si>
  <si>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</si>
  <si>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</si>
  <si>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</si>
  <si>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</si>
  <si>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</si>
  <si>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</si>
  <si>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</si>
  <si>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</si>
  <si>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</si>
  <si>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</si>
  <si>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</si>
  <si>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</si>
  <si>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</si>
  <si>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</si>
  <si>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</si>
  <si>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</si>
  <si>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</si>
  <si>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</si>
  <si>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</si>
  <si>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</si>
  <si>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</si>
  <si>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</si>
  <si>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</si>
  <si>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</si>
  <si>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</si>
  <si>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</si>
  <si>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</si>
  <si>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</si>
  <si>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</si>
  <si>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</si>
  <si>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</si>
  <si>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</si>
  <si>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</si>
  <si>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</si>
  <si>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</si>
  <si>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</si>
  <si>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</si>
  <si>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</si>
  <si>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</si>
  <si>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</si>
  <si>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</si>
  <si>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</si>
  <si>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</si>
  <si>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</si>
  <si>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</si>
  <si>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</si>
  <si>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</si>
  <si>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</si>
  <si>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</si>
  <si>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</si>
  <si>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</si>
  <si>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</si>
  <si>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</si>
  <si>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</si>
  <si>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</si>
  <si>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</si>
  <si>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</si>
  <si>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</si>
  <si>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</si>
  <si>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</si>
  <si>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</si>
  <si>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</si>
  <si>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</si>
  <si>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</si>
  <si>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</si>
  <si>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</si>
  <si>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</si>
  <si>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</si>
  <si>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</si>
  <si>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</si>
  <si>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</si>
  <si>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</si>
  <si>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</si>
  <si>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</si>
  <si>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</si>
  <si>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</si>
  <si>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</si>
  <si>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</si>
  <si>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</si>
  <si>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</si>
  <si>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</si>
  <si>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</si>
  <si>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</si>
  <si>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</si>
  <si>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</si>
  <si>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</si>
  <si>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</si>
  <si>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</si>
  <si>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</si>
  <si>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</si>
  <si>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</si>
  <si>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</si>
  <si>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</si>
  <si>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</si>
  <si>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</si>
  <si>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</si>
  <si>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</si>
  <si>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</si>
  <si>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</si>
  <si>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</si>
  <si>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</si>
  <si>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</si>
  <si>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</si>
  <si>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</si>
  <si>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</si>
  <si>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</si>
  <si>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</si>
  <si>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</si>
  <si>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</si>
  <si>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</si>
  <si>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</si>
  <si>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</si>
  <si>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</si>
  <si>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</si>
  <si>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</si>
  <si>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</si>
  <si>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</si>
  <si>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</si>
  <si>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</si>
  <si>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</si>
  <si>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</si>
  <si>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</si>
  <si>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</si>
  <si>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</si>
  <si>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</si>
  <si>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</si>
  <si>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</si>
  <si>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</si>
  <si>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</si>
  <si>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</si>
  <si>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</si>
  <si>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</si>
  <si>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</si>
  <si>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</si>
  <si>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</si>
  <si>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</si>
  <si>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</si>
  <si>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</si>
  <si>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</si>
  <si>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</si>
  <si>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</si>
  <si>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</si>
  <si>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</si>
  <si>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</si>
  <si>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</si>
  <si>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</si>
  <si>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</si>
  <si>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</si>
  <si>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</si>
  <si>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</si>
  <si>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</si>
  <si>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</si>
  <si>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</si>
  <si>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</si>
  <si>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</si>
  <si>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</si>
  <si>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</si>
  <si>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</si>
  <si>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</si>
  <si>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</si>
  <si>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</si>
  <si>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</si>
  <si>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</si>
  <si>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</si>
  <si>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</si>
  <si>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</si>
  <si>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</si>
  <si>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</si>
  <si>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</si>
  <si>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</si>
  <si>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</si>
  <si>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</si>
  <si>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</si>
  <si>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</si>
  <si>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</si>
  <si>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</si>
  <si>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</si>
  <si>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</si>
  <si>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</si>
  <si>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</si>
  <si>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</si>
  <si>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</si>
  <si>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</si>
  <si>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</si>
  <si>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</si>
  <si>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</si>
  <si>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</si>
  <si>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</si>
  <si>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</si>
  <si>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</si>
  <si>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</si>
  <si>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</si>
  <si>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</si>
  <si>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</si>
  <si>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</si>
  <si>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</si>
  <si>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</si>
  <si>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</si>
  <si>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</si>
  <si>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</si>
  <si>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</si>
  <si>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</si>
  <si>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</si>
  <si>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</si>
  <si>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</si>
  <si>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</si>
  <si>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</si>
  <si>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</si>
  <si>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</si>
  <si>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</si>
  <si>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</si>
  <si>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</si>
  <si>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</si>
  <si>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</si>
  <si>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</si>
  <si>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</si>
  <si>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</si>
  <si>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</si>
  <si>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</si>
  <si>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</si>
  <si>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</si>
  <si>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</si>
  <si>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</si>
  <si>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</si>
  <si>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</si>
  <si>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</si>
  <si>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</si>
  <si>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</si>
  <si>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</si>
  <si>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</si>
  <si>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</si>
  <si>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</si>
  <si>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</si>
  <si>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</si>
  <si>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</si>
  <si>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</si>
  <si>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</si>
  <si>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</si>
  <si>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</si>
  <si>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</si>
  <si>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</si>
  <si>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</si>
  <si>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</si>
  <si>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</si>
  <si>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</si>
  <si>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</si>
  <si>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</si>
  <si>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</si>
  <si>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</si>
  <si>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</si>
  <si>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</si>
  <si>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</si>
  <si>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</si>
  <si>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</si>
  <si>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</si>
  <si>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</si>
  <si>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</si>
  <si>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</si>
  <si>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</si>
  <si>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</si>
  <si>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</si>
  <si>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</si>
  <si>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</si>
  <si>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</si>
  <si>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</si>
  <si>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</si>
  <si>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</si>
  <si>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</si>
  <si>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</si>
  <si>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</si>
  <si>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</si>
  <si>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</si>
  <si>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</si>
  <si>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</si>
  <si>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</si>
  <si>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</si>
  <si>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</si>
  <si>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</si>
  <si>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</si>
  <si>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</si>
  <si>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</si>
  <si>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</si>
  <si>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</si>
  <si>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</si>
  <si>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</si>
  <si>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</si>
  <si>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</si>
  <si>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</si>
  <si>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</si>
  <si>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</si>
  <si>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</si>
  <si>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</si>
  <si>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</si>
  <si>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</si>
  <si>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</si>
  <si>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</si>
  <si>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</si>
  <si>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</si>
  <si>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</si>
  <si>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</si>
  <si>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</si>
  <si>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</si>
  <si>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</si>
  <si>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</si>
  <si>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</si>
  <si>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</si>
  <si>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</si>
  <si>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</si>
  <si>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</si>
  <si>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</si>
  <si>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</si>
  <si>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</si>
  <si>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</si>
  <si>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</si>
  <si>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</si>
  <si>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</si>
  <si>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</si>
  <si>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</si>
  <si>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</si>
  <si>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</si>
  <si>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</si>
  <si>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</si>
  <si>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</si>
  <si>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</si>
  <si>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</si>
  <si>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</si>
  <si>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</si>
  <si>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</si>
  <si>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</si>
  <si>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</si>
  <si>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</si>
  <si>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</si>
  <si>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</si>
  <si>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</si>
  <si>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</si>
  <si>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</si>
  <si>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</si>
  <si>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</si>
  <si>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</si>
  <si>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</si>
  <si>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</si>
  <si>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</si>
  <si>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</si>
  <si>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</si>
  <si>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</si>
  <si>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</si>
  <si>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</si>
  <si>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</si>
  <si>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</si>
  <si>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</si>
  <si>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</si>
  <si>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</si>
  <si>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</si>
  <si>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</si>
  <si>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</si>
  <si>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</si>
  <si>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</si>
  <si>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</si>
  <si>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</si>
  <si>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</si>
  <si>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</si>
  <si>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</si>
  <si>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</si>
  <si>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</si>
  <si>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</si>
  <si>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</si>
  <si>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</si>
  <si>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</si>
  <si>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</si>
  <si>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</si>
  <si>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</si>
  <si>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</si>
  <si>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</si>
  <si>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</si>
  <si>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</si>
  <si>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</si>
  <si>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</si>
  <si>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</si>
  <si>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</si>
  <si>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</si>
  <si>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</si>
  <si>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</si>
  <si>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</si>
  <si>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</si>
  <si>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</si>
  <si>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</si>
  <si>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</si>
  <si>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</si>
  <si>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</si>
  <si>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</si>
  <si>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</si>
  <si>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</si>
  <si>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</si>
  <si>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</si>
  <si>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</si>
  <si>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</si>
  <si>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</si>
  <si>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</si>
  <si>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</si>
  <si>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</si>
  <si>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</si>
  <si>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</si>
  <si>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</si>
  <si>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</si>
  <si>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</si>
  <si>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</si>
  <si>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</si>
  <si>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</si>
  <si>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</si>
  <si>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</si>
  <si>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</si>
  <si>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</si>
  <si>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</si>
  <si>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</si>
  <si>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</si>
  <si>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</si>
  <si>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</si>
  <si>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</si>
  <si>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</si>
  <si>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</si>
  <si>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</si>
  <si>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</si>
  <si>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</si>
  <si>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</si>
  <si>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</si>
  <si>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</si>
  <si>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</si>
  <si>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</si>
  <si>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</si>
  <si>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</si>
  <si>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</si>
  <si>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</si>
  <si>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</si>
  <si>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</si>
  <si>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</si>
  <si>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</si>
  <si>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</si>
  <si>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</si>
  <si>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</si>
  <si>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</si>
  <si>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</si>
  <si>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</si>
  <si>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</si>
  <si>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</si>
  <si>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</si>
  <si>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</si>
  <si>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</si>
  <si>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</si>
  <si>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</si>
  <si>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</si>
  <si>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</si>
  <si>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</si>
  <si>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</si>
  <si>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</si>
  <si>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</si>
  <si>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</si>
  <si>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</si>
  <si>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</si>
  <si>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</si>
  <si>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</si>
  <si>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</si>
  <si>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</si>
  <si>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</si>
  <si>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</si>
  <si>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</si>
  <si>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</si>
  <si>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</si>
  <si>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</si>
  <si>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</si>
  <si>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</si>
  <si>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</si>
  <si>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</si>
  <si>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</si>
  <si>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</si>
  <si>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</si>
  <si>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</si>
  <si>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</si>
  <si>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</si>
  <si>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</si>
  <si>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</si>
  <si>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</si>
  <si>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</si>
  <si>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</si>
  <si>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</si>
  <si>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</si>
  <si>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</si>
  <si>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</si>
  <si>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</si>
  <si>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</si>
  <si>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</si>
  <si>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</si>
  <si>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</si>
  <si>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</si>
  <si>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</si>
  <si>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</si>
  <si>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</si>
  <si>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</si>
  <si>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</si>
  <si>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</si>
  <si>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</si>
  <si>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</si>
  <si>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</si>
  <si>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</si>
  <si>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</si>
  <si>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</si>
  <si>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</si>
  <si>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</si>
  <si>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</si>
  <si>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</si>
  <si>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</si>
  <si>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</si>
  <si>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</si>
  <si>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</si>
  <si>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</si>
  <si>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</si>
  <si>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</si>
  <si>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</si>
  <si>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</si>
  <si>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</si>
  <si>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</si>
  <si>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</si>
  <si>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</si>
  <si>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</si>
  <si>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</si>
  <si>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</si>
  <si>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</si>
  <si>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</si>
  <si>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</si>
  <si>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</si>
  <si>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</si>
  <si>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</si>
  <si>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</si>
  <si>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</si>
  <si>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</si>
  <si>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</si>
  <si>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</si>
  <si>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</si>
  <si>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</si>
  <si>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</si>
  <si>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</si>
  <si>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</si>
  <si>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</si>
  <si>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</si>
  <si>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</si>
  <si>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</si>
  <si>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</si>
  <si>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</si>
  <si>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</si>
  <si>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</si>
  <si>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</si>
  <si>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</si>
  <si>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</si>
  <si>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</si>
  <si>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</si>
  <si>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</si>
  <si>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</si>
  <si>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</si>
  <si>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</si>
  <si>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</si>
  <si>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</si>
  <si>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</si>
  <si>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</si>
  <si>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</si>
  <si>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</si>
  <si>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</si>
  <si>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</si>
  <si>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</si>
  <si>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</si>
  <si>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</si>
  <si>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</si>
  <si>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</si>
  <si>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</si>
  <si>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</si>
  <si>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</si>
  <si>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</si>
  <si>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</si>
  <si>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</si>
  <si>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</si>
  <si>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</si>
  <si>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</si>
  <si>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</si>
  <si>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</si>
  <si>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</si>
  <si>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</si>
  <si>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</si>
  <si>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</si>
  <si>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</si>
  <si>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</si>
  <si>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</si>
  <si>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</si>
  <si>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</si>
  <si>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</si>
  <si>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</si>
  <si>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</si>
  <si>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</si>
  <si>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</si>
  <si>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</si>
  <si>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</si>
  <si>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</si>
  <si>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</si>
  <si>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</si>
  <si>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</si>
  <si>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</si>
  <si>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</si>
  <si>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</si>
  <si>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</si>
  <si>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</si>
  <si>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</si>
  <si>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</si>
  <si>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</si>
  <si>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</si>
  <si>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</si>
  <si>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</si>
  <si>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</si>
  <si>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</si>
  <si>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</si>
  <si>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</si>
  <si>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</si>
  <si>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</si>
  <si>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</si>
  <si>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</si>
  <si>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</si>
  <si>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</si>
  <si>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</si>
  <si>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</si>
  <si>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</si>
  <si>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</si>
  <si>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</si>
  <si>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</si>
  <si>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</si>
  <si>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</si>
  <si>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</si>
  <si>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</si>
  <si>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</si>
  <si>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</si>
  <si>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</si>
  <si>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</si>
  <si>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</si>
  <si>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</si>
  <si>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</si>
  <si>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</si>
  <si>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</si>
  <si>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</si>
  <si>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</si>
  <si>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</si>
  <si>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</si>
  <si>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</si>
  <si>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</si>
  <si>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</si>
  <si>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</si>
  <si>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</si>
  <si>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</si>
  <si>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</si>
  <si>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</si>
  <si>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</si>
  <si>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</si>
  <si>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</si>
  <si>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</si>
  <si>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</si>
  <si>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</si>
  <si>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</si>
  <si>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</si>
  <si>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</si>
  <si>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</si>
  <si>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</si>
  <si>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</si>
  <si>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</si>
  <si>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</si>
  <si>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</si>
  <si>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</si>
  <si>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</si>
  <si>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</si>
  <si>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</si>
  <si>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</si>
  <si>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</si>
  <si>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</si>
  <si>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</si>
  <si>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</si>
  <si>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</si>
  <si>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</si>
  <si>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</si>
  <si>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</si>
  <si>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</si>
  <si>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</si>
  <si>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</si>
  <si>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</si>
  <si>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</si>
  <si>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</si>
  <si>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</si>
  <si>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</si>
  <si>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</si>
  <si>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</si>
  <si>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</si>
  <si>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</si>
  <si>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</si>
  <si>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</si>
  <si>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</si>
  <si>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</si>
  <si>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</si>
  <si>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</si>
  <si>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</si>
  <si>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</si>
  <si>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</si>
  <si>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</si>
  <si>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</si>
  <si>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</si>
  <si>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</si>
  <si>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</si>
  <si>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</si>
  <si>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</si>
  <si>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</si>
  <si>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</si>
  <si>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</si>
  <si>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</si>
  <si>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</si>
  <si>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</si>
  <si>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</si>
  <si>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</si>
  <si>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</si>
  <si>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</si>
  <si>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</si>
  <si>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</si>
  <si>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</si>
  <si>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</si>
  <si>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</si>
  <si>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</si>
  <si>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</si>
  <si>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</si>
  <si>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</si>
  <si>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</si>
  <si>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</si>
  <si>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</si>
  <si>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</si>
  <si>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</si>
  <si>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</si>
  <si>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</si>
  <si>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</si>
  <si>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</si>
  <si>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</si>
  <si>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</si>
  <si>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</si>
  <si>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</si>
  <si>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</si>
  <si>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</si>
  <si>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</si>
  <si>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</si>
  <si>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</si>
  <si>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</si>
  <si>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</si>
  <si>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</si>
  <si>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</si>
  <si>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</si>
  <si>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</si>
  <si>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</si>
  <si>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</si>
  <si>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</si>
  <si>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</si>
  <si>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</si>
  <si>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</si>
  <si>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</si>
  <si>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</si>
  <si>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</si>
  <si>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</si>
  <si>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</si>
  <si>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</si>
  <si>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</si>
  <si>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</si>
  <si>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</si>
  <si>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</si>
  <si>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</si>
  <si>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</si>
  <si>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</si>
  <si>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</si>
  <si>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</si>
  <si>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</si>
  <si>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</si>
  <si>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</si>
  <si>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</si>
  <si>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</si>
  <si>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</si>
  <si>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</si>
  <si>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</si>
  <si>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</si>
  <si>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</si>
  <si>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</si>
  <si>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</si>
  <si>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</si>
  <si>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</si>
  <si>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</si>
  <si>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</si>
  <si>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</si>
  <si>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</si>
  <si>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</si>
  <si>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</si>
  <si>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</si>
  <si>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</si>
  <si>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</si>
  <si>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</si>
  <si>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</si>
  <si>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</si>
  <si>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</si>
  <si>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</si>
  <si>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</si>
  <si>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</si>
  <si>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</si>
  <si>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</si>
  <si>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</si>
  <si>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</si>
  <si>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</si>
  <si>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</si>
  <si>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</si>
  <si>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</si>
  <si>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</si>
  <si>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</si>
  <si>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</si>
  <si>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</si>
  <si>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</si>
  <si>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</si>
  <si>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</si>
  <si>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</si>
  <si>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</si>
  <si>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</si>
  <si>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</si>
  <si>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</si>
  <si>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</si>
  <si>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</si>
  <si>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</si>
  <si>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</si>
  <si>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</si>
  <si>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</si>
  <si>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</si>
  <si>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</si>
  <si>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</si>
  <si>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</si>
  <si>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</si>
  <si>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</si>
  <si>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</si>
  <si>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</si>
  <si>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</si>
  <si>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</si>
  <si>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</si>
  <si>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</si>
  <si>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</si>
  <si>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</si>
  <si>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</si>
  <si>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</si>
  <si>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</si>
  <si>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</si>
  <si>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</si>
  <si>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</si>
  <si>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</si>
  <si>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</si>
  <si>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</si>
  <si>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</si>
  <si>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</si>
  <si>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</si>
  <si>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</si>
  <si>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</si>
  <si>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</si>
  <si>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</si>
  <si>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</si>
  <si>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</si>
  <si>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</si>
  <si>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</si>
  <si>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</si>
  <si>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</si>
  <si>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</si>
  <si>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</si>
  <si>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</si>
  <si>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</si>
  <si>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</si>
  <si>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</si>
  <si>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</si>
  <si>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</si>
  <si>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</si>
  <si>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</si>
  <si>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</si>
  <si>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</si>
  <si>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</si>
  <si>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</si>
  <si>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</si>
  <si>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</si>
  <si>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</si>
  <si>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</si>
  <si>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</si>
  <si>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</si>
  <si>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</si>
  <si>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</si>
  <si>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</si>
  <si>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</si>
  <si>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</si>
  <si>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</si>
  <si>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</si>
  <si>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</si>
  <si>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</si>
  <si>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</si>
  <si>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</si>
  <si>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</si>
  <si>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</si>
  <si>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</si>
  <si>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</si>
  <si>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</si>
  <si>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</si>
  <si>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</si>
  <si>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</si>
  <si>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</si>
  <si>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</si>
  <si>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</si>
  <si>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</si>
  <si>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</si>
  <si>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</si>
  <si>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</si>
  <si>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</si>
  <si>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</si>
  <si>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</si>
  <si>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</si>
  <si>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</si>
  <si>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</si>
  <si>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</si>
  <si>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</si>
  <si>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</si>
  <si>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</si>
  <si>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</si>
  <si>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</si>
  <si>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</si>
  <si>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</si>
  <si>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</si>
  <si>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</si>
  <si>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</si>
  <si>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</si>
  <si>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</si>
  <si>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</si>
  <si>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</si>
  <si>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</si>
  <si>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</si>
  <si>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</si>
  <si>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</si>
  <si>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</si>
  <si>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</si>
  <si>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</si>
  <si>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</si>
  <si>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</si>
  <si>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</si>
  <si>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</si>
  <si>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</si>
  <si>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</si>
  <si>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</si>
  <si>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</si>
  <si>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</si>
  <si>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</si>
  <si>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</si>
  <si>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</si>
  <si>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</si>
  <si>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</si>
  <si>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</si>
  <si>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</si>
  <si>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</si>
  <si>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</si>
  <si>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</si>
  <si>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</si>
  <si>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</si>
  <si>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</si>
  <si>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</si>
  <si>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</si>
  <si>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</si>
  <si>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</si>
  <si>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</si>
  <si>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</si>
  <si>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</si>
  <si>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</si>
  <si>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</si>
  <si>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</si>
  <si>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</si>
  <si>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</si>
  <si>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</si>
  <si>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</si>
  <si>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</si>
  <si>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</si>
  <si>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</si>
  <si>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</si>
  <si>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</si>
  <si>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</si>
  <si>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</si>
  <si>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</si>
  <si>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</si>
  <si>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</si>
  <si>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</si>
  <si>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</si>
  <si>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</si>
  <si>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</si>
  <si>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</si>
  <si>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</si>
  <si>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</si>
  <si>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</si>
  <si>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</si>
  <si>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</si>
  <si>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</si>
  <si>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</si>
  <si>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</si>
  <si>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</si>
  <si>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</si>
  <si>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</si>
  <si>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</si>
  <si>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</si>
  <si>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</si>
  <si>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</si>
  <si>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</si>
  <si>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</si>
  <si>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</si>
  <si>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</si>
  <si>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</si>
  <si>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</si>
  <si>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</si>
  <si>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</si>
  <si>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</si>
  <si>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</si>
  <si>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</si>
  <si>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</si>
  <si>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</si>
  <si>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</si>
  <si>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</si>
  <si>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</si>
  <si>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</si>
  <si>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</si>
  <si>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</si>
  <si>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</si>
  <si>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</si>
  <si>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</si>
  <si>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</si>
  <si>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</si>
  <si>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</si>
  <si>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</si>
  <si>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</si>
  <si>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</si>
  <si>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</si>
  <si>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</si>
  <si>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</si>
  <si>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</si>
  <si>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</si>
  <si>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</si>
  <si>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</si>
  <si>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</si>
  <si>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</si>
  <si>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</si>
  <si>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</si>
  <si>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</si>
  <si>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</si>
  <si>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</si>
  <si>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</si>
  <si>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</si>
  <si>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</si>
  <si>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</si>
  <si>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</si>
  <si>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</si>
  <si>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</si>
  <si>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</si>
  <si>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</si>
  <si>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</si>
  <si>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</si>
  <si>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</si>
  <si>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</si>
  <si>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</si>
  <si>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</si>
  <si>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</si>
  <si>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</si>
  <si>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</si>
  <si>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</si>
  <si>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</si>
  <si>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</si>
  <si>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</si>
  <si>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</si>
  <si>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</si>
  <si>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</si>
  <si>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</si>
  <si>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</si>
  <si>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</si>
  <si>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</si>
  <si>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</si>
  <si>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</si>
  <si>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</si>
  <si>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</si>
  <si>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</si>
  <si>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</si>
  <si>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</si>
  <si>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</si>
  <si>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</si>
  <si>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</si>
  <si>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</si>
  <si>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</si>
  <si>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</si>
  <si>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</si>
  <si>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</si>
  <si>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</si>
  <si>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</si>
  <si>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</si>
  <si>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</si>
  <si>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</si>
  <si>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</si>
  <si>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</si>
  <si>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</si>
  <si>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</si>
  <si>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</si>
  <si>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</si>
  <si>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</si>
  <si>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</si>
  <si>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</si>
  <si>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</si>
  <si>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</si>
  <si>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</si>
  <si>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</si>
  <si>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</si>
  <si>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</si>
  <si>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</si>
  <si>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</si>
  <si>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</si>
  <si>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</si>
  <si>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</si>
  <si>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</si>
  <si>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</si>
  <si>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</si>
  <si>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</si>
  <si>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</si>
  <si>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</si>
  <si>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</si>
  <si>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</si>
  <si>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</si>
  <si>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</si>
  <si>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</si>
  <si>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</si>
  <si>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</si>
  <si>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</si>
  <si>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</si>
  <si>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</si>
  <si>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</si>
  <si>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</si>
  <si>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</si>
  <si>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</si>
  <si>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</si>
  <si>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</si>
  <si>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</si>
  <si>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</si>
  <si>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</si>
  <si>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</si>
  <si>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</si>
  <si>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</si>
  <si>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</si>
  <si>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</si>
  <si>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</si>
  <si>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</si>
  <si>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</si>
  <si>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</si>
  <si>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</si>
  <si>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</si>
  <si>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</si>
  <si>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</si>
  <si>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</si>
  <si>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</si>
  <si>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</si>
  <si>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</si>
  <si>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</si>
  <si>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</si>
  <si>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</si>
  <si>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</si>
  <si>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</si>
  <si>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</si>
  <si>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</si>
  <si>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</si>
  <si>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</si>
  <si>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</si>
  <si>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</si>
  <si>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</si>
  <si>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</si>
  <si>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</si>
  <si>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</si>
  <si>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</si>
  <si>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</si>
  <si>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</si>
  <si>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</si>
  <si>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</si>
  <si>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</si>
  <si>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</si>
  <si>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</si>
  <si>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</si>
  <si>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</si>
  <si>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</si>
  <si>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</si>
  <si>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</si>
  <si>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</si>
  <si>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</si>
  <si>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</si>
  <si>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</si>
  <si>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</si>
  <si>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</si>
  <si>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</si>
  <si>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</si>
  <si>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</si>
  <si>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</si>
  <si>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</si>
  <si>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</si>
  <si>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</si>
  <si>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</si>
  <si>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</si>
  <si>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</si>
  <si>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</si>
  <si>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</si>
  <si>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</si>
  <si>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</si>
  <si>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</si>
  <si>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</si>
  <si>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</si>
  <si>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</si>
  <si>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</si>
  <si>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</si>
  <si>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</si>
  <si>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</si>
  <si>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</si>
  <si>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</si>
  <si>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</si>
  <si>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</si>
  <si>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</si>
  <si>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</si>
  <si>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</si>
  <si>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</si>
  <si>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</si>
  <si>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</si>
  <si>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</si>
  <si>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</si>
  <si>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</si>
  <si>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</si>
  <si>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</si>
  <si>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</si>
  <si>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</si>
  <si>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</si>
  <si>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</si>
  <si>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</si>
  <si>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</si>
  <si>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</si>
  <si>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</si>
  <si>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</si>
  <si>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</si>
  <si>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</si>
  <si>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</si>
  <si>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</si>
  <si>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</si>
  <si>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</si>
  <si>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</si>
  <si>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</si>
  <si>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</si>
  <si>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</si>
  <si>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</si>
  <si>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</si>
  <si>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</si>
  <si>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</si>
  <si>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</si>
  <si>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</si>
  <si>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</si>
  <si>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</si>
  <si>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</si>
  <si>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</si>
  <si>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</si>
  <si>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</si>
  <si>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</si>
  <si>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</si>
  <si>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</si>
  <si>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</si>
  <si>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</si>
  <si>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</si>
  <si>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</si>
  <si>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</si>
  <si>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</si>
  <si>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</si>
  <si>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</si>
  <si>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</si>
  <si>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</si>
  <si>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</si>
  <si>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</si>
  <si>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</si>
  <si>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</si>
  <si>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</si>
  <si>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</si>
  <si>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</si>
  <si>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</si>
  <si>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</si>
  <si>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</si>
  <si>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</si>
  <si>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</si>
  <si>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</si>
  <si>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</si>
  <si>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</si>
  <si>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</si>
  <si>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</si>
  <si>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</si>
  <si>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</si>
  <si>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</si>
  <si>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</si>
  <si>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</si>
  <si>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</si>
  <si>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</si>
  <si>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</si>
  <si>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</si>
  <si>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</si>
  <si>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</si>
  <si>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</si>
  <si>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</si>
  <si>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</si>
  <si>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</si>
  <si>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</si>
  <si>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</si>
  <si>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</si>
  <si>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</si>
  <si>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</si>
  <si>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</si>
  <si>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</si>
  <si>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</si>
  <si>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</si>
  <si>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</si>
  <si>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</si>
  <si>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</si>
  <si>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</si>
  <si>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</si>
  <si>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</si>
  <si>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</si>
  <si>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</si>
  <si>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</si>
  <si>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</si>
  <si>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</si>
  <si>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</si>
  <si>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</si>
  <si>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</si>
  <si>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</si>
  <si>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</si>
  <si>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</si>
  <si>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</si>
  <si>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</si>
  <si>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</si>
  <si>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</si>
  <si>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</si>
  <si>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</si>
  <si>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</si>
  <si>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</si>
  <si>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</si>
  <si>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</si>
  <si>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</si>
  <si>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</si>
  <si>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</si>
  <si>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</si>
  <si>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</si>
  <si>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</si>
  <si>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</si>
  <si>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</si>
  <si>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</si>
  <si>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</si>
  <si>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</si>
  <si>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</si>
  <si>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</si>
  <si>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</si>
  <si>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</si>
  <si>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</si>
  <si>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</si>
  <si>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</si>
  <si>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</si>
  <si>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</si>
  <si>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</si>
  <si>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</si>
  <si>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</si>
  <si>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</si>
  <si>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</si>
  <si>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</si>
  <si>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</si>
  <si>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</si>
  <si>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</si>
  <si>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</si>
  <si>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</si>
  <si>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</si>
  <si>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</si>
  <si>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</si>
  <si>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</si>
  <si>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</si>
  <si>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</si>
  <si>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</si>
  <si>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</si>
  <si>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</si>
  <si>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</si>
  <si>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</si>
  <si>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</si>
  <si>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</si>
  <si>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</si>
  <si>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</si>
  <si>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</si>
  <si>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</si>
  <si>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</si>
  <si>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</si>
  <si>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</si>
  <si>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</si>
  <si>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</si>
  <si>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</si>
  <si>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</si>
  <si>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</si>
  <si>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</si>
  <si>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</si>
  <si>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</si>
  <si>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</si>
  <si>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</si>
  <si>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</si>
  <si>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</si>
  <si>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</si>
  <si>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</si>
  <si>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</si>
  <si>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</si>
  <si>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</si>
  <si>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</si>
  <si>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</si>
  <si>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</si>
  <si>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</si>
  <si>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</si>
  <si>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</si>
  <si>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</si>
  <si>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</si>
  <si>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</si>
  <si>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</si>
  <si>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</si>
  <si>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</si>
  <si>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</si>
  <si>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</si>
  <si>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</si>
  <si>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</si>
  <si>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</si>
  <si>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</si>
  <si>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</si>
  <si>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</si>
  <si>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</si>
  <si>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</si>
  <si>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</si>
  <si>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</si>
  <si>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</si>
  <si>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</si>
  <si>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</si>
  <si>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</si>
  <si>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</si>
  <si>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</si>
  <si>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</si>
  <si>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</si>
  <si>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</si>
  <si>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</si>
  <si>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</si>
  <si>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</si>
  <si>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</si>
  <si>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</si>
  <si>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</si>
  <si>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</si>
  <si>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</si>
  <si>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</si>
  <si>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</si>
  <si>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</si>
  <si>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</si>
  <si>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</si>
  <si>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</si>
  <si>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</si>
  <si>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</si>
  <si>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</si>
  <si>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</si>
  <si>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</si>
  <si>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</si>
  <si>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</si>
  <si>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</si>
  <si>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</si>
  <si>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</si>
  <si>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</si>
  <si>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</si>
  <si>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</si>
  <si>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</si>
  <si>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</si>
  <si>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</si>
  <si>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</si>
  <si>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</si>
  <si>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</si>
  <si>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</si>
  <si>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</si>
  <si>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</si>
  <si>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</si>
  <si>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</si>
  <si>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</si>
  <si>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</si>
  <si>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</si>
  <si>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</si>
  <si>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</si>
  <si>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</si>
  <si>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</si>
  <si>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</si>
  <si>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</si>
  <si>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</si>
  <si>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</si>
  <si>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</si>
  <si>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</si>
  <si>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</si>
  <si>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</si>
  <si>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</si>
  <si>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</si>
  <si>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</si>
  <si>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</si>
  <si>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</si>
  <si>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</si>
  <si>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</si>
  <si>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</si>
  <si>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</si>
  <si>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</si>
  <si>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</si>
  <si>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</si>
  <si>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</si>
  <si>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</si>
  <si>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</si>
  <si>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</si>
  <si>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</si>
  <si>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</si>
  <si>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</si>
  <si>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</si>
  <si>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</si>
  <si>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</si>
  <si>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</si>
  <si>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</si>
  <si>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</si>
  <si>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</si>
  <si>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</si>
  <si>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</si>
  <si>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</si>
  <si>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</si>
  <si>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</si>
  <si>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</si>
  <si>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</si>
  <si>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</si>
  <si>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</si>
  <si>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</si>
  <si>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</si>
  <si>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</si>
  <si>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</si>
  <si>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</si>
  <si>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</si>
  <si>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</si>
  <si>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</si>
  <si>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</si>
  <si>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</si>
  <si>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</si>
  <si>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</si>
  <si>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</si>
  <si>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</si>
  <si>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</si>
  <si>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</si>
  <si>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</si>
  <si>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</si>
  <si>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</si>
  <si>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</si>
  <si>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</si>
  <si>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</si>
  <si>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</si>
  <si>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</si>
  <si>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</si>
  <si>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</si>
  <si>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</si>
  <si>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</si>
  <si>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</si>
  <si>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</si>
  <si>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</si>
  <si>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</si>
  <si>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</si>
  <si>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</si>
  <si>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</si>
  <si>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</si>
  <si>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</si>
  <si>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</si>
  <si>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</si>
  <si>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</si>
  <si>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</si>
  <si>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</si>
  <si>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</si>
  <si>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</si>
  <si>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</si>
  <si>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</si>
  <si>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</si>
  <si>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</si>
  <si>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</si>
  <si>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</si>
  <si>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</si>
  <si>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</si>
  <si>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</si>
  <si>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</si>
  <si>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</si>
  <si>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</si>
  <si>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</si>
  <si>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</si>
  <si>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</si>
  <si>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</si>
  <si>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</si>
  <si>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</si>
  <si>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</si>
  <si>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</si>
  <si>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</si>
  <si>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</si>
  <si>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</si>
  <si>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</si>
  <si>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</si>
  <si>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</si>
  <si>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</si>
  <si>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</si>
  <si>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</si>
  <si>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</si>
  <si>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</si>
  <si>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</si>
  <si>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</si>
  <si>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</si>
  <si>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</si>
  <si>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</si>
  <si>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</si>
  <si>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</si>
  <si>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</si>
  <si>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</si>
  <si>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</si>
  <si>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</si>
  <si>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</si>
  <si>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</si>
  <si>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</si>
  <si>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</si>
  <si>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</si>
  <si>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</si>
  <si>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</si>
  <si>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</si>
  <si>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</si>
  <si>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</si>
  <si>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</si>
  <si>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</si>
  <si>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</si>
  <si>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</si>
  <si>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</si>
  <si>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</si>
  <si>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</si>
  <si>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</si>
  <si>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</si>
  <si>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</si>
  <si>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</si>
  <si>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</si>
  <si>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</si>
  <si>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</si>
  <si>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</si>
  <si>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</si>
  <si>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</si>
  <si>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</si>
  <si>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</si>
  <si>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</si>
  <si>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</si>
  <si>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</si>
  <si>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</si>
  <si>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</si>
  <si>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</si>
  <si>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</si>
  <si>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</si>
  <si>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</si>
  <si>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</si>
  <si>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</si>
  <si>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</si>
  <si>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</si>
  <si>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</si>
  <si>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</si>
  <si>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</si>
  <si>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</si>
  <si>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</si>
  <si>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</si>
  <si>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</si>
  <si>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</si>
  <si>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</si>
  <si>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</si>
  <si>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</si>
  <si>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</si>
  <si>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</si>
  <si>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</si>
  <si>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</si>
  <si>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</si>
  <si>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</si>
  <si>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</si>
  <si>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</si>
  <si>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</si>
  <si>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</si>
  <si>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</si>
  <si>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</si>
  <si>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</si>
  <si>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</si>
  <si>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</si>
  <si>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</si>
  <si>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</si>
  <si>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</si>
  <si>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</si>
  <si>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</si>
  <si>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</si>
  <si>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</si>
  <si>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</si>
  <si>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</si>
  <si>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</si>
  <si>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</si>
  <si>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</si>
  <si>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</si>
  <si>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</si>
  <si>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</si>
  <si>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</si>
  <si>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</si>
  <si>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</si>
  <si>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</si>
  <si>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</si>
  <si>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</si>
  <si>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</si>
  <si>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</si>
  <si>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</si>
  <si>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</si>
  <si>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</si>
  <si>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</si>
  <si>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</si>
  <si>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</si>
  <si>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</si>
  <si>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</si>
  <si>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</si>
  <si>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</si>
  <si>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</si>
  <si>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</si>
  <si>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</si>
  <si>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</si>
  <si>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</si>
  <si>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</si>
  <si>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</si>
  <si>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</si>
  <si>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</si>
  <si>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</si>
  <si>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</si>
  <si>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</si>
  <si>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</si>
  <si>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</si>
  <si>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</si>
  <si>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</si>
  <si>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</si>
  <si>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</si>
  <si>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</si>
  <si>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</si>
  <si>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</si>
  <si>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</si>
  <si>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</si>
  <si>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</si>
  <si>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</si>
  <si>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</si>
  <si>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</si>
  <si>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</si>
  <si>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</si>
  <si>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</si>
  <si>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</si>
  <si>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</si>
  <si>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</si>
  <si>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</si>
  <si>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</si>
  <si>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</si>
  <si>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</si>
  <si>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</si>
  <si>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</si>
  <si>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</si>
  <si>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</si>
  <si>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</si>
  <si>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</si>
  <si>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</si>
  <si>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</si>
  <si>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</si>
  <si>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</si>
  <si>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</si>
  <si>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</si>
  <si>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</si>
  <si>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</si>
  <si>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</si>
  <si>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</si>
  <si>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</si>
  <si>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</si>
  <si>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</si>
  <si>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</si>
  <si>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</si>
  <si>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</si>
  <si>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</si>
  <si>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</si>
  <si>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</si>
  <si>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</si>
  <si>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</si>
  <si>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</si>
  <si>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</si>
  <si>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</si>
  <si>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</si>
  <si>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</si>
  <si>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</si>
  <si>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</si>
  <si>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</si>
  <si>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</si>
  <si>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</si>
  <si>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</si>
  <si>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</si>
  <si>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</si>
  <si>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</si>
  <si>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</si>
  <si>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</si>
  <si>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</si>
  <si>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</si>
  <si>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</si>
  <si>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</si>
  <si>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</si>
  <si>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</si>
  <si>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</si>
  <si>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</si>
  <si>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</si>
  <si>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</si>
  <si>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</si>
  <si>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</si>
  <si>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</si>
  <si>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</si>
  <si>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</si>
  <si>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</si>
  <si>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</si>
  <si>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</si>
  <si>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</si>
  <si>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</si>
  <si>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</si>
  <si>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</si>
  <si>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</si>
  <si>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</si>
  <si>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</si>
  <si>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</si>
  <si>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</si>
  <si>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</si>
  <si>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</si>
  <si>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</si>
  <si>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</si>
  <si>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</si>
  <si>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</si>
  <si>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</si>
  <si>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</si>
  <si>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</si>
  <si>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</si>
  <si>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</si>
  <si>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</si>
  <si>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</si>
  <si>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</si>
  <si>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</si>
  <si>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</si>
  <si>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</si>
  <si>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</si>
  <si>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</si>
  <si>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</si>
  <si>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</si>
  <si>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</si>
  <si>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</si>
  <si>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</si>
  <si>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</si>
  <si>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</si>
  <si>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</si>
  <si>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</si>
  <si>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</si>
  <si>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</si>
  <si>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</si>
  <si>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</si>
  <si>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</si>
  <si>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</si>
  <si>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</si>
  <si>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</si>
  <si>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</si>
  <si>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</si>
  <si>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</si>
  <si>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</si>
  <si>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</si>
  <si>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</si>
  <si>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</si>
  <si>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</si>
  <si>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</si>
  <si>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</si>
  <si>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</si>
  <si>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</si>
  <si>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</si>
  <si>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</si>
  <si>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</si>
  <si>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</si>
  <si>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</si>
  <si>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</si>
  <si>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</si>
  <si>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</si>
  <si>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</si>
  <si>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</si>
  <si>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</si>
  <si>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</si>
  <si>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</si>
  <si>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</si>
  <si>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</si>
  <si>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</si>
  <si>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</si>
  <si>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</si>
  <si>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</si>
  <si>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</si>
  <si>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</si>
  <si>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</si>
  <si>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</si>
  <si>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</si>
  <si>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</si>
  <si>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</si>
  <si>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</si>
  <si>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</si>
  <si>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</si>
  <si>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</si>
  <si>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</si>
  <si>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</si>
  <si>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</si>
  <si>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</si>
  <si>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</si>
  <si>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</si>
  <si>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</si>
  <si>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</si>
  <si>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</si>
  <si>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</si>
  <si>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</si>
  <si>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</si>
  <si>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</si>
  <si>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</si>
  <si>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</si>
  <si>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</si>
  <si>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</si>
  <si>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</si>
  <si>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</si>
  <si>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</si>
  <si>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</si>
  <si>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</si>
  <si>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</si>
  <si>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</si>
  <si>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</si>
  <si>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</si>
  <si>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</si>
  <si>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</si>
  <si>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</si>
  <si>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</si>
  <si>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</si>
  <si>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</si>
  <si>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</si>
  <si>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</si>
  <si>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</si>
  <si>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</si>
  <si>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</si>
  <si>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</si>
  <si>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</si>
  <si>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</si>
  <si>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</si>
  <si>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</si>
  <si>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</si>
  <si>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</si>
  <si>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</si>
  <si>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</si>
  <si>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</si>
  <si>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</si>
  <si>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</si>
  <si>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</si>
  <si>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</si>
  <si>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</si>
  <si>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</si>
  <si>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</si>
  <si>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</si>
  <si>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</si>
  <si>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</si>
  <si>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</si>
  <si>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</si>
  <si>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</si>
  <si>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</si>
  <si>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</si>
  <si>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</si>
  <si>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</si>
  <si>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</si>
  <si>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</si>
  <si>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</si>
  <si>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</si>
  <si>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</si>
  <si>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</si>
  <si>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</si>
  <si>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</si>
  <si>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</si>
  <si>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</si>
  <si>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</si>
  <si>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</si>
  <si>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</si>
  <si>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</si>
  <si>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</si>
  <si>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</si>
  <si>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</si>
  <si>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</si>
  <si>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</si>
  <si>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</si>
  <si>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</si>
  <si>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</si>
  <si>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</si>
  <si>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</si>
  <si>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</si>
  <si>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</si>
  <si>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</si>
  <si>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</si>
  <si>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</si>
  <si>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</si>
  <si>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</si>
  <si>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</si>
  <si>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</si>
  <si>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</si>
  <si>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</si>
  <si>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</si>
  <si>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</si>
  <si>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</si>
  <si>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</si>
  <si>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</si>
  <si>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</si>
  <si>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</si>
  <si>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</si>
  <si>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</si>
  <si>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</si>
  <si>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</si>
  <si>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</si>
  <si>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</si>
  <si>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</si>
  <si>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</si>
  <si>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</si>
  <si>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</si>
  <si>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</si>
  <si>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</si>
  <si>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</si>
  <si>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</si>
  <si>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</si>
  <si>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</si>
  <si>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</si>
  <si>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</si>
  <si>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</si>
  <si>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</si>
  <si>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</si>
  <si>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</si>
  <si>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</si>
  <si>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</si>
  <si>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</si>
  <si>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</si>
  <si>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</si>
  <si>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</si>
  <si>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</si>
  <si>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</si>
  <si>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</si>
  <si>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</si>
  <si>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</si>
  <si>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</si>
  <si>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</si>
  <si>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</si>
  <si>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</si>
  <si>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</si>
  <si>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</si>
  <si>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</si>
  <si>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</si>
  <si>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</si>
  <si>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</si>
  <si>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</si>
  <si>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</si>
  <si>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</si>
  <si>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</si>
  <si>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</si>
  <si>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</si>
  <si>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</si>
  <si>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</si>
  <si>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</si>
  <si>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</si>
  <si>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</si>
  <si>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</si>
  <si>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</si>
  <si>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</si>
  <si>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</si>
  <si>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</si>
  <si>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</si>
  <si>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</si>
  <si>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</si>
  <si>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</si>
  <si>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</si>
  <si>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</si>
  <si>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</si>
  <si>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</si>
  <si>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</si>
  <si>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</si>
  <si>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</si>
  <si>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</si>
  <si>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</si>
  <si>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</si>
  <si>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</si>
  <si>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</si>
  <si>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</si>
  <si>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</si>
  <si>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</si>
  <si>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</si>
  <si>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</si>
  <si>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</si>
  <si>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</si>
  <si>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</si>
  <si>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</si>
  <si>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</si>
  <si>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</si>
  <si>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</si>
  <si>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</si>
  <si>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</si>
  <si>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</si>
  <si>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</si>
  <si>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</si>
  <si>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</si>
  <si>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</si>
  <si>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</si>
  <si>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</si>
  <si>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</si>
  <si>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</si>
  <si>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</si>
  <si>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</si>
  <si>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</si>
  <si>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</si>
  <si>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</si>
  <si>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</si>
  <si>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</si>
  <si>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</si>
  <si>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</si>
  <si>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</si>
  <si>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</si>
  <si>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</si>
  <si>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</si>
  <si>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</si>
  <si>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</si>
  <si>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</si>
  <si>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</si>
  <si>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</si>
  <si>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</si>
  <si>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</si>
  <si>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</si>
  <si>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</si>
  <si>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</si>
  <si>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</si>
  <si>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</si>
  <si>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</si>
  <si>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</si>
  <si>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</si>
  <si>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</si>
  <si>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</si>
  <si>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</si>
  <si>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</si>
  <si>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</si>
  <si>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</si>
  <si>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</si>
  <si>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</si>
  <si>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</si>
  <si>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</si>
  <si>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</si>
  <si>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</si>
  <si>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</si>
  <si>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</si>
  <si>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</si>
  <si>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</si>
  <si>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</si>
  <si>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</si>
  <si>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</si>
  <si>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</si>
  <si>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</si>
  <si>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</si>
  <si>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</si>
  <si>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</si>
  <si>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</si>
  <si>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</si>
  <si>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</si>
  <si>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</si>
  <si>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</si>
  <si>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</si>
  <si>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</si>
  <si>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</si>
  <si>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</si>
  <si>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</si>
  <si>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</si>
  <si>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</si>
  <si>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</si>
  <si>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</si>
  <si>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</si>
  <si>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</si>
  <si>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</si>
  <si>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</si>
  <si>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</si>
  <si>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</si>
  <si>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</si>
  <si>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</si>
  <si>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</si>
  <si>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</si>
  <si>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</si>
  <si>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</si>
  <si>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</si>
  <si>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</si>
  <si>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</si>
  <si>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</si>
  <si>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</si>
  <si>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</si>
  <si>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</si>
  <si>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</si>
  <si>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</si>
  <si>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</si>
  <si>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</si>
  <si>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</si>
  <si>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</si>
  <si>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</si>
  <si>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</si>
  <si>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</si>
  <si>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</si>
  <si>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</si>
  <si>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</si>
  <si>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</si>
  <si>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</si>
  <si>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</si>
  <si>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</si>
  <si>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</si>
  <si>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</si>
  <si>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</si>
  <si>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</si>
  <si>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</si>
  <si>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</si>
  <si>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</si>
  <si>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</si>
  <si>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</si>
  <si>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</si>
  <si>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</si>
  <si>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</si>
  <si>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</si>
  <si>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</si>
  <si>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</si>
  <si>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</si>
  <si>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</si>
  <si>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</si>
  <si>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</si>
  <si>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</si>
  <si>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</si>
  <si>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</si>
  <si>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</si>
  <si>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</si>
  <si>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</si>
  <si>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</si>
  <si>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</si>
  <si>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</si>
  <si>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</si>
  <si>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</si>
  <si>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</si>
  <si>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</si>
  <si>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</si>
  <si>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</si>
  <si>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</si>
  <si>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</si>
  <si>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</si>
  <si>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</si>
  <si>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</si>
  <si>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</si>
  <si>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</si>
  <si>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</si>
  <si>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</si>
  <si>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</si>
  <si>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</si>
  <si>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</si>
  <si>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</si>
  <si>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</si>
  <si>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</si>
  <si>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</si>
  <si>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</si>
  <si>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</si>
  <si>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</si>
  <si>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</si>
  <si>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</si>
  <si>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</si>
  <si>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</si>
  <si>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</si>
  <si>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</si>
  <si>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</si>
  <si>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</si>
  <si>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</si>
  <si>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</si>
  <si>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</si>
  <si>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</si>
  <si>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</si>
  <si>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</si>
  <si>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</si>
  <si>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</si>
  <si>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</si>
  <si>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</si>
  <si>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</si>
  <si>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</si>
  <si>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</si>
  <si>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</si>
  <si>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</si>
  <si>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</si>
  <si>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</si>
  <si>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</si>
  <si>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</si>
  <si>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</si>
  <si>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</si>
  <si>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</si>
  <si>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</si>
  <si>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</si>
  <si>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</si>
  <si>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</si>
  <si>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</si>
  <si>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</si>
  <si>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</si>
  <si>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</si>
  <si>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</si>
  <si>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</si>
  <si>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</si>
  <si>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</si>
  <si>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</si>
  <si>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</si>
  <si>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</si>
  <si>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</si>
  <si>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</si>
  <si>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</si>
  <si>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</si>
  <si>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</si>
  <si>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</si>
  <si>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</si>
  <si>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</si>
  <si>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</si>
  <si>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</si>
  <si>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</si>
  <si>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</si>
  <si>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</si>
  <si>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</si>
  <si>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</si>
  <si>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</si>
  <si>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</si>
  <si>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</si>
  <si>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</si>
  <si>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</si>
  <si>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</si>
  <si>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</si>
  <si>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</si>
  <si>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</si>
  <si>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</si>
  <si>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</si>
  <si>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</si>
  <si>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</si>
  <si>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</si>
  <si>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</si>
  <si>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</si>
  <si>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</si>
  <si>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</si>
  <si>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</si>
  <si>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</si>
  <si>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</si>
  <si>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</si>
  <si>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</si>
  <si>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</si>
  <si>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</si>
  <si>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</si>
  <si>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</si>
  <si>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</si>
  <si>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</si>
  <si>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</si>
  <si>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</si>
  <si>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</si>
  <si>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</si>
  <si>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</si>
  <si>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</si>
  <si>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</si>
  <si>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</si>
  <si>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</si>
  <si>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</si>
  <si>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</si>
  <si>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</si>
  <si>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</si>
  <si>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</si>
  <si>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</si>
  <si>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</si>
  <si>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</si>
  <si>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</si>
  <si>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</si>
  <si>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</si>
  <si>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</si>
  <si>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</si>
  <si>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</si>
  <si>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</si>
  <si>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</si>
  <si>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</si>
  <si>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</si>
  <si>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</si>
  <si>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</si>
  <si>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</si>
  <si>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</si>
  <si>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</si>
  <si>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</si>
  <si>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</si>
  <si>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</si>
  <si>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</si>
  <si>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</si>
  <si>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</si>
  <si>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</si>
  <si>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</si>
  <si>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</si>
  <si>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</si>
  <si>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</si>
  <si>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</si>
  <si>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</si>
  <si>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</si>
  <si>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</si>
  <si>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</si>
  <si>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</si>
  <si>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</si>
  <si>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</si>
  <si>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</si>
  <si>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</si>
  <si>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</si>
  <si>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</si>
  <si>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</si>
  <si>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</si>
  <si>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</si>
  <si>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</si>
  <si>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</si>
  <si>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</si>
  <si>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</si>
  <si>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</si>
  <si>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</si>
  <si>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</si>
  <si>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</si>
  <si>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</si>
  <si>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</si>
  <si>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</si>
  <si>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</si>
  <si>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</si>
  <si>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</si>
  <si>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</si>
  <si>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</si>
  <si>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</si>
  <si>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</si>
  <si>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</si>
  <si>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</si>
  <si>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</si>
  <si>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</si>
  <si>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</si>
  <si>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</si>
  <si>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</si>
  <si>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</si>
  <si>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</si>
  <si>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</si>
  <si>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</si>
  <si>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</si>
  <si>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</si>
  <si>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</si>
  <si>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</si>
  <si>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</si>
  <si>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</si>
  <si>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</si>
  <si>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</si>
  <si>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</si>
  <si>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</si>
  <si>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</si>
  <si>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</si>
  <si>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</si>
  <si>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</si>
  <si>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</si>
  <si>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</si>
  <si>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</si>
  <si>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</si>
  <si>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</si>
  <si>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</si>
  <si>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</si>
  <si>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</si>
  <si>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</si>
  <si>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</si>
  <si>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</si>
  <si>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</si>
  <si>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</si>
  <si>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</si>
  <si>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</si>
  <si>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</si>
  <si>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</si>
  <si>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</si>
  <si>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</si>
  <si>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</si>
  <si>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</si>
  <si>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</si>
  <si>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</si>
  <si>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</si>
  <si>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</si>
  <si>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</si>
  <si>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</si>
  <si>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</si>
  <si>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</si>
  <si>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</si>
  <si>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</si>
  <si>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</si>
  <si>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</si>
  <si>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</si>
  <si>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</si>
  <si>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</si>
  <si>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</si>
  <si>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</si>
  <si>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</si>
  <si>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</si>
  <si>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</si>
  <si>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</si>
  <si>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</si>
  <si>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</si>
  <si>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</si>
  <si>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</si>
  <si>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</si>
  <si>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</si>
  <si>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</si>
  <si>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</si>
  <si>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</si>
  <si>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</si>
  <si>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</si>
  <si>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</si>
  <si>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</si>
  <si>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</si>
  <si>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</si>
  <si>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</si>
  <si>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</si>
  <si>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</si>
  <si>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</si>
  <si>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</si>
  <si>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</si>
  <si>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</si>
  <si>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</si>
  <si>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</si>
  <si>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</si>
  <si>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</si>
  <si>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</si>
  <si>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</si>
  <si>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</si>
  <si>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</si>
  <si>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</si>
  <si>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</si>
  <si>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</si>
  <si>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</si>
  <si>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</si>
  <si>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</si>
  <si>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</si>
  <si>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</si>
  <si>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</si>
  <si>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</si>
  <si>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</si>
  <si>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</si>
  <si>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</si>
  <si>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</si>
  <si>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</si>
  <si>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</si>
  <si>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</si>
  <si>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</si>
  <si>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</si>
  <si>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</si>
  <si>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</si>
  <si>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</si>
  <si>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</si>
  <si>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</si>
  <si>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</si>
  <si>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</si>
  <si>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</si>
  <si>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</si>
  <si>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</si>
  <si>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</si>
  <si>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</si>
  <si>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</si>
  <si>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</si>
  <si>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</si>
  <si>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</si>
  <si>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</si>
  <si>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</si>
  <si>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</si>
  <si>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</si>
  <si>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</si>
  <si>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</si>
  <si>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</si>
  <si>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</si>
  <si>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</si>
  <si>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</si>
  <si>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</si>
  <si>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</si>
  <si>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</si>
  <si>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</si>
  <si>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</si>
  <si>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</si>
  <si>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</si>
  <si>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</si>
  <si>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</si>
  <si>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</si>
  <si>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</si>
  <si>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</si>
  <si>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</si>
  <si>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</si>
  <si>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</si>
  <si>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</si>
  <si>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</si>
  <si>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</si>
  <si>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</si>
  <si>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</si>
  <si>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</si>
  <si>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</si>
  <si>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</si>
  <si>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</si>
  <si>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</si>
  <si>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</si>
  <si>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</si>
  <si>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</si>
  <si>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</si>
  <si>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</si>
  <si>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</si>
  <si>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</si>
  <si>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</si>
  <si>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</si>
  <si>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</si>
  <si>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</si>
  <si>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</si>
  <si>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</si>
  <si>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</si>
  <si>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</si>
  <si>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</si>
  <si>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</si>
  <si>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</si>
  <si>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</si>
  <si>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</si>
  <si>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</si>
  <si>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</si>
  <si>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</si>
  <si>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</si>
  <si>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</si>
  <si>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</si>
  <si>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</si>
  <si>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</si>
  <si>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</si>
  <si>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</si>
  <si>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</si>
  <si>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</si>
  <si>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</si>
  <si>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</si>
  <si>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</si>
  <si>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</si>
  <si>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</si>
  <si>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</si>
  <si>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</si>
  <si>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</si>
  <si>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</si>
  <si>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</si>
  <si>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</si>
  <si>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</si>
  <si>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</si>
  <si>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</si>
  <si>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</si>
  <si>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</si>
  <si>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</si>
  <si>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</si>
  <si>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</si>
  <si>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</si>
  <si>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</si>
  <si>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</si>
  <si>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</si>
  <si>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</si>
  <si>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</si>
  <si>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</si>
  <si>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</si>
  <si>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</si>
  <si>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</si>
  <si>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</si>
  <si>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</si>
  <si>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</si>
  <si>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</si>
  <si>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</si>
  <si>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</si>
  <si>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</si>
  <si>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</si>
  <si>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</si>
  <si>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</si>
  <si>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</si>
  <si>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</si>
  <si>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</si>
  <si>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</si>
  <si>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</si>
  <si>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</si>
  <si>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</si>
  <si>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</si>
  <si>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</si>
  <si>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</si>
  <si>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</si>
  <si>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</si>
  <si>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</si>
  <si>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</si>
  <si>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</si>
  <si>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</si>
  <si>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</si>
  <si>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</si>
  <si>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</si>
  <si>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</si>
  <si>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</si>
  <si>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</si>
  <si>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</si>
  <si>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</si>
  <si>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</si>
  <si>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</si>
  <si>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</si>
  <si>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</si>
  <si>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</si>
  <si>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</si>
  <si>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</si>
  <si>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</si>
  <si>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</si>
  <si>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</si>
  <si>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</si>
  <si>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</si>
  <si>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</si>
  <si>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</si>
  <si>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</si>
  <si>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</si>
  <si>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</si>
  <si>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</si>
  <si>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</si>
  <si>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</si>
  <si>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</si>
  <si>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</si>
  <si>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</si>
  <si>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</si>
  <si>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</si>
  <si>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</si>
  <si>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</si>
  <si>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</si>
  <si>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</si>
  <si>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</si>
  <si>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</si>
  <si>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</si>
  <si>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</si>
  <si>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</si>
  <si>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</si>
  <si>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</si>
  <si>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</si>
  <si>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</si>
  <si>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</si>
  <si>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</si>
  <si>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</si>
  <si>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</si>
  <si>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</si>
  <si>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</si>
  <si>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</si>
  <si>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</si>
  <si>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</si>
  <si>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</si>
  <si>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</si>
  <si>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</si>
  <si>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</si>
  <si>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</si>
  <si>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</si>
  <si>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</si>
  <si>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</si>
  <si>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</si>
  <si>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</si>
  <si>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</si>
  <si>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</si>
  <si>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</si>
  <si>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</si>
  <si>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</si>
  <si>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</si>
  <si>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</si>
  <si>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</si>
  <si>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</si>
  <si>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</si>
  <si>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</si>
  <si>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</si>
  <si>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</si>
  <si>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</si>
  <si>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</si>
  <si>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</si>
  <si>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</si>
  <si>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</si>
  <si>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</si>
  <si>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</si>
  <si>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</si>
  <si>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</si>
  <si>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</si>
  <si>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</si>
  <si>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</si>
  <si>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</si>
  <si>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</si>
  <si>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</si>
  <si>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</si>
  <si>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</si>
  <si>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</si>
  <si>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</si>
  <si>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</si>
  <si>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</si>
  <si>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</si>
  <si>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</si>
  <si>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</si>
  <si>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</si>
  <si>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</si>
  <si>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</si>
  <si>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</si>
  <si>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</si>
  <si>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</si>
  <si>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</si>
  <si>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</si>
  <si>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</si>
  <si>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</si>
  <si>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</si>
  <si>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</si>
  <si>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</si>
  <si>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</si>
  <si>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</si>
  <si>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</si>
  <si>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</si>
  <si>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</si>
  <si>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</si>
  <si>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</si>
  <si>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</si>
  <si>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</si>
  <si>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</si>
  <si>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</si>
  <si>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</si>
  <si>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</si>
  <si>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</si>
  <si>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</si>
  <si>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</si>
  <si>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</si>
  <si>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</si>
  <si>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</si>
  <si>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</si>
  <si>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</si>
  <si>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</si>
  <si>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</si>
  <si>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</si>
  <si>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</si>
  <si>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</si>
  <si>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</si>
  <si>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</si>
  <si>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</si>
  <si>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</si>
  <si>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</si>
  <si>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</si>
  <si>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</si>
  <si>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</si>
  <si>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</si>
  <si>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</si>
  <si>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</si>
  <si>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</si>
  <si>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</si>
  <si>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</si>
  <si>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</si>
  <si>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</si>
  <si>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</si>
  <si>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</si>
  <si>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</si>
  <si>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</si>
  <si>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</si>
  <si>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</si>
  <si>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</si>
  <si>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</si>
  <si>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</si>
  <si>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</si>
  <si>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</si>
  <si>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</si>
  <si>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</si>
  <si>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</si>
  <si>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</si>
  <si>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</si>
  <si>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</si>
  <si>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</si>
  <si>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</si>
  <si>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</si>
  <si>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</si>
  <si>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</si>
  <si>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</si>
  <si>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</si>
  <si>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</si>
  <si>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</si>
  <si>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</si>
  <si>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</si>
  <si>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</si>
  <si>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</si>
  <si>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</si>
  <si>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</si>
  <si>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</si>
  <si>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</si>
  <si>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</si>
  <si>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</si>
  <si>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</si>
  <si>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</si>
  <si>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</si>
  <si>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</si>
  <si>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</si>
  <si>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</si>
  <si>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</si>
  <si>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</si>
  <si>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</si>
  <si>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</si>
  <si>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</si>
  <si>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</si>
  <si>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</si>
  <si>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</si>
  <si>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</si>
  <si>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</si>
  <si>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</si>
  <si>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</si>
  <si>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</si>
  <si>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</si>
  <si>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</si>
  <si>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</si>
  <si>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</si>
  <si>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</si>
  <si>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</si>
  <si>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</si>
  <si>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</si>
  <si>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</si>
  <si>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</si>
  <si>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</si>
  <si>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</si>
  <si>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</si>
  <si>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</si>
  <si>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</si>
  <si>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</si>
  <si>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</si>
  <si>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</si>
  <si>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</si>
  <si>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</si>
  <si>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</si>
  <si>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</si>
  <si>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</si>
  <si>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</si>
  <si>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</si>
  <si>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</si>
  <si>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</si>
  <si>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</si>
  <si>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</si>
  <si>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</si>
  <si>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</si>
  <si>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</si>
  <si>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</si>
  <si>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</si>
  <si>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</si>
  <si>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</si>
  <si>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</si>
  <si>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</si>
  <si>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</si>
  <si>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</si>
  <si>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</si>
  <si>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</si>
  <si>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</si>
  <si>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</si>
  <si>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</si>
  <si>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</si>
  <si>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</si>
  <si>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</si>
  <si>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</si>
  <si>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</si>
  <si>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</si>
  <si>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</si>
  <si>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</si>
  <si>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</si>
  <si>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</si>
  <si>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</si>
  <si>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</si>
  <si>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</si>
  <si>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</si>
  <si>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</si>
  <si>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</si>
  <si>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</si>
  <si>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</si>
  <si>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</si>
  <si>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</si>
  <si>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</si>
  <si>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</si>
  <si>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</si>
  <si>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</si>
  <si>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</si>
  <si>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</si>
  <si>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</si>
  <si>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</si>
  <si>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</si>
  <si>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</si>
  <si>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</si>
  <si>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</si>
  <si>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</si>
  <si>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</si>
  <si>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</si>
  <si>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</si>
  <si>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</si>
  <si>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</si>
  <si>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</si>
  <si>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</si>
  <si>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</si>
  <si>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</si>
  <si>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</si>
  <si>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</si>
  <si>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</si>
  <si>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</si>
  <si>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</si>
  <si>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</si>
  <si>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</si>
  <si>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</si>
  <si>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</si>
  <si>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</si>
  <si>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</si>
  <si>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</si>
  <si>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</si>
  <si>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</si>
  <si>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</si>
  <si>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</si>
  <si>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</si>
  <si>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</si>
  <si>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</si>
  <si>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</si>
  <si>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</si>
  <si>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</si>
  <si>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</si>
  <si>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</si>
  <si>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</si>
  <si>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</si>
  <si>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</si>
  <si>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</si>
  <si>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</si>
  <si>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</si>
  <si>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</si>
  <si>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</si>
  <si>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</si>
  <si>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</si>
  <si>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</si>
  <si>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</si>
  <si>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</si>
  <si>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</si>
  <si>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</si>
  <si>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</si>
  <si>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</si>
  <si>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</si>
  <si>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</si>
  <si>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</si>
  <si>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</si>
  <si>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</si>
  <si>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</si>
  <si>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</si>
  <si>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</si>
  <si>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</si>
  <si>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</si>
  <si>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</si>
  <si>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</si>
  <si>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</si>
  <si>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</si>
  <si>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</si>
  <si>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</si>
  <si>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</si>
  <si>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</si>
  <si>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</si>
  <si>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</si>
  <si>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</si>
  <si>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</si>
  <si>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</si>
  <si>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</si>
  <si>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</si>
  <si>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</si>
  <si>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</si>
  <si>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</si>
  <si>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</si>
  <si>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</si>
  <si>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</si>
  <si>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</si>
  <si>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</si>
  <si>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</si>
  <si>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</si>
  <si>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</si>
  <si>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</si>
  <si>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</si>
  <si>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</si>
  <si>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</si>
  <si>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</si>
  <si>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</si>
  <si>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</si>
  <si>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</si>
  <si>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</si>
  <si>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</si>
  <si>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</si>
  <si>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</si>
  <si>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</si>
  <si>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</si>
  <si>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</si>
  <si>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</si>
  <si>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</si>
  <si>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</si>
  <si>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</si>
  <si>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</si>
  <si>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</si>
  <si>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</si>
  <si>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</si>
  <si>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</si>
  <si>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</si>
  <si>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</si>
  <si>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</si>
  <si>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</si>
  <si>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</si>
  <si>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</si>
  <si>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</si>
  <si>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</si>
  <si>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</si>
  <si>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</si>
  <si>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</si>
  <si>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</si>
  <si>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</si>
  <si>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</si>
  <si>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</si>
  <si>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</si>
  <si>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</si>
  <si>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</si>
  <si>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</si>
  <si>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</si>
  <si>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</si>
  <si>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</si>
  <si>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</si>
  <si>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</si>
  <si>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</si>
  <si>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</si>
  <si>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</si>
  <si>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</si>
  <si>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</si>
  <si>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</si>
  <si>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</si>
  <si>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</si>
  <si>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</si>
  <si>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</si>
  <si>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</si>
  <si>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</si>
  <si>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</si>
  <si>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</si>
  <si>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</si>
  <si>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</si>
  <si>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</si>
  <si>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</si>
  <si>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</si>
  <si>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</si>
  <si>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</si>
  <si>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</si>
  <si>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</si>
  <si>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</si>
  <si>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</si>
  <si>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</si>
  <si>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</si>
  <si>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</si>
  <si>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</si>
  <si>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</si>
  <si>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</si>
  <si>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</si>
  <si>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</si>
  <si>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</si>
  <si>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</si>
  <si>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</si>
  <si>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</si>
  <si>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</si>
  <si>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</si>
  <si>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</si>
  <si>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</si>
  <si>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</si>
  <si>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</si>
  <si>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</si>
  <si>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</si>
  <si>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</si>
  <si>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</si>
  <si>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</si>
  <si>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</si>
  <si>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</si>
  <si>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</si>
  <si>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</si>
  <si>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</si>
  <si>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</si>
  <si>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</si>
  <si>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</si>
  <si>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</si>
  <si>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</si>
  <si>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</si>
  <si>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</si>
  <si>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</si>
  <si>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</si>
  <si>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</si>
  <si>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</si>
  <si>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</si>
  <si>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</si>
  <si>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</si>
  <si>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</si>
  <si>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</si>
  <si>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</si>
  <si>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</si>
  <si>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</si>
  <si>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</si>
  <si>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</si>
  <si>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</si>
  <si>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</si>
  <si>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</si>
  <si>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</si>
  <si>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</si>
  <si>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</si>
  <si>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</si>
  <si>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</si>
  <si>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</si>
  <si>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</si>
  <si>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</si>
  <si>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</si>
  <si>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</si>
  <si>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</si>
  <si>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</si>
  <si>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</si>
  <si>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</si>
  <si>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</si>
  <si>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</si>
  <si>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</si>
  <si>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</si>
  <si>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</si>
  <si>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</si>
  <si>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</si>
  <si>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</si>
  <si>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</si>
  <si>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</si>
  <si>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</si>
  <si>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</si>
  <si>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</si>
  <si>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</si>
  <si>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</si>
  <si>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</si>
  <si>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</si>
  <si>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</si>
  <si>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</si>
  <si>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</si>
  <si>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</si>
  <si>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</si>
  <si>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</si>
  <si>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</si>
  <si>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</si>
  <si>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</si>
  <si>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</si>
  <si>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</si>
  <si>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</si>
  <si>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</si>
  <si>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</si>
  <si>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</si>
  <si>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</si>
  <si>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</si>
  <si>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</si>
  <si>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</si>
  <si>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</si>
  <si>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</si>
  <si>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</si>
  <si>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</si>
  <si>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</si>
  <si>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</si>
  <si>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</si>
  <si>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</si>
  <si>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</si>
  <si>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</si>
  <si>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</si>
  <si>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</si>
  <si>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</si>
  <si>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</si>
  <si>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</si>
  <si>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</si>
  <si>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</si>
  <si>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</si>
  <si>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</si>
  <si>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</si>
  <si>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</si>
  <si>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</si>
  <si>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</si>
  <si>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</si>
  <si>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</si>
  <si>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</si>
  <si>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</si>
  <si>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</si>
  <si>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</si>
  <si>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</si>
  <si>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</si>
  <si>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</si>
  <si>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</si>
  <si>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</si>
  <si>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</si>
  <si>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</si>
  <si>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</si>
  <si>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</si>
  <si>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</si>
  <si>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</si>
  <si>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</si>
  <si>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</si>
  <si>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</si>
  <si>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</si>
  <si>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</si>
  <si>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</si>
  <si>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</si>
  <si>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</si>
  <si>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</si>
  <si>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</si>
  <si>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</si>
  <si>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</si>
  <si>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</si>
  <si>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</si>
  <si>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</si>
  <si>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</si>
  <si>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</si>
  <si>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</si>
  <si>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</si>
  <si>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</si>
  <si>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</si>
  <si>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</si>
  <si>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</si>
  <si>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</si>
  <si>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</si>
  <si>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</si>
  <si>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</si>
  <si>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</si>
  <si>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</si>
  <si>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</si>
  <si>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</si>
  <si>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</si>
  <si>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</si>
  <si>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</si>
  <si>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</si>
  <si>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</si>
  <si>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</si>
  <si>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</si>
  <si>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</si>
  <si>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</si>
  <si>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</si>
  <si>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</si>
  <si>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</si>
  <si>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</si>
  <si>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</si>
  <si>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</si>
  <si>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</si>
  <si>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</si>
  <si>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</si>
  <si>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</si>
  <si>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</si>
  <si>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</si>
  <si>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</si>
  <si>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</si>
  <si>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</si>
  <si>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</si>
  <si>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</si>
  <si>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</si>
  <si>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</si>
  <si>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</si>
  <si>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</si>
  <si>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</si>
  <si>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</si>
  <si>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</si>
  <si>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</si>
  <si>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</si>
  <si>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</si>
  <si>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</si>
  <si>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</si>
  <si>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</si>
  <si>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</si>
  <si>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</si>
  <si>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</si>
  <si>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</si>
  <si>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</si>
  <si>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</si>
  <si>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</si>
  <si>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</si>
  <si>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</si>
  <si>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</si>
  <si>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</si>
  <si>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</si>
  <si>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</si>
  <si>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</si>
  <si>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</si>
  <si>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</si>
  <si>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</si>
  <si>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</si>
  <si>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</si>
  <si>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</si>
  <si>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</si>
  <si>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</si>
  <si>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</si>
  <si>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</si>
  <si>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</si>
  <si>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</si>
  <si>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</si>
  <si>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</si>
  <si>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</si>
  <si>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</si>
  <si>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</si>
  <si>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</si>
  <si>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</si>
  <si>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</si>
  <si>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</si>
  <si>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</si>
  <si>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</si>
  <si>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</si>
  <si>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</si>
  <si>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</si>
  <si>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</si>
  <si>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</si>
  <si>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</si>
  <si>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</si>
  <si>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</si>
  <si>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</si>
  <si>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</si>
  <si>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</si>
  <si>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</si>
  <si>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</si>
  <si>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</si>
  <si>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</si>
  <si>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</si>
  <si>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</si>
  <si>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</si>
  <si>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</si>
  <si>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</si>
  <si>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</si>
  <si>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</si>
  <si>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</si>
  <si>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</si>
  <si>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</si>
  <si>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</si>
  <si>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</si>
  <si>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</si>
  <si>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</si>
  <si>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</si>
  <si>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</si>
  <si>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</si>
  <si>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</si>
  <si>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</si>
  <si>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</si>
  <si>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</si>
  <si>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</si>
  <si>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</si>
  <si>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</si>
  <si>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</si>
  <si>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</si>
  <si>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</si>
  <si>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</si>
  <si>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</si>
  <si>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</si>
  <si>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</si>
  <si>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</si>
  <si>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</si>
  <si>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</si>
  <si>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</si>
  <si>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</si>
  <si>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</si>
  <si>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</si>
  <si>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</si>
  <si>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</si>
  <si>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</si>
  <si>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</si>
  <si>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</si>
  <si>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</si>
  <si>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</si>
  <si>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</si>
  <si>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</si>
  <si>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</si>
  <si>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</si>
  <si>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</si>
  <si>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</si>
  <si>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</si>
  <si>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</si>
  <si>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</si>
  <si>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</si>
  <si>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</si>
  <si>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</si>
  <si>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</si>
  <si>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</si>
  <si>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</si>
  <si>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</si>
  <si>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</si>
  <si>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</si>
  <si>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</si>
  <si>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</si>
  <si>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</si>
  <si>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</si>
  <si>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</si>
  <si>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</si>
  <si>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</si>
  <si>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</si>
  <si>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</si>
  <si>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</si>
  <si>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</si>
  <si>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</si>
  <si>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</si>
  <si>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</si>
  <si>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</si>
  <si>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</si>
  <si>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</si>
  <si>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</si>
  <si>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</si>
  <si>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</si>
  <si>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</si>
  <si>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</si>
  <si>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</si>
  <si>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</si>
  <si>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</si>
  <si>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</si>
  <si>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</si>
  <si>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</si>
  <si>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</si>
  <si>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</si>
  <si>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</si>
  <si>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</si>
  <si>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</si>
  <si>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</si>
  <si>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</si>
  <si>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</si>
  <si>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</si>
  <si>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</si>
  <si>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</si>
  <si>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</si>
  <si>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</si>
  <si>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</si>
  <si>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</si>
  <si>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</si>
  <si>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</si>
  <si>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</si>
  <si>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</si>
  <si>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</si>
  <si>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</si>
  <si>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</si>
  <si>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</si>
  <si>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</si>
  <si>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</si>
  <si>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</si>
  <si>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</si>
  <si>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</si>
  <si>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</si>
  <si>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</si>
  <si>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</si>
  <si>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</si>
  <si>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</si>
  <si>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</si>
  <si>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</si>
  <si>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</si>
  <si>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</si>
  <si>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</si>
  <si>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</si>
  <si>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</si>
  <si>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</si>
  <si>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</si>
  <si>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</si>
  <si>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</si>
  <si>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</si>
  <si>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</si>
  <si>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</si>
  <si>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</si>
  <si>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</si>
  <si>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</si>
  <si>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</si>
  <si>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</si>
  <si>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</si>
  <si>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</si>
  <si>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</si>
  <si>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</si>
  <si>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</si>
  <si>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</si>
  <si>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</si>
  <si>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</si>
  <si>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</si>
  <si>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</si>
  <si>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</si>
  <si>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</si>
  <si>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</si>
  <si>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</si>
  <si>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</si>
  <si>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</si>
  <si>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</si>
  <si>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</si>
  <si>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</si>
  <si>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</si>
  <si>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</si>
  <si>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</si>
  <si>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</si>
  <si>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</si>
  <si>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</si>
  <si>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</si>
  <si>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</si>
  <si>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</si>
  <si>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</si>
  <si>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</si>
  <si>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</si>
  <si>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</si>
  <si>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</si>
  <si>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</si>
  <si>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</si>
  <si>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</si>
  <si>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</si>
  <si>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</si>
  <si>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</si>
  <si>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</si>
  <si>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</si>
  <si>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</si>
  <si>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</si>
  <si>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</si>
  <si>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</si>
  <si>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</si>
  <si>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</si>
  <si>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</si>
  <si>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</si>
  <si>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</si>
  <si>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</si>
  <si>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</si>
  <si>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</si>
  <si>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</si>
  <si>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</si>
  <si>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</si>
  <si>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</si>
  <si>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</si>
  <si>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</si>
  <si>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</si>
  <si>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</si>
  <si>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</si>
  <si>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</si>
  <si>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</si>
  <si>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</si>
  <si>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</si>
  <si>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</si>
  <si>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</si>
  <si>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</si>
  <si>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</si>
  <si>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</si>
  <si>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</si>
  <si>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</si>
  <si>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</si>
  <si>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</si>
  <si>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</si>
  <si>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</si>
  <si>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</si>
  <si>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</si>
  <si>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</si>
  <si>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</si>
  <si>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</si>
  <si>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</si>
  <si>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</si>
  <si>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</si>
  <si>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</si>
  <si>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</si>
  <si>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</si>
  <si>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</si>
  <si>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</si>
  <si>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</si>
  <si>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</si>
  <si>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</si>
  <si>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</si>
  <si>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</si>
  <si>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</si>
  <si>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</si>
  <si>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</si>
  <si>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</si>
  <si>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</si>
  <si>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</si>
  <si>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</si>
  <si>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</si>
  <si>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</si>
  <si>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</si>
  <si>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</si>
  <si>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</si>
  <si>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</si>
  <si>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</si>
  <si>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</si>
  <si>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</si>
  <si>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</si>
  <si>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</si>
  <si>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</si>
  <si>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</si>
  <si>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</si>
  <si>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</si>
  <si>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</si>
  <si>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</si>
  <si>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</si>
  <si>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</si>
  <si>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</si>
  <si>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</si>
  <si>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</si>
  <si>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</si>
  <si>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</si>
  <si>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</si>
  <si>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</si>
  <si>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</si>
  <si>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</si>
  <si>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</si>
  <si>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</si>
  <si>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</si>
  <si>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</si>
  <si>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</si>
  <si>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</si>
  <si>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</si>
  <si>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</si>
  <si>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</si>
  <si>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</si>
  <si>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</si>
  <si>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</si>
  <si>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</si>
  <si>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</si>
  <si>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</si>
  <si>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</si>
  <si>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</si>
  <si>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</si>
  <si>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</si>
  <si>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</si>
  <si>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</si>
  <si>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</si>
  <si>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</si>
  <si>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</si>
  <si>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</si>
  <si>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</si>
  <si>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</si>
  <si>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</si>
  <si>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</si>
  <si>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</si>
  <si>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</si>
  <si>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</si>
  <si>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</si>
  <si>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</si>
  <si>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</si>
  <si>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</si>
  <si>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</si>
  <si>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</si>
  <si>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</si>
  <si>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</si>
  <si>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</si>
  <si>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</si>
  <si>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</si>
  <si>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</si>
  <si>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</si>
  <si>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</si>
  <si>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</si>
  <si>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</si>
  <si>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</si>
  <si>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</si>
  <si>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</si>
  <si>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</si>
  <si>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</si>
  <si>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</si>
  <si>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</si>
  <si>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</si>
  <si>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</si>
  <si>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</si>
  <si>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</si>
  <si>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</si>
  <si>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</si>
  <si>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</si>
  <si>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</si>
  <si>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</si>
  <si>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</si>
  <si>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</si>
  <si>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</si>
  <si>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</si>
  <si>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</si>
  <si>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</si>
  <si>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</si>
  <si>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</si>
  <si>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</si>
  <si>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</si>
  <si>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</si>
  <si>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</si>
  <si>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</si>
  <si>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</si>
  <si>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</si>
  <si>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</si>
  <si>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</si>
  <si>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</si>
  <si>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</si>
  <si>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</si>
  <si>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</si>
  <si>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</si>
  <si>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</si>
  <si>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</si>
  <si>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</si>
  <si>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</si>
  <si>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</si>
  <si>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</si>
  <si>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</si>
  <si>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</si>
  <si>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</si>
  <si>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</si>
  <si>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</si>
  <si>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</si>
  <si>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</si>
  <si>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</si>
  <si>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</si>
  <si>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</si>
  <si>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</si>
  <si>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</si>
  <si>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</si>
  <si>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</si>
  <si>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</si>
  <si>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</si>
  <si>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</si>
  <si>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</si>
  <si>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</si>
  <si>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</si>
  <si>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</si>
  <si>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</si>
  <si>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</si>
  <si>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</si>
  <si>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</si>
  <si>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</si>
  <si>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</si>
  <si>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</si>
  <si>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</si>
  <si>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</si>
  <si>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</si>
  <si>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</si>
  <si>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</si>
  <si>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</si>
  <si>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</si>
  <si>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</si>
  <si>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</si>
  <si>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</si>
  <si>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</si>
  <si>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</si>
  <si>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</si>
  <si>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</si>
  <si>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</si>
  <si>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</si>
  <si>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</si>
  <si>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</si>
  <si>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</si>
  <si>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</si>
  <si>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</si>
  <si>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</si>
  <si>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</si>
  <si>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</si>
  <si>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</si>
  <si>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</si>
  <si>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</si>
  <si>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</si>
  <si>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</si>
  <si>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</si>
  <si>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</si>
  <si>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</si>
  <si>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</si>
  <si>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</si>
  <si>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</si>
  <si>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</si>
  <si>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</si>
  <si>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</si>
  <si>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</si>
  <si>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</si>
  <si>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</si>
  <si>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</si>
  <si>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</si>
  <si>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</si>
  <si>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</si>
  <si>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</si>
  <si>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</si>
  <si>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</si>
  <si>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</si>
  <si>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</si>
  <si>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</si>
  <si>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</si>
  <si>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</si>
  <si>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</si>
  <si>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</si>
  <si>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</si>
  <si>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</si>
  <si>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</si>
  <si>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</si>
  <si>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</si>
  <si>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</si>
  <si>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</si>
  <si>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</si>
  <si>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</si>
  <si>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</si>
  <si>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</si>
  <si>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</si>
  <si>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</si>
  <si>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</si>
  <si>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</si>
  <si>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</si>
  <si>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</si>
  <si>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</si>
  <si>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</si>
  <si>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</si>
  <si>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</si>
  <si>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</si>
  <si>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</si>
  <si>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</si>
  <si>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</si>
  <si>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</si>
  <si>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</si>
  <si>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</si>
  <si>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</si>
  <si>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</si>
  <si>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</si>
  <si>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</si>
  <si>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</si>
  <si>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</si>
  <si>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</si>
  <si>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</si>
  <si>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</si>
  <si>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</si>
  <si>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</si>
  <si>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</si>
  <si>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</si>
  <si>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</si>
  <si>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</si>
  <si>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</si>
  <si>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</si>
  <si>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</si>
  <si>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</si>
  <si>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</si>
  <si>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</si>
  <si>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</si>
  <si>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</si>
  <si>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</si>
  <si>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</si>
  <si>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</si>
  <si>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</si>
  <si>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</si>
  <si>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</si>
  <si>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</si>
  <si>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</si>
  <si>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</si>
  <si>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</si>
  <si>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</si>
  <si>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</si>
  <si>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</si>
  <si>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</si>
  <si>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</si>
  <si>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</si>
  <si>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</si>
  <si>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</si>
  <si>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</si>
  <si>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</si>
  <si>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</si>
  <si>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</si>
  <si>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</si>
  <si>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</si>
  <si>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</si>
  <si>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</si>
  <si>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</si>
  <si>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</si>
  <si>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</si>
  <si>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</si>
  <si>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</si>
  <si>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</si>
  <si>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</si>
  <si>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</si>
  <si>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</si>
  <si>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</si>
  <si>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</si>
  <si>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</si>
  <si>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</si>
  <si>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</si>
  <si>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</si>
  <si>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</si>
  <si>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</si>
  <si>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</si>
  <si>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</si>
  <si>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</si>
  <si>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</si>
  <si>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</si>
  <si>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</si>
  <si>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</si>
  <si>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</si>
  <si>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</si>
  <si>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</si>
  <si>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</si>
  <si>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</si>
  <si>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</si>
  <si>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</si>
  <si>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</si>
  <si>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</si>
  <si>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</si>
  <si>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</si>
  <si>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</si>
  <si>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</si>
  <si>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</si>
  <si>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</si>
  <si>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</si>
  <si>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</si>
  <si>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</si>
  <si>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</si>
  <si>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</si>
  <si>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</si>
  <si>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</si>
  <si>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</si>
  <si>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</si>
  <si>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</si>
  <si>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</si>
  <si>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</si>
  <si>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</si>
  <si>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</si>
  <si>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</si>
  <si>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</si>
  <si>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</si>
  <si>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</si>
  <si>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</si>
  <si>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</si>
  <si>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</si>
  <si>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</si>
  <si>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</si>
  <si>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</si>
  <si>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</si>
  <si>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</si>
  <si>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</si>
  <si>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</si>
  <si>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</si>
  <si>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</si>
  <si>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</si>
  <si>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</si>
  <si>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</si>
  <si>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</si>
  <si>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</si>
  <si>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</si>
  <si>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</si>
  <si>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</si>
  <si>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</si>
  <si>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</si>
  <si>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</si>
  <si>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</si>
  <si>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</si>
  <si>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</si>
  <si>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</si>
  <si>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</si>
  <si>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</si>
  <si>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</si>
  <si>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</si>
  <si>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</si>
  <si>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</si>
  <si>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</si>
  <si>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</si>
  <si>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</si>
  <si>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</si>
  <si>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</si>
  <si>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</si>
  <si>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</si>
  <si>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</si>
  <si>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</si>
  <si>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</si>
  <si>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</si>
  <si>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</si>
  <si>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</si>
  <si>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</si>
  <si>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</si>
  <si>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</si>
  <si>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</si>
  <si>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</si>
  <si>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</si>
  <si>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</si>
  <si>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</si>
  <si>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</si>
  <si>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</si>
  <si>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</si>
  <si>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</si>
  <si>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</si>
  <si>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</si>
  <si>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</si>
  <si>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</si>
  <si>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</si>
  <si>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</si>
  <si>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</si>
  <si>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</si>
  <si>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</si>
  <si>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</si>
  <si>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</si>
  <si>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</si>
  <si>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</si>
  <si>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</si>
  <si>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</si>
  <si>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</si>
  <si>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</si>
  <si>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</si>
  <si>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</si>
  <si>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</si>
  <si>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</si>
  <si>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</si>
  <si>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</si>
  <si>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</si>
  <si>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</si>
  <si>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</si>
  <si>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</si>
  <si>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</si>
  <si>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</si>
  <si>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</si>
  <si>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</si>
  <si>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</si>
  <si>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</si>
  <si>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</si>
  <si>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</si>
  <si>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</si>
  <si>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</si>
  <si>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</si>
  <si>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</si>
  <si>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</si>
  <si>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</si>
  <si>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</si>
  <si>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</si>
  <si>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</si>
  <si>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</si>
  <si>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</si>
  <si>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</si>
  <si>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</si>
  <si>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</si>
  <si>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</si>
  <si>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</si>
  <si>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</si>
  <si>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</si>
  <si>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</si>
  <si>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</si>
  <si>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</si>
  <si>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</si>
  <si>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</si>
  <si>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</si>
  <si>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</si>
  <si>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</si>
  <si>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</si>
  <si>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</si>
  <si>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</si>
  <si>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</si>
  <si>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</si>
  <si>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</si>
  <si>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</si>
  <si>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</si>
  <si>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</si>
  <si>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</si>
  <si>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</si>
  <si>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</si>
  <si>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</si>
  <si>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</si>
  <si>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</si>
  <si>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</si>
  <si>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</si>
  <si>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</si>
  <si>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</si>
  <si>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</si>
  <si>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</si>
  <si>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</si>
  <si>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</si>
  <si>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</si>
  <si>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</si>
  <si>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</si>
  <si>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</si>
  <si>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</si>
  <si>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</si>
  <si>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</si>
  <si>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</si>
  <si>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</si>
  <si>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</si>
  <si>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</si>
  <si>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</si>
  <si>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</si>
  <si>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</si>
  <si>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</si>
  <si>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</si>
  <si>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</si>
  <si>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</si>
  <si>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</si>
  <si>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</si>
  <si>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</si>
  <si>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</si>
  <si>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</si>
  <si>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</si>
  <si>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</si>
  <si>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</si>
  <si>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</si>
  <si>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</si>
  <si>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</si>
  <si>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</si>
  <si>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</si>
  <si>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</si>
  <si>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</si>
  <si>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</si>
  <si>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</si>
  <si>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</si>
  <si>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</si>
  <si>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</si>
  <si>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</si>
  <si>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</si>
  <si>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</si>
  <si>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</si>
  <si>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</si>
  <si>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</si>
  <si>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</si>
  <si>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</si>
  <si>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</si>
  <si>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</si>
  <si>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</si>
  <si>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</si>
  <si>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</si>
  <si>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</si>
  <si>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</si>
  <si>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</si>
  <si>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</si>
  <si>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</si>
  <si>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</si>
  <si>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</si>
  <si>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</si>
  <si>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</si>
  <si>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</si>
  <si>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</si>
  <si>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</si>
  <si>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</si>
  <si>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</si>
  <si>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</si>
  <si>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</si>
  <si>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</si>
  <si>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</si>
  <si>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</si>
  <si>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</si>
  <si>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</si>
  <si>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</si>
  <si>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</si>
  <si>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</si>
  <si>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</si>
  <si>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</si>
  <si>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</si>
  <si>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</si>
  <si>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</si>
  <si>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</si>
  <si>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</si>
  <si>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</si>
  <si>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</si>
  <si>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</si>
  <si>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</si>
  <si>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</si>
  <si>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</si>
  <si>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</si>
  <si>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</si>
  <si>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</si>
  <si>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</si>
  <si>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</si>
  <si>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</si>
  <si>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</si>
  <si>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</si>
  <si>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</si>
  <si>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</si>
  <si>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</si>
  <si>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</si>
  <si>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</si>
  <si>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</si>
  <si>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</si>
  <si>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</si>
  <si>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</si>
  <si>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</si>
  <si>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</si>
  <si>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</si>
  <si>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</si>
  <si>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</si>
  <si>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</si>
  <si>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</si>
  <si>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</si>
  <si>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</si>
  <si>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</si>
  <si>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</si>
  <si>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</si>
  <si>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</si>
  <si>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</si>
  <si>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</si>
  <si>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</si>
  <si>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</si>
  <si>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</si>
  <si>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</si>
  <si>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</si>
  <si>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</si>
  <si>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</si>
  <si>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</si>
  <si>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</si>
  <si>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</si>
  <si>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</si>
  <si>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</si>
  <si>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</si>
  <si>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</si>
  <si>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</si>
  <si>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</si>
  <si>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</si>
  <si>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</si>
  <si>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</si>
  <si>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</si>
  <si>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</si>
  <si>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</si>
  <si>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</si>
  <si>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</si>
  <si>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</si>
  <si>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</si>
  <si>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</si>
  <si>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</si>
  <si>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</si>
  <si>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</si>
  <si>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</si>
  <si>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</si>
  <si>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</si>
  <si>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</si>
  <si>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</si>
  <si>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</si>
  <si>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</si>
  <si>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</si>
  <si>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</si>
  <si>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</si>
  <si>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</si>
  <si>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</si>
  <si>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</si>
  <si>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</si>
  <si>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</si>
  <si>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</si>
  <si>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</si>
  <si>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</si>
  <si>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</si>
  <si>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</si>
  <si>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</si>
  <si>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</si>
  <si>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</si>
  <si>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</si>
  <si>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</si>
  <si>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</si>
  <si>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</si>
  <si>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</si>
  <si>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</si>
  <si>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</si>
  <si>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</si>
  <si>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</si>
  <si>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</si>
  <si>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</si>
  <si>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</si>
  <si>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</si>
  <si>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</si>
  <si>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</si>
  <si>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</si>
  <si>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</si>
  <si>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</si>
  <si>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</si>
  <si>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</si>
  <si>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</si>
  <si>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</si>
  <si>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</si>
  <si>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</si>
  <si>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</si>
  <si>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</si>
  <si>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</si>
  <si>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</si>
  <si>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</si>
  <si>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</si>
  <si>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</si>
  <si>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</si>
  <si>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</si>
  <si>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</si>
  <si>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</si>
  <si>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</si>
  <si>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</si>
  <si>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</si>
  <si>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</si>
  <si>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</si>
  <si>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</si>
  <si>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</si>
  <si>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</si>
  <si>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</si>
  <si>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</si>
  <si>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</si>
  <si>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</si>
  <si>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</si>
  <si>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</si>
  <si>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</si>
  <si>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</si>
  <si>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</si>
  <si>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</si>
  <si>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</si>
  <si>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</si>
  <si>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</si>
  <si>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</si>
  <si>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</si>
  <si>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</si>
  <si>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</si>
  <si>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</si>
  <si>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</si>
  <si>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</si>
  <si>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</si>
  <si>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</si>
  <si>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</si>
  <si>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</si>
  <si>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</si>
  <si>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</si>
  <si>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</si>
  <si>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</si>
  <si>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</si>
  <si>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</si>
  <si>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</si>
  <si>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</si>
  <si>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</si>
  <si>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</si>
  <si>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</si>
  <si>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</si>
  <si>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</si>
  <si>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</si>
  <si>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</si>
  <si>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</si>
  <si>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</si>
  <si>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</si>
  <si>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</si>
  <si>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</si>
  <si>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</si>
  <si>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</si>
  <si>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</si>
  <si>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</si>
  <si>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</si>
  <si>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</si>
  <si>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</si>
  <si>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</si>
  <si>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</si>
  <si>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</si>
  <si>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</si>
  <si>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</si>
  <si>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</si>
  <si>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</si>
  <si>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</si>
  <si>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</si>
  <si>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</si>
  <si>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</si>
  <si>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</si>
  <si>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</si>
  <si>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</si>
  <si>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</si>
  <si>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</si>
  <si>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</si>
  <si>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</si>
  <si>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</si>
  <si>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</si>
  <si>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</si>
  <si>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</si>
  <si>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</si>
  <si>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</si>
  <si>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</si>
  <si>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</si>
  <si>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</si>
  <si>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</si>
  <si>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</si>
  <si>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</si>
  <si>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</si>
  <si>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</si>
  <si>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</si>
  <si>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</si>
  <si>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</si>
  <si>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</si>
  <si>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</si>
  <si>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</si>
  <si>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</si>
  <si>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</si>
  <si>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</si>
  <si>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</si>
  <si>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</si>
  <si>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</si>
  <si>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</si>
  <si>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</si>
  <si>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</si>
  <si>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</si>
  <si>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</si>
  <si>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</si>
  <si>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</si>
  <si>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</si>
  <si>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</si>
  <si>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</si>
  <si>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</si>
  <si>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</si>
  <si>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</si>
  <si>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</si>
  <si>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</si>
  <si>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</si>
  <si>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</si>
  <si>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</si>
  <si>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</si>
  <si>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</si>
  <si>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</si>
  <si>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</si>
  <si>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</si>
  <si>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</si>
  <si>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</si>
  <si>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</si>
  <si>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</si>
  <si>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</si>
  <si>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</si>
  <si>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</si>
  <si>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</si>
  <si>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</si>
  <si>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</si>
  <si>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</si>
  <si>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</si>
  <si>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</si>
  <si>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</si>
  <si>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</si>
  <si>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</si>
  <si>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</si>
  <si>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</si>
  <si>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</si>
  <si>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</si>
  <si>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</si>
  <si>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</si>
  <si>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</si>
  <si>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</si>
  <si>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</si>
  <si>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</si>
  <si>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</si>
  <si>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</si>
  <si>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</si>
  <si>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</si>
  <si>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</si>
  <si>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</si>
  <si>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</si>
  <si>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</si>
  <si>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</si>
  <si>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</si>
  <si>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</si>
  <si>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</si>
  <si>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</si>
  <si>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</si>
  <si>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</si>
  <si>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</si>
  <si>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</si>
  <si>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</si>
  <si>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</si>
  <si>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</si>
  <si>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</si>
  <si>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</si>
  <si>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</si>
  <si>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</si>
  <si>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</si>
  <si>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</si>
  <si>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</si>
  <si>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</si>
  <si>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</si>
  <si>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</si>
  <si>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</si>
  <si>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</si>
  <si>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</si>
  <si>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</si>
  <si>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</si>
  <si>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</si>
  <si>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</si>
  <si>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</si>
  <si>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</si>
  <si>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</si>
  <si>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</si>
  <si>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</si>
  <si>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</si>
  <si>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</si>
  <si>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</si>
  <si>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</si>
  <si>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</si>
  <si>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</si>
  <si>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</si>
  <si>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</si>
  <si>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</si>
  <si>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</si>
  <si>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</si>
  <si>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</si>
  <si>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</si>
  <si>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</si>
  <si>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</si>
  <si>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</si>
  <si>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</si>
  <si>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</si>
  <si>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</si>
  <si>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</si>
  <si>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</si>
  <si>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</si>
  <si>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</si>
  <si>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</si>
  <si>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</si>
  <si>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</si>
  <si>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</si>
  <si>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</si>
  <si>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</si>
  <si>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</si>
  <si>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</si>
  <si>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</si>
  <si>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</si>
  <si>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</si>
  <si>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</si>
  <si>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</si>
  <si>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</si>
  <si>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</si>
  <si>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</si>
  <si>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</si>
  <si>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</si>
  <si>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</si>
  <si>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</si>
  <si>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</si>
  <si>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</si>
  <si>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</si>
  <si>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</si>
  <si>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</si>
  <si>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</si>
  <si>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</si>
  <si>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</si>
  <si>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</si>
  <si>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</si>
  <si>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</si>
  <si>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</si>
  <si>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</si>
  <si>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</si>
  <si>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</si>
  <si>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</si>
  <si>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</si>
  <si>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</si>
  <si>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</si>
  <si>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</si>
  <si>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</si>
  <si>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</si>
  <si>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</si>
  <si>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</si>
  <si>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</si>
  <si>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</si>
  <si>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</si>
  <si>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</si>
  <si>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</si>
  <si>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</si>
  <si>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</si>
  <si>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</si>
  <si>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</si>
  <si>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</si>
  <si>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</si>
  <si>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</si>
  <si>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</si>
  <si>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</si>
  <si>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</si>
  <si>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</si>
  <si>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</si>
  <si>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</si>
  <si>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</si>
  <si>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</si>
  <si>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</si>
  <si>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</si>
  <si>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</si>
  <si>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</si>
  <si>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</si>
  <si>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</si>
  <si>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</si>
  <si>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</si>
  <si>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</si>
  <si>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</si>
  <si>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</si>
  <si>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</si>
  <si>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</si>
  <si>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</si>
  <si>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</si>
  <si>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</si>
  <si>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</si>
  <si>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</si>
  <si>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</si>
  <si>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</si>
  <si>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</si>
  <si>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</si>
  <si>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</si>
  <si>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</si>
  <si>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</si>
  <si>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</si>
  <si>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</si>
  <si>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</si>
  <si>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</si>
  <si>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</si>
  <si>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</si>
  <si>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</si>
  <si>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</si>
  <si>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</si>
  <si>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</si>
  <si>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</si>
  <si>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</si>
  <si>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</si>
  <si>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</si>
  <si>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</si>
  <si>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</si>
  <si>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</si>
  <si>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</si>
  <si>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</si>
  <si>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</si>
  <si>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</si>
  <si>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</si>
  <si>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</si>
  <si>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</si>
  <si>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</si>
  <si>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</si>
  <si>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</si>
  <si>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</si>
  <si>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</si>
  <si>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</si>
  <si>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</si>
  <si>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</si>
  <si>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</si>
  <si>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</si>
  <si>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</si>
  <si>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</si>
  <si>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</si>
  <si>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</si>
  <si>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</si>
  <si>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</si>
  <si>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</si>
  <si>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</si>
  <si>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</si>
  <si>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</si>
  <si>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</si>
  <si>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</si>
  <si>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</si>
  <si>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</si>
  <si>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</si>
  <si>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</si>
  <si>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</si>
  <si>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</si>
  <si>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</si>
  <si>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</si>
  <si>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</si>
  <si>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</si>
  <si>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</si>
  <si>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</si>
  <si>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</si>
  <si>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</si>
  <si>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</si>
  <si>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</si>
  <si>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</si>
  <si>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</si>
  <si>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</si>
  <si>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</si>
  <si>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</si>
  <si>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</si>
  <si>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</si>
  <si>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</si>
  <si>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</si>
  <si>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</si>
  <si>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</si>
  <si>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</si>
  <si>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</si>
  <si>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</si>
  <si>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</si>
  <si>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</si>
  <si>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</si>
  <si>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</si>
  <si>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</si>
  <si>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</si>
  <si>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</si>
  <si>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</si>
  <si>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</si>
  <si>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</si>
  <si>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</si>
  <si>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</si>
  <si>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</si>
  <si>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</si>
  <si>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</si>
  <si>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</si>
  <si>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</si>
  <si>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</si>
  <si>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</si>
  <si>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</si>
  <si>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</si>
  <si>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</si>
  <si>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</si>
  <si>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</si>
  <si>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</si>
  <si>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</si>
  <si>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</si>
  <si>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</si>
  <si>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</si>
  <si>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</si>
  <si>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</si>
  <si>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</si>
  <si>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</si>
  <si>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</si>
  <si>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</si>
  <si>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</si>
  <si>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</si>
  <si>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</si>
  <si>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</si>
  <si>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</si>
  <si>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</si>
  <si>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</si>
  <si>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</si>
  <si>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</si>
  <si>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</si>
  <si>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</si>
  <si>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</si>
  <si>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</si>
  <si>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</si>
  <si>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</si>
  <si>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</si>
  <si>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</si>
  <si>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</si>
  <si>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</si>
  <si>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</si>
  <si>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</si>
  <si>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</si>
  <si>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</si>
  <si>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</si>
  <si>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</si>
  <si>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</si>
  <si>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</si>
  <si>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</si>
  <si>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</si>
  <si>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</si>
  <si>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</si>
  <si>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</si>
  <si>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</si>
  <si>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</si>
  <si>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</si>
  <si>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</si>
  <si>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</si>
  <si>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</si>
  <si>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</si>
  <si>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</si>
  <si>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</si>
  <si>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</si>
  <si>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</si>
  <si>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</si>
  <si>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</si>
  <si>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</si>
  <si>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</si>
  <si>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</si>
  <si>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</si>
  <si>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</si>
  <si>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</si>
  <si>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</si>
  <si>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</si>
  <si>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</si>
  <si>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</si>
  <si>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ISSUED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</si>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</sst>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11" totalsRowShown="0" headerRowDxfId="85" dataDxfId="84">
  <autoFilter ref="A1:R311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0" dataDxfId="39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9"/>
    <tableColumn id="2" xr3:uid="{1E57C5CE-907A-4DF0-BCA2-BBCD2651216C}" name="APPLICATION NO." dataDxfId="28"/>
    <tableColumn id="3" xr3:uid="{F626713A-3C61-423D-BD37-451203C3E29C}" name="CHASSIS" dataDxfId="27"/>
    <tableColumn id="4" xr3:uid="{32C5A048-ADD8-4648-8106-9F20D6757D66}" name="NAME" dataDxfId="26"/>
    <tableColumn id="5" xr3:uid="{BA1FDE8E-99ED-4918-A545-B2E041B306D6}" name="MODEL" dataDxfId="25"/>
    <tableColumn id="6" xr3:uid="{872ECA2D-515D-4EDE-B60A-82A8BDEFEDCC}" name="COLOR" dataDxfId="24"/>
    <tableColumn id="7" xr3:uid="{C729A2AA-8F61-4959-9BE7-9F1BD3A49990}" name="RTO" dataDxfId="23"/>
    <tableColumn id="8" xr3:uid="{49CDED17-8118-4E4F-BBF5-6407D0788647}" name="REG NUM" dataDxfId="22"/>
    <tableColumn id="9" xr3:uid="{6E044422-F791-464A-944A-0668F0C8112F}" name="DATE OF REG" dataDxfId="21"/>
    <tableColumn id="11" xr3:uid="{942D52E6-8B19-4B1A-ADDF-6D959D8E7BE1}" name="DSE" dataDxfId="20"/>
    <tableColumn id="12" xr3:uid="{04B58679-3282-4D6D-BF3E-2233E3C4DC81}" name="RC RECEIVED BY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8" tableBorderDxfId="17" totalsRowBorderDxfId="16">
  <autoFilter ref="B27:E32" xr:uid="{859DCBAE-920B-4469-9E0B-BF5ADC0248E9}"/>
  <tableColumns count="4">
    <tableColumn id="1" xr3:uid="{898528DA-B3AC-435C-B00C-9234887E5F11}" name="REG NUM" dataDxfId="15"/>
    <tableColumn id="2" xr3:uid="{89440296-A536-440E-A74B-186B5A98AE6C}" name="DATE OF REG" dataDxfId="14"/>
    <tableColumn id="3" xr3:uid="{7A04E3EB-93DA-4428-AB0C-3D251E144655}" name="RC RECEIVED BY" dataDxfId="13"/>
    <tableColumn id="4" xr3:uid="{0D350352-EB5F-413B-8CE6-3B46D80C3172}" name="DA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89"/>
  <sheetViews>
    <sheetView tabSelected="1" topLeftCell="C294" zoomScaleNormal="100" workbookViewId="0">
      <selection activeCell="C306" sqref="C306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7809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/>
      <c r="N254" s="48"/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311" si="14"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7529</v>
      </c>
      <c r="C265" s="47" t="s">
        <v>7530</v>
      </c>
      <c r="D265" s="47" t="s">
        <v>7531</v>
      </c>
      <c r="E265" s="47" t="s">
        <v>7532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7540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7579</v>
      </c>
      <c r="C271" s="47" t="s">
        <v>7580</v>
      </c>
      <c r="D271" s="47" t="s">
        <v>7581</v>
      </c>
      <c r="E271" s="47" t="s">
        <v>7582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7593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7780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7646</v>
      </c>
      <c r="C280" s="47" t="s">
        <v>7643</v>
      </c>
      <c r="D280" s="47" t="s">
        <v>7644</v>
      </c>
      <c r="E280" s="47" t="s">
        <v>7645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7651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7668</v>
      </c>
      <c r="C283" s="47" t="s">
        <v>7659</v>
      </c>
      <c r="D283" s="47" t="s">
        <v>7660</v>
      </c>
      <c r="E283" s="47" t="s">
        <v>7661</v>
      </c>
      <c r="F283" s="47" t="s">
        <v>31</v>
      </c>
      <c r="G283" s="47" t="s">
        <v>200</v>
      </c>
      <c r="H283" s="4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47" t="s">
        <v>7662</v>
      </c>
      <c r="J283" s="48">
        <v>46018</v>
      </c>
      <c r="K283" s="47">
        <v>9622531795</v>
      </c>
      <c r="L283" s="47" t="s">
        <v>26</v>
      </c>
      <c r="M283" s="49"/>
      <c r="N283" s="48"/>
      <c r="O283" s="47" t="s">
        <v>23</v>
      </c>
      <c r="P283" s="50">
        <v>46018</v>
      </c>
      <c r="Q283" s="47" t="s">
        <v>6460</v>
      </c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5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5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5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7780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ref="H287:H296" si="16">IF(LEFT(I287,4)="JK13","PULWAMA",IF(LEFT(I287,4)="JK01","SRINAGAR",IF(LEFT(I287,4)="JK04","BUDGAM",IF(LEFT(I287,4)="JK03","ANANTNAG",IF(LEFT(I287,4)="JK05","BARAMULLA",IF(LEFT(I287,4)="25BH","BHARAT",IF(LEFT(I287,4)="JK12","POONCH",IF(LEFT(I287,4)="JK18","KULGAM",IF(LEFT(I287,4)="JK22","SHOPIAN",IF(LEFT(I287,4)="T102","TEMP",IF(LEFT(I287,4)="JK09","KUPWARA",IF(LEFT(I287,4)="JK15","BANDIPORA",IF(LEFT(I287,4)="T112","KARGIL","NEW"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si="16"/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7714</v>
      </c>
      <c r="C289" s="47" t="s">
        <v>7709</v>
      </c>
      <c r="D289" s="47" t="s">
        <v>7710</v>
      </c>
      <c r="E289" s="47" t="s">
        <v>7711</v>
      </c>
      <c r="F289" s="47" t="s">
        <v>7712</v>
      </c>
      <c r="G289" s="47" t="s">
        <v>200</v>
      </c>
      <c r="H289" s="47" t="str">
        <f t="shared" si="16"/>
        <v>NEW</v>
      </c>
      <c r="I289" s="47"/>
      <c r="J289" s="48">
        <v>46020</v>
      </c>
      <c r="K289" s="47">
        <v>9622020576</v>
      </c>
      <c r="L289" s="47" t="s">
        <v>7713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6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6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6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6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7778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6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6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6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ref="H297:H300" si="17">IF(LEFT(I297,4)="JK13","PULWAMA",IF(LEFT(I297,4)="JK01","SRINAGAR",IF(LEFT(I297,4)="JK04","BUDGAM",IF(LEFT(I297,4)="JK03","ANANTNAG",IF(LEFT(I297,4)="JK05","BARAMULLA",IF(LEFT(I297,4)="25BH","BHARAT",IF(LEFT(I297,4)="JK12","POONCH",IF(LEFT(I297,4)="JK18","KULGAM",IF(LEFT(I297,4)="JK22","SHOPIAN",IF(LEFT(I297,4)="T102","TEMP",IF(LEFT(I297,4)="JK09","KUPWARA",IF(LEFT(I297,4)="JK15","BANDIPORA",IF(LEFT(I297,4)="T112","KARGIL","NEW"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7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7763</v>
      </c>
      <c r="C299" s="47" t="s">
        <v>7764</v>
      </c>
      <c r="D299" s="47" t="s">
        <v>7765</v>
      </c>
      <c r="E299" s="47" t="s">
        <v>7766</v>
      </c>
      <c r="F299" s="47" t="s">
        <v>3130</v>
      </c>
      <c r="G299" s="47" t="s">
        <v>6475</v>
      </c>
      <c r="H299" s="47" t="str">
        <f t="shared" si="17"/>
        <v>KULGAM</v>
      </c>
      <c r="I299" s="47" t="s">
        <v>7768</v>
      </c>
      <c r="J299" s="48">
        <v>46021</v>
      </c>
      <c r="K299" s="47">
        <v>9622775800</v>
      </c>
      <c r="L299" s="47" t="s">
        <v>26</v>
      </c>
      <c r="M299" s="49"/>
      <c r="N299" s="48"/>
      <c r="O299" s="47"/>
      <c r="P299" s="50"/>
      <c r="Q299" s="47"/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si="17"/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4"/>
        <v>300</v>
      </c>
      <c r="B301" s="47" t="s">
        <v>7781</v>
      </c>
      <c r="C301" s="47" t="s">
        <v>7782</v>
      </c>
      <c r="D301" s="47" t="s">
        <v>7783</v>
      </c>
      <c r="E301" s="47" t="s">
        <v>7784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7785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7810</v>
      </c>
    </row>
    <row r="302" spans="1:18" x14ac:dyDescent="0.25">
      <c r="A302" s="47">
        <f t="shared" si="14"/>
        <v>301</v>
      </c>
      <c r="B302" s="47" t="s">
        <v>7788</v>
      </c>
      <c r="C302" s="47" t="s">
        <v>7789</v>
      </c>
      <c r="D302" s="47" t="s">
        <v>7790</v>
      </c>
      <c r="E302" s="47" t="s">
        <v>7791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7796</v>
      </c>
      <c r="J302" s="48">
        <v>46022</v>
      </c>
      <c r="K302" s="47">
        <v>9419070393</v>
      </c>
      <c r="L302" s="47" t="s">
        <v>75</v>
      </c>
      <c r="M302" s="49"/>
      <c r="N302" s="48"/>
      <c r="O302" s="47"/>
      <c r="P302" s="50"/>
      <c r="Q302" s="47"/>
      <c r="R302" s="47"/>
    </row>
    <row r="303" spans="1:18" x14ac:dyDescent="0.25">
      <c r="A303" s="47">
        <f t="shared" si="14"/>
        <v>302</v>
      </c>
      <c r="B303" s="47" t="s">
        <v>7795</v>
      </c>
      <c r="C303" s="47" t="s">
        <v>7792</v>
      </c>
      <c r="D303" s="47" t="s">
        <v>7793</v>
      </c>
      <c r="E303" s="47" t="s">
        <v>7794</v>
      </c>
      <c r="F303" s="47" t="s">
        <v>100</v>
      </c>
      <c r="G303" s="47" t="s">
        <v>200</v>
      </c>
      <c r="H303" s="47" t="str">
        <f t="shared" si="18"/>
        <v>NEW</v>
      </c>
      <c r="I303" s="47"/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4"/>
        <v>303</v>
      </c>
      <c r="B304" s="47" t="s">
        <v>7800</v>
      </c>
      <c r="C304" s="47" t="s">
        <v>7797</v>
      </c>
      <c r="D304" s="47" t="s">
        <v>7798</v>
      </c>
      <c r="E304" s="47" t="s">
        <v>7799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7811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4"/>
        <v>304</v>
      </c>
      <c r="B305" s="47" t="s">
        <v>7804</v>
      </c>
      <c r="C305" s="47" t="s">
        <v>7801</v>
      </c>
      <c r="D305" s="47" t="s">
        <v>7803</v>
      </c>
      <c r="E305" s="47" t="s">
        <v>7802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7812</v>
      </c>
      <c r="J305" s="48">
        <v>46022</v>
      </c>
      <c r="K305" s="47">
        <v>9596102065</v>
      </c>
      <c r="L305" s="47" t="s">
        <v>110</v>
      </c>
      <c r="M305" s="49"/>
      <c r="N305" s="48"/>
      <c r="O305" s="47"/>
      <c r="P305" s="50"/>
      <c r="Q305" s="47"/>
      <c r="R305" s="47"/>
    </row>
    <row r="306" spans="1:18" x14ac:dyDescent="0.25">
      <c r="A306" s="47">
        <f t="shared" si="14"/>
        <v>305</v>
      </c>
      <c r="B306" s="47" t="s">
        <v>7808</v>
      </c>
      <c r="C306" s="47" t="s">
        <v>7805</v>
      </c>
      <c r="D306" s="47" t="s">
        <v>7806</v>
      </c>
      <c r="E306" s="47" t="s">
        <v>7807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7813</v>
      </c>
      <c r="J306" s="48">
        <v>46022</v>
      </c>
      <c r="K306" s="47">
        <v>7889324122</v>
      </c>
      <c r="L306" s="47" t="s">
        <v>110</v>
      </c>
      <c r="M306" s="49"/>
      <c r="N306" s="48"/>
      <c r="O306" s="47"/>
      <c r="P306" s="50"/>
      <c r="Q306" s="47"/>
      <c r="R306" s="47"/>
    </row>
    <row r="307" spans="1:18" x14ac:dyDescent="0.25">
      <c r="A307" s="47">
        <f t="shared" si="14"/>
        <v>306</v>
      </c>
      <c r="B307" s="47"/>
      <c r="C307" s="47"/>
      <c r="D307" s="47"/>
      <c r="E307" s="47"/>
      <c r="F307" s="47"/>
      <c r="G307" s="47"/>
      <c r="H307" s="47" t="str">
        <f t="shared" si="18"/>
        <v>NEW</v>
      </c>
      <c r="I307" s="47"/>
      <c r="J307" s="48"/>
      <c r="K307" s="47"/>
      <c r="L307" s="47"/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4"/>
        <v>307</v>
      </c>
      <c r="B308" s="47"/>
      <c r="C308" s="47"/>
      <c r="D308" s="47"/>
      <c r="E308" s="47"/>
      <c r="F308" s="47"/>
      <c r="G308" s="47"/>
      <c r="H308" s="47" t="str">
        <f t="shared" si="18"/>
        <v>NEW</v>
      </c>
      <c r="I308" s="47"/>
      <c r="J308" s="48"/>
      <c r="K308" s="47"/>
      <c r="L308" s="47"/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/>
      <c r="C309" s="47"/>
      <c r="D309" s="47"/>
      <c r="E309" s="47"/>
      <c r="F309" s="47"/>
      <c r="G309" s="47"/>
      <c r="H309" s="47" t="str">
        <f t="shared" si="18"/>
        <v>NEW</v>
      </c>
      <c r="I309" s="47"/>
      <c r="J309" s="48"/>
      <c r="K309" s="47"/>
      <c r="L309" s="47"/>
      <c r="M309" s="49"/>
      <c r="N309" s="48"/>
      <c r="O309" s="47"/>
      <c r="P309" s="50"/>
      <c r="Q309" s="47"/>
      <c r="R309" s="47"/>
    </row>
    <row r="310" spans="1:18" x14ac:dyDescent="0.25">
      <c r="A310" s="47">
        <f t="shared" si="14"/>
        <v>309</v>
      </c>
      <c r="B310" s="47"/>
      <c r="C310" s="47"/>
      <c r="D310" s="47"/>
      <c r="E310" s="47"/>
      <c r="F310" s="47"/>
      <c r="G310" s="47"/>
      <c r="H310" s="47" t="str">
        <f t="shared" si="18"/>
        <v>NEW</v>
      </c>
      <c r="I310" s="47"/>
      <c r="J310" s="48"/>
      <c r="K310" s="47"/>
      <c r="L310" s="47"/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4"/>
        <v>310</v>
      </c>
      <c r="B311" s="47"/>
      <c r="C311" s="47"/>
      <c r="D311" s="47"/>
      <c r="E311" s="47"/>
      <c r="F311" s="47"/>
      <c r="G311" s="47"/>
      <c r="H311" s="47" t="str">
        <f t="shared" si="18"/>
        <v>NEW</v>
      </c>
      <c r="I311" s="47"/>
      <c r="J311" s="48"/>
      <c r="K311" s="47"/>
      <c r="L311" s="47"/>
      <c r="M311" s="49"/>
      <c r="N311" s="48"/>
      <c r="O311" s="47"/>
      <c r="P311" s="50"/>
      <c r="Q311" s="47"/>
      <c r="R311" s="47"/>
    </row>
    <row r="312" spans="1:18" ht="15.75" x14ac:dyDescent="0.25">
      <c r="F312" s="1"/>
      <c r="G312" s="1"/>
      <c r="H312" s="1"/>
      <c r="I312" s="20"/>
      <c r="J312" s="19"/>
      <c r="K312" s="47"/>
      <c r="M312" t="s">
        <v>44</v>
      </c>
    </row>
    <row r="313" spans="1:18" ht="15.75" x14ac:dyDescent="0.25">
      <c r="F313" s="1"/>
      <c r="G313" s="1"/>
      <c r="H313" s="1"/>
      <c r="I313" s="20"/>
      <c r="K313" s="47"/>
    </row>
    <row r="314" spans="1:18" ht="15.75" x14ac:dyDescent="0.25">
      <c r="F314" s="1"/>
      <c r="G314" s="1"/>
      <c r="H314" s="1"/>
      <c r="I314" s="20"/>
      <c r="K314" s="47"/>
    </row>
    <row r="315" spans="1:18" ht="15.75" x14ac:dyDescent="0.25">
      <c r="F315" s="1"/>
      <c r="G315" s="1"/>
      <c r="H315" s="1"/>
      <c r="I315" s="20"/>
      <c r="K315" s="47"/>
    </row>
    <row r="316" spans="1:18" ht="15.75" x14ac:dyDescent="0.25">
      <c r="C316" s="1"/>
      <c r="D316" s="1"/>
      <c r="E316" s="1"/>
      <c r="F316" s="1"/>
      <c r="G316" s="1"/>
      <c r="H316" s="1"/>
      <c r="I316" s="20"/>
      <c r="K316" s="47"/>
    </row>
    <row r="317" spans="1:18" x14ac:dyDescent="0.25">
      <c r="A317" s="5"/>
      <c r="B317" s="6"/>
      <c r="C317" s="7"/>
      <c r="D317" s="7"/>
      <c r="E317" s="7"/>
      <c r="F317" s="7"/>
      <c r="G317" s="7"/>
      <c r="H317" s="7"/>
      <c r="I317" s="7"/>
      <c r="J317" s="7"/>
      <c r="K317" s="47"/>
      <c r="L317" s="7"/>
      <c r="M317" s="7"/>
      <c r="N317" s="7"/>
      <c r="O317" s="7"/>
      <c r="P317" s="7"/>
      <c r="Q317" s="7"/>
    </row>
    <row r="318" spans="1:18" x14ac:dyDescent="0.25">
      <c r="A318" s="5"/>
      <c r="B318" s="6"/>
      <c r="C318" s="7"/>
      <c r="D318" s="7"/>
      <c r="E318" s="7"/>
      <c r="F318" s="7"/>
      <c r="G318" s="7"/>
      <c r="H318" s="7"/>
      <c r="I318" s="7"/>
      <c r="J318" s="7"/>
      <c r="K318" s="47"/>
      <c r="L318" s="7"/>
      <c r="M318" s="7"/>
      <c r="N318" s="7"/>
      <c r="O318" s="7"/>
      <c r="P318" s="7"/>
      <c r="Q318" s="7"/>
    </row>
    <row r="319" spans="1:18" x14ac:dyDescent="0.25">
      <c r="K319" s="47"/>
    </row>
    <row r="320" spans="1:18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x14ac:dyDescent="0.25">
      <c r="K451" s="44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H265:J269 H270:H273 J270:J273 H274:J274 H275:H282 J275:J282 I276:I282 H283:J290 I285:I293 H291 J291 A297:B297 A298:A300 K298:R300 A301:B301 A307:R311 K312:K401 H292:J303 L264:R297 G304:J304 A302:A306 H306:I306 G305:I305 J305:J306 K299:K306 L301:R306 B297:G306">
    <cfRule type="expression" dxfId="11" priority="4">
      <formula>CELL("row")=ROW()</formula>
    </cfRule>
  </conditionalFormatting>
  <conditionalFormatting sqref="B257:G290 B291:B300 C291:G301">
    <cfRule type="expression" dxfId="10" priority="2">
      <formula>CELL("row")=ROW()</formula>
    </cfRule>
  </conditionalFormatting>
  <conditionalFormatting sqref="G266">
    <cfRule type="expression" dxfId="9" priority="1">
      <formula>CELL("row")=ROW()</formula>
    </cfRule>
  </conditionalFormatting>
  <conditionalFormatting sqref="K313:O323 L312:O312">
    <cfRule type="expression" dxfId="8" priority="13">
      <formula>ROW(M93)=HighlightRow</formula>
    </cfRule>
  </conditionalFormatting>
  <conditionalFormatting sqref="P312:Q323">
    <cfRule type="expression" dxfId="7" priority="17">
      <formula>ROW(S93)=HighlightRow</formula>
    </cfRule>
  </conditionalFormatting>
  <conditionalFormatting sqref="S105:XFD105">
    <cfRule type="expression" dxfId="6" priority="18">
      <formula>ROW(T94)=HighlightRow</formula>
    </cfRule>
  </conditionalFormatting>
  <conditionalFormatting sqref="S106:XFD114">
    <cfRule type="expression" dxfId="5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18" zoomScale="85" zoomScaleNormal="85" workbookViewId="0">
      <selection activeCell="B123" sqref="B123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7779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7786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7787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19"/>
      <c r="C130" s="19"/>
      <c r="D130" s="19"/>
      <c r="E130" s="19"/>
      <c r="F130" s="21"/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19"/>
      <c r="C131" s="19"/>
      <c r="D131" s="19"/>
      <c r="E131" s="19"/>
      <c r="F131" s="21"/>
      <c r="G131" s="21"/>
      <c r="H131" s="19"/>
    </row>
    <row r="132" spans="1:8" ht="15.75" x14ac:dyDescent="0.25">
      <c r="A132" s="19">
        <f t="shared" si="3"/>
        <v>130</v>
      </c>
      <c r="B132" s="19"/>
      <c r="C132" s="19"/>
      <c r="D132" s="19"/>
      <c r="E132" s="19"/>
      <c r="F132" s="21"/>
      <c r="G132" s="21"/>
      <c r="H132" s="19"/>
    </row>
    <row r="133" spans="1:8" ht="15.75" x14ac:dyDescent="0.25">
      <c r="A133" s="19">
        <f t="shared" si="3"/>
        <v>131</v>
      </c>
      <c r="B133" s="19"/>
      <c r="C133" s="19"/>
      <c r="D133" s="19"/>
      <c r="E133" s="19"/>
      <c r="F133" s="21"/>
      <c r="G133" s="21"/>
      <c r="H133" s="19"/>
    </row>
    <row r="134" spans="1:8" ht="15.75" x14ac:dyDescent="0.25">
      <c r="A134" s="19">
        <f t="shared" si="3"/>
        <v>132</v>
      </c>
      <c r="B134" s="19"/>
      <c r="C134" s="19"/>
      <c r="D134" s="19"/>
      <c r="E134" s="19"/>
      <c r="F134" s="21"/>
      <c r="G134" s="21"/>
      <c r="H134" s="19"/>
    </row>
    <row r="135" spans="1:8" ht="15.75" x14ac:dyDescent="0.25">
      <c r="A135" s="19">
        <f t="shared" si="3"/>
        <v>133</v>
      </c>
      <c r="B135" s="19"/>
      <c r="C135" s="19"/>
      <c r="D135" s="19"/>
      <c r="E135" s="19"/>
      <c r="F135" s="21"/>
      <c r="G135" s="21"/>
      <c r="H135" s="19"/>
    </row>
    <row r="136" spans="1:8" ht="15.75" x14ac:dyDescent="0.25">
      <c r="A136" s="19">
        <f t="shared" si="3"/>
        <v>134</v>
      </c>
      <c r="B136" s="19"/>
      <c r="C136" s="19"/>
      <c r="D136" s="19"/>
      <c r="E136" s="19"/>
      <c r="F136" s="21"/>
      <c r="G136" s="21"/>
      <c r="H136" s="19"/>
    </row>
    <row r="137" spans="1:8" ht="15.75" x14ac:dyDescent="0.25">
      <c r="A137" s="19">
        <f t="shared" si="3"/>
        <v>135</v>
      </c>
      <c r="B137" s="19"/>
      <c r="C137" s="19"/>
      <c r="D137" s="19"/>
      <c r="E137" s="19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29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2025-12-31T11:22:44Z</dcterms:modified>
</cp:coreProperties>
</file>