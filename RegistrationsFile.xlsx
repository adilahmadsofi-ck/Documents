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37CA6AC-26BF-4739-BE05-82F53CC39D4A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4" i="7" l="1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H257" i="4"/>
  <c r="H258" i="4"/>
  <c r="H259" i="4"/>
  <c r="H260" i="4"/>
  <c r="H261" i="4"/>
  <c r="H262" i="4"/>
  <c r="H263" i="4"/>
  <c r="H264" i="4"/>
  <c r="H265" i="4"/>
  <c r="H266" i="4"/>
  <c r="A257" i="4"/>
  <c r="A258" i="4"/>
  <c r="A259" i="4"/>
  <c r="A260" i="4"/>
  <c r="A261" i="4"/>
  <c r="A262" i="4"/>
  <c r="A263" i="4"/>
  <c r="A264" i="4"/>
  <c r="A265" i="4"/>
  <c r="A266" i="4"/>
  <c r="H246" i="4"/>
  <c r="H247" i="4"/>
  <c r="H248" i="4"/>
  <c r="H249" i="4"/>
  <c r="H250" i="4"/>
  <c r="H251" i="4"/>
  <c r="H252" i="4"/>
  <c r="H253" i="4"/>
  <c r="H254" i="4"/>
  <c r="H255" i="4"/>
  <c r="H256" i="4"/>
  <c r="A246" i="4"/>
  <c r="A247" i="4"/>
  <c r="A248" i="4"/>
  <c r="A249" i="4"/>
  <c r="A250" i="4"/>
  <c r="A251" i="4"/>
  <c r="A252" i="4"/>
  <c r="A253" i="4"/>
  <c r="A254" i="4"/>
  <c r="A255" i="4"/>
  <c r="A256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5" i="4"/>
  <c r="H226" i="4"/>
  <c r="H227" i="4"/>
  <c r="H228" i="4"/>
  <c r="H229" i="4"/>
  <c r="H230" i="4"/>
  <c r="H231" i="4"/>
  <c r="H232" i="4"/>
  <c r="A223" i="4"/>
  <c r="A224" i="4"/>
  <c r="A225" i="4"/>
  <c r="A226" i="4"/>
  <c r="A227" i="4"/>
  <c r="A228" i="4"/>
  <c r="A229" i="4"/>
  <c r="A230" i="4"/>
  <c r="A231" i="4"/>
  <c r="A232" i="4"/>
  <c r="H221" i="4"/>
  <c r="H22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22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<sst xmlns="http://schemas.openxmlformats.org/spreadsheetml/2006/main" count="19662" uniqueCount="7560">
  <si>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</si>
  <si>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</si>
  <si>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</si>
  <si>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</si>
  <si>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</si>
  <si>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</si>
  <si>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</si>
  <si>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</si>
  <si>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</si>
  <si>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</si>
  <si>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</si>
  <si>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</si>
  <si>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</si>
  <si>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</si>
  <si>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</si>
  <si>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</si>
  <si>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</si>
  <si>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</si>
  <si>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</si>
  <si>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</si>
  <si>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</si>
  <si>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</si>
  <si>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</si>
  <si>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</si>
  <si>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</si>
  <si>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</si>
  <si>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</si>
  <si>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</si>
  <si>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</si>
  <si>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</si>
  <si>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</si>
  <si>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</si>
  <si>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</si>
  <si>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</si>
  <si>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</si>
  <si>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</si>
  <si>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</si>
  <si>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</si>
  <si>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</si>
  <si>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</si>
  <si>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</si>
  <si>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</si>
  <si>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</si>
  <si>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</si>
  <si>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</si>
  <si>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</si>
  <si>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</si>
  <si>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</si>
  <si>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</si>
  <si>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</si>
  <si>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</si>
  <si>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</si>
  <si>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</si>
  <si>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</si>
  <si>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</si>
  <si>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</si>
  <si>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</si>
  <si>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</si>
  <si>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</si>
  <si>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</si>
  <si>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</si>
  <si>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</si>
  <si>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</si>
  <si>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</si>
  <si>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</si>
  <si>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</si>
  <si>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</si>
  <si>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</si>
  <si>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</si>
  <si>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</si>
  <si>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</si>
  <si>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</si>
  <si>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</si>
  <si>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</si>
  <si>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</si>
  <si>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</si>
  <si>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</si>
  <si>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</si>
  <si>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</si>
  <si>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</si>
  <si>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</si>
  <si>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</si>
  <si>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</si>
  <si>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</si>
  <si>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</si>
  <si>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</si>
  <si>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</si>
  <si>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</si>
  <si>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</si>
  <si>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</si>
  <si>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</si>
  <si>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</si>
  <si>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</si>
  <si>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</si>
  <si>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</si>
  <si>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</si>
  <si>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</si>
  <si>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</si>
  <si>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</si>
  <si>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</si>
  <si>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</si>
  <si>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</si>
  <si>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</si>
  <si>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</si>
  <si>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</si>
  <si>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</si>
  <si>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</si>
  <si>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</si>
  <si>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</si>
  <si>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</si>
  <si>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</si>
  <si>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</si>
  <si>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</si>
  <si>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</si>
  <si>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</si>
  <si>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</si>
  <si>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</si>
  <si>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</si>
  <si>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</si>
  <si>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</si>
  <si>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</si>
  <si>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</si>
  <si>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</si>
  <si>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</si>
  <si>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</si>
  <si>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</si>
  <si>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</si>
  <si>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</si>
  <si>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</si>
  <si>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</si>
  <si>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</si>
  <si>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</si>
  <si>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</si>
  <si>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</si>
  <si>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</si>
  <si>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</si>
  <si>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</si>
  <si>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</si>
  <si>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</si>
  <si>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</si>
  <si>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</si>
  <si>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</si>
  <si>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</si>
  <si>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</si>
  <si>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</si>
  <si>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</si>
  <si>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</si>
  <si>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</si>
  <si>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</si>
  <si>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</si>
  <si>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</si>
  <si>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</si>
  <si>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</si>
  <si>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</si>
  <si>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</si>
  <si>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</si>
  <si>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</si>
  <si>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</si>
  <si>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</si>
  <si>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</si>
  <si>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</si>
  <si>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</si>
  <si>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</si>
  <si>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</si>
  <si>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</si>
  <si>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</si>
  <si>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</si>
  <si>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</si>
  <si>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</si>
  <si>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</si>
  <si>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</si>
  <si>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</si>
  <si>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</si>
  <si>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</si>
  <si>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</si>
  <si>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</si>
  <si>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</si>
  <si>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</si>
  <si>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</si>
  <si>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</si>
  <si>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</si>
  <si>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</si>
  <si>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</si>
  <si>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</si>
  <si>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</si>
  <si>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</si>
  <si>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</si>
  <si>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</si>
  <si>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</si>
  <si>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</si>
  <si>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</si>
  <si>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</si>
  <si>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</si>
  <si>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</si>
  <si>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</si>
  <si>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</si>
  <si>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</si>
  <si>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</si>
  <si>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</si>
  <si>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</si>
  <si>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</si>
  <si>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</si>
  <si>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</si>
  <si>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</si>
  <si>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</si>
  <si>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</si>
  <si>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</si>
  <si>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</si>
  <si>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</si>
  <si>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</si>
  <si>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</si>
  <si>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</si>
  <si>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</si>
  <si>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</si>
  <si>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</si>
  <si>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</si>
  <si>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</si>
  <si>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</si>
  <si>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</si>
  <si>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</si>
  <si>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</si>
  <si>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</si>
  <si>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</si>
  <si>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</si>
  <si>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</si>
  <si>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</si>
  <si>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</si>
  <si>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</si>
  <si>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</si>
  <si>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</si>
  <si>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</si>
  <si>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</si>
  <si>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</si>
  <si>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</si>
  <si>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</si>
  <si>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</si>
  <si>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</si>
  <si>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</si>
  <si>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</si>
  <si>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</si>
  <si>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</si>
  <si>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</si>
  <si>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</si>
  <si>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</si>
  <si>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</si>
  <si>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</si>
  <si>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</si>
  <si>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</si>
  <si>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</si>
  <si>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</si>
  <si>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</si>
  <si>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</si>
  <si>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</si>
  <si>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</si>
  <si>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</si>
  <si>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</si>
  <si>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</si>
  <si>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</si>
  <si>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</si>
  <si>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</si>
  <si>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</si>
  <si>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</si>
  <si>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</si>
  <si>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</si>
  <si>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</si>
  <si>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</si>
  <si>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</si>
  <si>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</si>
  <si>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</si>
  <si>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</si>
  <si>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</si>
  <si>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</si>
  <si>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</si>
  <si>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</si>
  <si>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</si>
  <si>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</si>
  <si>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</si>
  <si>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</si>
  <si>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</si>
  <si>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</si>
  <si>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</si>
  <si>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</si>
  <si>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</si>
  <si>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</si>
  <si>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</si>
  <si>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</si>
  <si>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</si>
  <si>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</si>
  <si>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</si>
  <si>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</si>
  <si>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</si>
  <si>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</si>
  <si>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</si>
  <si>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</si>
  <si>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</si>
  <si>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</si>
  <si>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</si>
  <si>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</si>
  <si>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</si>
  <si>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</si>
  <si>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</si>
  <si>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</si>
  <si>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</si>
  <si>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</si>
  <si>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</si>
  <si>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</si>
  <si>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</si>
  <si>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</si>
  <si>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</si>
  <si>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</si>
  <si>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</si>
  <si>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</si>
  <si>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</si>
  <si>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</si>
  <si>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</si>
  <si>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</si>
  <si>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</si>
  <si>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</si>
  <si>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</si>
  <si>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</si>
  <si>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</si>
  <si>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</si>
  <si>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</si>
  <si>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</si>
  <si>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</si>
  <si>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</si>
  <si>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</si>
  <si>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</si>
  <si>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</si>
  <si>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</si>
  <si>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</si>
  <si>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</si>
  <si>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</si>
  <si>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</si>
  <si>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</si>
  <si>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</si>
  <si>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</si>
  <si>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</si>
  <si>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</si>
  <si>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</si>
  <si>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</si>
  <si>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</si>
  <si>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</si>
  <si>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</si>
  <si>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</si>
  <si>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</si>
  <si>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</si>
  <si>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</si>
  <si>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</si>
  <si>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</si>
  <si>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</si>
  <si>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</si>
  <si>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</si>
  <si>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</si>
  <si>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</si>
  <si>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</si>
  <si>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</si>
  <si>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</si>
  <si>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</si>
  <si>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</si>
  <si>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</si>
  <si>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</si>
  <si>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</si>
  <si>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</si>
  <si>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</si>
  <si>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</si>
  <si>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</si>
  <si>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</si>
  <si>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</si>
  <si>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</si>
  <si>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</si>
  <si>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</si>
  <si>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</si>
  <si>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</si>
  <si>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</si>
  <si>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</si>
  <si>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</si>
  <si>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</si>
  <si>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</si>
  <si>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</si>
  <si>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</si>
  <si>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</si>
  <si>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</si>
  <si>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</si>
  <si>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</si>
  <si>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</si>
  <si>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</si>
  <si>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</si>
  <si>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</si>
  <si>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</si>
  <si>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</si>
  <si>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</si>
  <si>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</si>
  <si>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</si>
  <si>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</si>
  <si>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</si>
  <si>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</si>
  <si>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</si>
  <si>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</si>
  <si>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</si>
  <si>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</si>
  <si>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</si>
  <si>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</si>
  <si>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</si>
  <si>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</si>
  <si>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</si>
  <si>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</si>
  <si>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</si>
  <si>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</si>
  <si>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</si>
  <si>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</si>
  <si>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</si>
  <si>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</si>
  <si>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</si>
  <si>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</si>
  <si>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</si>
  <si>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</si>
  <si>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</si>
  <si>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</si>
  <si>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</si>
  <si>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</si>
  <si>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</si>
  <si>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</si>
  <si>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</si>
  <si>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</si>
  <si>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</si>
  <si>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</si>
  <si>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</si>
  <si>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</si>
  <si>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</si>
  <si>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</si>
  <si>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</si>
  <si>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</si>
  <si>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</si>
  <si>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</si>
  <si>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</si>
  <si>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</si>
  <si>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</si>
  <si>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</si>
  <si>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</si>
  <si>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</si>
  <si>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</si>
  <si>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</si>
  <si>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</si>
  <si>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</si>
  <si>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</si>
  <si>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</si>
  <si>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</si>
  <si>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</si>
  <si>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</si>
  <si>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</si>
  <si>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</si>
  <si>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</si>
  <si>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</si>
  <si>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</si>
  <si>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</si>
  <si>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</si>
  <si>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</si>
  <si>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</si>
  <si>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</si>
  <si>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</si>
  <si>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</si>
  <si>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</si>
  <si>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</si>
  <si>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</si>
  <si>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</si>
  <si>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</si>
  <si>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</si>
  <si>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</si>
  <si>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</si>
  <si>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</si>
  <si>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</si>
  <si>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</si>
  <si>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</si>
  <si>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</si>
  <si>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</si>
  <si>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</si>
  <si>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</si>
  <si>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</si>
  <si>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</si>
  <si>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</si>
  <si>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</si>
  <si>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</si>
  <si>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</si>
  <si>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</si>
  <si>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</si>
  <si>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</si>
  <si>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</si>
  <si>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</si>
  <si>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</si>
  <si>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</si>
  <si>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</si>
  <si>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</si>
  <si>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</si>
  <si>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</si>
  <si>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</si>
  <si>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</si>
  <si>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</si>
  <si>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</si>
  <si>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</si>
  <si>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</si>
  <si>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</si>
  <si>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</si>
  <si>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</si>
  <si>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</si>
  <si>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</si>
  <si>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</si>
  <si>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</si>
  <si>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</si>
  <si>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</si>
  <si>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</si>
  <si>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</si>
  <si>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</si>
  <si>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</si>
  <si>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</si>
  <si>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</si>
  <si>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</si>
  <si>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</si>
  <si>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</si>
  <si>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</si>
  <si>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</si>
  <si>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</si>
  <si>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</si>
  <si>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</si>
  <si>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</si>
  <si>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</si>
  <si>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</si>
  <si>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</si>
  <si>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</si>
  <si>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</si>
  <si>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</si>
  <si>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</si>
  <si>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</si>
  <si>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</si>
  <si>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</si>
  <si>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</si>
  <si>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</si>
  <si>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</si>
  <si>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</si>
  <si>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</si>
  <si>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</si>
  <si>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</si>
  <si>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</si>
  <si>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</si>
  <si>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</si>
  <si>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</si>
  <si>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</si>
  <si>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</si>
  <si>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</si>
  <si>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</si>
  <si>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</si>
  <si>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</si>
  <si>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</si>
  <si>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</si>
  <si>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</si>
  <si>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</si>
  <si>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</si>
  <si>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</si>
  <si>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</si>
  <si>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</si>
  <si>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</si>
  <si>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</si>
  <si>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</si>
  <si>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</si>
  <si>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</si>
  <si>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</si>
  <si>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</si>
  <si>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</si>
  <si>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</si>
  <si>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</si>
  <si>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</si>
  <si>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</si>
  <si>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</si>
  <si>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</si>
  <si>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</si>
  <si>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</si>
  <si>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</si>
  <si>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</si>
  <si>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</si>
  <si>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</si>
  <si>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</si>
  <si>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</si>
  <si>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</si>
  <si>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</si>
  <si>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</si>
  <si>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</si>
  <si>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</si>
  <si>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</si>
  <si>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</si>
  <si>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</si>
  <si>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</si>
  <si>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</si>
  <si>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</si>
  <si>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</si>
  <si>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</si>
  <si>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</si>
  <si>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</si>
  <si>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</si>
  <si>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</si>
  <si>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</si>
  <si>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</si>
  <si>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</si>
  <si>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</si>
  <si>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</si>
  <si>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</si>
  <si>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</si>
  <si>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</si>
  <si>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</si>
  <si>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</si>
  <si>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</si>
  <si>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</si>
  <si>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</si>
  <si>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</si>
  <si>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</si>
  <si>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</si>
  <si>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</si>
  <si>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</si>
  <si>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</si>
  <si>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</si>
  <si>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</si>
  <si>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</si>
  <si>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</si>
  <si>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</si>
  <si>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</si>
  <si>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</si>
  <si>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</si>
  <si>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</si>
  <si>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</si>
  <si>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</si>
  <si>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</si>
  <si>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</si>
  <si>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</si>
  <si>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</si>
  <si>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</si>
  <si>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</si>
  <si>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</si>
  <si>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</si>
  <si>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</si>
  <si>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</si>
  <si>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</si>
  <si>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</si>
  <si>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</si>
  <si>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</si>
  <si>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</si>
  <si>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</si>
  <si>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</si>
  <si>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</si>
  <si>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</si>
  <si>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</si>
  <si>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</si>
  <si>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</si>
  <si>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</si>
  <si>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</si>
  <si>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</si>
  <si>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</si>
  <si>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</si>
  <si>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</si>
  <si>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</si>
  <si>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</si>
  <si>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</si>
  <si>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</si>
  <si>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</si>
  <si>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</si>
  <si>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</si>
  <si>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</si>
  <si>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</si>
  <si>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</si>
  <si>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</si>
  <si>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</si>
  <si>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</si>
  <si>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</si>
  <si>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</si>
  <si>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</si>
  <si>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</si>
  <si>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</si>
  <si>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</si>
  <si>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</si>
  <si>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</si>
  <si>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</si>
  <si>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</si>
  <si>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</si>
  <si>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</si>
  <si>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</si>
  <si>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</si>
  <si>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</si>
  <si>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</si>
  <si>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</si>
  <si>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</si>
  <si>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</si>
  <si>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</si>
  <si>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</si>
  <si>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</si>
  <si>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</si>
  <si>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</si>
  <si>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</si>
  <si>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</si>
  <si>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</si>
  <si>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</si>
  <si>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</si>
  <si>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</si>
  <si>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</si>
  <si>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</si>
  <si>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</si>
  <si>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</si>
  <si>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</si>
  <si>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</si>
  <si>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</si>
  <si>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</si>
  <si>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</si>
  <si>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</si>
  <si>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</si>
  <si>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</si>
  <si>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</si>
  <si>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</si>
  <si>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</si>
  <si>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</si>
  <si>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</si>
  <si>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</si>
  <si>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</si>
  <si>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</si>
  <si>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</si>
  <si>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</si>
  <si>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</si>
  <si>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</si>
  <si>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</si>
  <si>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</si>
  <si>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</si>
  <si>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</si>
  <si>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</si>
  <si>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</si>
  <si>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</si>
  <si>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</si>
  <si>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</si>
  <si>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</si>
  <si>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</si>
  <si>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</si>
  <si>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</si>
  <si>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</si>
  <si>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</si>
  <si>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</si>
  <si>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</si>
  <si>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</si>
  <si>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</si>
  <si>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</si>
  <si>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</si>
  <si>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</si>
  <si>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</si>
  <si>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</si>
  <si>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</si>
  <si>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</si>
  <si>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</si>
  <si>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</si>
  <si>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</si>
  <si>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</si>
  <si>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</si>
  <si>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</si>
  <si>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</si>
  <si>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</si>
  <si>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</si>
  <si>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</si>
  <si>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</si>
  <si>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</si>
  <si>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</si>
  <si>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</si>
  <si>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</si>
  <si>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</si>
  <si>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</si>
  <si>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</si>
  <si>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</si>
  <si>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</si>
  <si>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</si>
  <si>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</si>
  <si>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</si>
  <si>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</si>
  <si>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</si>
  <si>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</si>
  <si>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</si>
  <si>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</si>
  <si>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</si>
  <si>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</si>
  <si>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</si>
  <si>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</si>
  <si>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</si>
  <si>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</si>
  <si>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</si>
  <si>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</si>
  <si>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</si>
  <si>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</si>
  <si>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</si>
  <si>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</si>
  <si>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</si>
  <si>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</si>
  <si>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</si>
  <si>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</si>
  <si>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</si>
  <si>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</si>
  <si>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</si>
  <si>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</si>
  <si>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</si>
  <si>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</si>
  <si>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</si>
  <si>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</si>
  <si>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</si>
  <si>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</si>
  <si>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</si>
  <si>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</si>
  <si>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</si>
  <si>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</si>
  <si>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</si>
  <si>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</si>
  <si>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</si>
  <si>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</si>
  <si>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</si>
  <si>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</si>
  <si>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</si>
  <si>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</si>
  <si>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</si>
  <si>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</si>
  <si>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</si>
  <si>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</si>
  <si>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</si>
  <si>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</si>
  <si>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</si>
  <si>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</si>
  <si>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</si>
  <si>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</si>
  <si>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</si>
  <si>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</si>
  <si>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</si>
  <si>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</si>
  <si>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</si>
  <si>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</si>
  <si>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</si>
  <si>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</si>
  <si>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</si>
  <si>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</si>
  <si>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</si>
  <si>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</si>
  <si>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</si>
  <si>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</si>
  <si>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</si>
  <si>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</si>
  <si>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</si>
  <si>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</si>
  <si>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</si>
  <si>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</si>
  <si>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</si>
  <si>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</si>
  <si>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</si>
  <si>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</si>
  <si>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</si>
  <si>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</si>
  <si>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</si>
  <si>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</si>
  <si>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</si>
  <si>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</si>
  <si>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</si>
  <si>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</si>
  <si>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</si>
  <si>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</si>
  <si>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</si>
  <si>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</si>
  <si>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</si>
  <si>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</si>
  <si>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</si>
  <si>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</si>
  <si>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</si>
  <si>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</si>
  <si>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</si>
  <si>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</si>
  <si>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</si>
  <si>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</si>
  <si>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</si>
  <si>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</si>
  <si>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</si>
  <si>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</si>
  <si>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</si>
  <si>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</si>
  <si>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</si>
  <si>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</si>
  <si>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</si>
  <si>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</si>
  <si>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</si>
  <si>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</si>
  <si>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</si>
  <si>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</si>
  <si>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</si>
  <si>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</si>
  <si>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</si>
  <si>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</si>
  <si>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</si>
  <si>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</si>
  <si>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</si>
  <si>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</si>
  <si>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</si>
  <si>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</si>
  <si>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</si>
  <si>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</si>
  <si>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</si>
  <si>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</si>
  <si>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</si>
  <si>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</si>
  <si>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</si>
  <si>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</si>
  <si>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</si>
  <si>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</si>
  <si>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</si>
  <si>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</si>
  <si>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</si>
  <si>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</si>
  <si>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</si>
  <si>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</si>
  <si>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</si>
  <si>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</si>
  <si>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</si>
  <si>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</si>
  <si>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</si>
  <si>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</si>
  <si>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</si>
  <si>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</si>
  <si>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</si>
  <si>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</si>
  <si>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</si>
  <si>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</si>
  <si>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</si>
  <si>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</si>
  <si>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</si>
  <si>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</si>
  <si>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</si>
  <si>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</si>
  <si>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</si>
  <si>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</si>
  <si>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</si>
  <si>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</si>
  <si>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</si>
  <si>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</si>
  <si>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</si>
  <si>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</si>
  <si>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</si>
  <si>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</si>
  <si>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</si>
  <si>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</si>
  <si>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</si>
  <si>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</si>
  <si>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</si>
  <si>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</si>
  <si>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</si>
  <si>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</si>
  <si>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</si>
  <si>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</si>
  <si>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</si>
  <si>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</si>
  <si>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</si>
  <si>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</si>
  <si>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</si>
  <si>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</si>
  <si>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</si>
  <si>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</si>
  <si>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</si>
  <si>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</si>
  <si>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</si>
  <si>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</si>
  <si>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</si>
  <si>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</si>
  <si>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</si>
  <si>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</si>
  <si>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</si>
  <si>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</si>
  <si>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</si>
  <si>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</si>
  <si>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</si>
  <si>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</si>
  <si>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</si>
  <si>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</si>
  <si>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</si>
  <si>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</si>
  <si>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</si>
  <si>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</si>
  <si>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</si>
  <si>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</si>
  <si>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</si>
  <si>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</si>
  <si>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</si>
  <si>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</si>
  <si>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</si>
  <si>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</si>
  <si>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</si>
  <si>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</si>
  <si>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</si>
  <si>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</si>
  <si>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</si>
  <si>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</si>
  <si>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</si>
  <si>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</si>
  <si>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</si>
  <si>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</si>
  <si>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</si>
  <si>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</si>
  <si>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</si>
  <si>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</si>
  <si>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</si>
  <si>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</si>
  <si>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</si>
  <si>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</si>
  <si>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</si>
  <si>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</si>
  <si>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</si>
  <si>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</si>
  <si>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</si>
  <si>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</si>
  <si>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</si>
  <si>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</si>
  <si>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</si>
  <si>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</si>
  <si>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</si>
  <si>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</si>
  <si>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</si>
  <si>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</si>
  <si>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</si>
  <si>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</si>
  <si>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</si>
  <si>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</si>
  <si>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</si>
  <si>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</si>
  <si>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</si>
  <si>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</si>
  <si>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</si>
  <si>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</si>
  <si>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</si>
  <si>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</si>
  <si>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</si>
  <si>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</si>
  <si>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</si>
  <si>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</si>
  <si>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</si>
  <si>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</si>
  <si>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</si>
  <si>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</si>
  <si>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</si>
  <si>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</si>
  <si>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</si>
  <si>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</si>
  <si>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</si>
  <si>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</si>
  <si>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</si>
  <si>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</si>
  <si>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</si>
  <si>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</si>
  <si>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</si>
  <si>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</si>
  <si>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</si>
  <si>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</si>
  <si>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</si>
  <si>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</si>
  <si>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</si>
  <si>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</si>
  <si>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</si>
  <si>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</si>
  <si>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</si>
  <si>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</si>
  <si>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</si>
  <si>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</si>
  <si>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</si>
  <si>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</si>
  <si>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</si>
  <si>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</si>
  <si>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</si>
  <si>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</si>
  <si>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</si>
  <si>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</si>
  <si>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</si>
  <si>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</si>
  <si>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</si>
  <si>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</si>
  <si>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</si>
  <si>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</si>
  <si>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</si>
  <si>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</si>
  <si>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</si>
  <si>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</si>
  <si>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</si>
  <si>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</si>
  <si>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</si>
  <si>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</si>
  <si>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</si>
  <si>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</si>
  <si>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</si>
  <si>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</si>
  <si>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</si>
  <si>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</si>
  <si>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</si>
  <si>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</si>
  <si>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</si>
  <si>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</si>
  <si>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</si>
  <si>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</si>
  <si>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</si>
  <si>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</si>
  <si>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</si>
  <si>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</si>
  <si>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</si>
  <si>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</si>
  <si>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</si>
  <si>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</si>
  <si>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</si>
  <si>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</si>
  <si>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</si>
  <si>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</si>
  <si>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</si>
  <si>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</si>
  <si>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</si>
  <si>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</si>
  <si>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</si>
  <si>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</si>
  <si>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</si>
  <si>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</si>
  <si>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</si>
  <si>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</si>
  <si>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</si>
  <si>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</si>
  <si>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</si>
  <si>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</si>
  <si>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</si>
  <si>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</si>
  <si>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</si>
  <si>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</si>
  <si>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</si>
  <si>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</si>
  <si>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</si>
  <si>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</si>
  <si>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</si>
  <si>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</si>
  <si>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</si>
  <si>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</si>
  <si>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</si>
  <si>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</si>
  <si>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</si>
  <si>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</si>
  <si>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</si>
  <si>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</si>
  <si>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</si>
  <si>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</si>
  <si>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</si>
  <si>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</si>
  <si>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</si>
  <si>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</si>
  <si>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</si>
  <si>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</si>
  <si>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</si>
  <si>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</si>
  <si>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</si>
  <si>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</si>
  <si>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</si>
  <si>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</si>
  <si>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</si>
  <si>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</si>
  <si>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</si>
  <si>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</si>
  <si>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</si>
  <si>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</si>
  <si>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</si>
  <si>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</si>
  <si>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</si>
  <si>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</si>
  <si>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</si>
  <si>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</si>
  <si>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</si>
  <si>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</si>
  <si>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</si>
  <si>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</si>
  <si>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</si>
  <si>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</si>
  <si>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</si>
  <si>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</si>
  <si>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</si>
  <si>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</si>
  <si>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</si>
  <si>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</si>
  <si>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</si>
  <si>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</si>
  <si>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</si>
  <si>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</si>
  <si>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</si>
  <si>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</si>
  <si>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</si>
  <si>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</si>
  <si>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</si>
  <si>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</si>
  <si>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</si>
  <si>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</si>
  <si>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</si>
  <si>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</si>
  <si>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</si>
  <si>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</si>
  <si>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</si>
  <si>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</si>
  <si>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</si>
  <si>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</si>
  <si>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</si>
  <si>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</si>
  <si>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</si>
  <si>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</si>
  <si>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</si>
  <si>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</si>
  <si>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</si>
  <si>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</si>
  <si>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</si>
  <si>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</si>
  <si>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</si>
  <si>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</si>
  <si>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</si>
  <si>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</si>
  <si>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</si>
  <si>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</si>
  <si>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</si>
  <si>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</si>
  <si>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</si>
  <si>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</si>
  <si>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</si>
  <si>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</si>
  <si>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</si>
  <si>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</si>
  <si>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</si>
  <si>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</si>
  <si>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</si>
  <si>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</si>
  <si>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</si>
  <si>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</si>
  <si>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</si>
  <si>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</si>
  <si>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</si>
  <si>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</si>
  <si>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</si>
  <si>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</si>
  <si>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</si>
  <si>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</si>
  <si>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</si>
  <si>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</si>
  <si>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</si>
  <si>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</si>
  <si>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</si>
  <si>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</si>
  <si>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</si>
  <si>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</si>
  <si>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</si>
  <si>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</si>
  <si>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</si>
  <si>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</si>
  <si>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</si>
  <si>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</si>
  <si>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</si>
  <si>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</si>
  <si>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</si>
  <si>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</si>
  <si>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</si>
  <si>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</si>
  <si>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</si>
  <si>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</si>
  <si>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</si>
  <si>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</si>
  <si>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</si>
  <si>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</si>
  <si>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</si>
  <si>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</si>
  <si>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</si>
  <si>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</si>
  <si>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</si>
  <si>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</si>
  <si>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</si>
  <si>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</si>
  <si>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</si>
  <si>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</si>
  <si>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</si>
  <si>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</si>
  <si>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</si>
  <si>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</si>
  <si>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</si>
  <si>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</si>
  <si>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</si>
  <si>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</si>
  <si>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</si>
  <si>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</si>
  <si>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</si>
  <si>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</si>
  <si>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</si>
  <si>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</si>
  <si>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</si>
  <si>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</si>
  <si>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</si>
  <si>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</si>
  <si>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</si>
  <si>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</si>
  <si>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</si>
  <si>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</si>
  <si>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</si>
  <si>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</si>
  <si>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</si>
  <si>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</si>
  <si>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</si>
  <si>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</si>
  <si>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</si>
  <si>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</si>
  <si>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</si>
  <si>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</si>
  <si>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</si>
  <si>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</si>
  <si>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</si>
  <si>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</si>
  <si>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</si>
  <si>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</si>
  <si>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</si>
  <si>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</si>
  <si>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</si>
  <si>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</si>
  <si>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</si>
  <si>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</si>
  <si>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</si>
  <si>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</si>
  <si>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</si>
  <si>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</si>
  <si>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</si>
  <si>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</si>
  <si>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</si>
  <si>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</si>
  <si>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</si>
  <si>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</si>
  <si>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</si>
  <si>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</si>
  <si>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</si>
  <si>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</si>
  <si>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</si>
  <si>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</si>
  <si>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</si>
  <si>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</si>
  <si>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</si>
  <si>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</si>
  <si>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</si>
  <si>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</si>
  <si>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</si>
  <si>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</si>
  <si>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</si>
  <si>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</si>
  <si>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</si>
  <si>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</si>
  <si>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</si>
  <si>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</si>
  <si>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</si>
  <si>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</si>
  <si>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</si>
  <si>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</si>
  <si>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</si>
  <si>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</si>
  <si>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</si>
  <si>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</si>
  <si>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</si>
  <si>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</si>
  <si>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</si>
  <si>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</si>
  <si>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</si>
  <si>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</si>
  <si>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</si>
  <si>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</si>
  <si>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</si>
  <si>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</si>
  <si>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</si>
  <si>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</si>
  <si>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</si>
  <si>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</si>
  <si>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</si>
  <si>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</si>
  <si>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</si>
  <si>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</si>
  <si>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</si>
  <si>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</si>
  <si>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</si>
  <si>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</si>
  <si>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</si>
  <si>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</si>
  <si>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</si>
  <si>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</si>
  <si>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</si>
  <si>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</si>
  <si>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</si>
  <si>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</si>
  <si>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</si>
  <si>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</si>
  <si>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</si>
  <si>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</si>
  <si>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</si>
  <si>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</si>
  <si>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</si>
  <si>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</si>
  <si>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</si>
  <si>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</si>
  <si>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</si>
  <si>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</si>
  <si>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</si>
  <si>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</si>
  <si>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</si>
  <si>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</si>
  <si>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</si>
  <si>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</si>
  <si>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</si>
  <si>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</si>
  <si>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</si>
  <si>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</si>
  <si>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</si>
  <si>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</si>
  <si>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</si>
  <si>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</si>
  <si>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</si>
  <si>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</si>
  <si>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</si>
  <si>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</si>
  <si>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</si>
  <si>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</si>
  <si>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</si>
  <si>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</si>
  <si>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</si>
  <si>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</si>
  <si>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</si>
  <si>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</si>
  <si>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</si>
  <si>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</si>
  <si>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</si>
  <si>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</si>
  <si>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</si>
  <si>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</si>
  <si>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</si>
  <si>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</si>
  <si>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</si>
  <si>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</si>
  <si>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</si>
  <si>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</si>
  <si>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</si>
  <si>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</si>
  <si>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</si>
  <si>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</si>
  <si>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</si>
  <si>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</si>
  <si>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</si>
  <si>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</si>
  <si>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</si>
  <si>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</si>
  <si>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</si>
  <si>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</si>
  <si>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</si>
  <si>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</si>
  <si>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</si>
  <si>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</si>
  <si>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</si>
  <si>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</si>
  <si>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</si>
  <si>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</si>
  <si>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</si>
  <si>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</si>
  <si>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</si>
  <si>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</si>
  <si>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</si>
  <si>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</si>
  <si>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</si>
  <si>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</si>
  <si>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</si>
  <si>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</si>
  <si>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</si>
  <si>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</si>
  <si>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</si>
  <si>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</si>
  <si>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</si>
  <si>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</si>
  <si>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</si>
  <si>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</si>
  <si>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</si>
  <si>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</si>
  <si>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</si>
  <si>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</si>
  <si>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</si>
  <si>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</si>
  <si>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</si>
  <si>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</si>
  <si>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</si>
  <si>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</si>
  <si>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</si>
  <si>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</si>
  <si>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</si>
  <si>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</si>
  <si>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</si>
  <si>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</si>
  <si>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</si>
  <si>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</si>
  <si>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</si>
  <si>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</si>
  <si>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</si>
  <si>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</si>
  <si>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</si>
  <si>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</si>
  <si>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</si>
  <si>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</si>
  <si>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</si>
  <si>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</si>
  <si>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</si>
  <si>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</si>
  <si>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</si>
  <si>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</si>
  <si>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</si>
  <si>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</si>
  <si>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</si>
  <si>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</si>
  <si>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</si>
  <si>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</si>
  <si>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</si>
  <si>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</si>
  <si>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</si>
  <si>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</si>
  <si>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</si>
  <si>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</si>
  <si>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</si>
  <si>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</si>
  <si>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</si>
  <si>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</si>
  <si>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</si>
  <si>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</si>
  <si>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</si>
  <si>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</si>
  <si>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</si>
  <si>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</si>
  <si>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</si>
  <si>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</si>
  <si>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</si>
  <si>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</si>
  <si>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</si>
  <si>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</si>
  <si>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</si>
  <si>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</si>
  <si>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</si>
  <si>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</si>
  <si>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</si>
  <si>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</si>
  <si>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</si>
  <si>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</si>
  <si>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</si>
  <si>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</si>
  <si>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</si>
  <si>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</si>
  <si>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</si>
  <si>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</si>
  <si>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</si>
  <si>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</si>
  <si>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</si>
  <si>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</si>
  <si>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</si>
  <si>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</si>
  <si>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</si>
  <si>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</si>
  <si>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</si>
  <si>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</si>
  <si>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</si>
  <si>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</si>
  <si>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</si>
  <si>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</si>
  <si>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</si>
  <si>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</si>
  <si>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</si>
  <si>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</si>
  <si>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</si>
  <si>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</si>
  <si>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</si>
  <si>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</si>
  <si>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</si>
  <si>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</si>
  <si>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</si>
  <si>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</si>
  <si>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</si>
  <si>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</si>
  <si>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</si>
  <si>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</si>
  <si>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</si>
  <si>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</si>
  <si>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</si>
  <si>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</si>
  <si>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</si>
  <si>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</si>
  <si>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</si>
  <si>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</si>
  <si>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</si>
  <si>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</si>
  <si>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</si>
  <si>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</si>
  <si>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</si>
  <si>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</si>
  <si>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</si>
  <si>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</si>
  <si>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</si>
  <si>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</si>
  <si>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</si>
  <si>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</si>
  <si>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</si>
  <si>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</si>
  <si>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</si>
  <si>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</si>
  <si>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</si>
  <si>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</si>
  <si>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</si>
  <si>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</si>
  <si>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</si>
  <si>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</si>
  <si>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</si>
  <si>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</si>
  <si>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</si>
  <si>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</si>
  <si>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</si>
  <si>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</si>
  <si>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</si>
  <si>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</si>
  <si>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</si>
  <si>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</si>
  <si>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</si>
  <si>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</si>
  <si>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</si>
  <si>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</si>
  <si>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</si>
  <si>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</si>
  <si>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</si>
  <si>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</si>
  <si>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</si>
  <si>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</si>
  <si>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</si>
  <si>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</si>
  <si>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</si>
  <si>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</si>
  <si>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</si>
  <si>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</si>
  <si>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</si>
  <si>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</si>
  <si>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</si>
  <si>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</si>
  <si>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</si>
  <si>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</si>
  <si>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</si>
  <si>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</si>
  <si>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</si>
  <si>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</si>
  <si>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</si>
  <si>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</si>
  <si>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</si>
  <si>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</si>
  <si>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</si>
  <si>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</si>
  <si>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</si>
  <si>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</si>
  <si>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</si>
  <si>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</si>
  <si>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</si>
  <si>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</si>
  <si>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</si>
  <si>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</si>
  <si>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</si>
  <si>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</si>
  <si>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</si>
  <si>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</si>
  <si>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</si>
  <si>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</si>
  <si>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</si>
  <si>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</si>
  <si>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</si>
  <si>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</si>
  <si>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</si>
  <si>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</si>
  <si>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</si>
  <si>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</si>
  <si>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</si>
  <si>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</si>
  <si>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</si>
  <si>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</si>
  <si>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</si>
  <si>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</si>
  <si>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</si>
  <si>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</si>
  <si>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</si>
  <si>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</si>
  <si>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</si>
  <si>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</si>
  <si>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</si>
  <si>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</si>
  <si>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</si>
  <si>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</si>
  <si>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</si>
  <si>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</si>
  <si>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</si>
  <si>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</si>
  <si>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</si>
  <si>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</si>
  <si>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</si>
  <si>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</si>
  <si>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</si>
  <si>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</si>
  <si>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</si>
  <si>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</si>
  <si>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</si>
  <si>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</si>
  <si>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</si>
  <si>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</si>
  <si>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</si>
  <si>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</si>
  <si>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</si>
  <si>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</si>
  <si>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</si>
  <si>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</si>
  <si>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</si>
  <si>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</si>
  <si>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</si>
  <si>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</si>
  <si>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</si>
  <si>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</si>
  <si>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</si>
  <si>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</si>
  <si>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</si>
  <si>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</si>
  <si>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</si>
  <si>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</si>
  <si>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</si>
  <si>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</si>
  <si>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</si>
  <si>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</si>
  <si>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</si>
  <si>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</si>
  <si>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</si>
  <si>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</si>
  <si>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</si>
  <si>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</si>
  <si>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</si>
  <si>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</si>
  <si>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</si>
  <si>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</si>
  <si>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</si>
  <si>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</si>
  <si>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</si>
  <si>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</si>
  <si>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</si>
  <si>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</si>
  <si>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</si>
  <si>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</si>
  <si>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</si>
  <si>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</si>
  <si>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</si>
  <si>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</si>
  <si>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</si>
  <si>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</si>
  <si>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</si>
  <si>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</si>
  <si>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</si>
  <si>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</si>
  <si>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</si>
  <si>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</si>
  <si>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</si>
  <si>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</si>
  <si>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</si>
  <si>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</si>
  <si>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</si>
  <si>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</si>
  <si>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</si>
  <si>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</si>
  <si>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</si>
  <si>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</si>
  <si>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</si>
  <si>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</si>
  <si>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</si>
  <si>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</si>
  <si>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</si>
  <si>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</si>
  <si>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</si>
  <si>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</si>
  <si>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</si>
  <si>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</si>
  <si>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</si>
  <si>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</si>
  <si>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</si>
  <si>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</si>
  <si>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</si>
  <si>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</si>
  <si>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</si>
  <si>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</si>
  <si>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</si>
  <si>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</si>
  <si>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</si>
  <si>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</si>
  <si>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</si>
  <si>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</si>
  <si>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</si>
  <si>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</si>
  <si>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</si>
  <si>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</si>
  <si>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</si>
  <si>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</si>
  <si>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</si>
  <si>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</si>
  <si>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</si>
  <si>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</si>
  <si>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</si>
  <si>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</si>
  <si>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</si>
  <si>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</si>
  <si>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</si>
  <si>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</si>
  <si>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</si>
  <si>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</si>
  <si>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</si>
  <si>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</si>
  <si>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</si>
  <si>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</si>
  <si>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</si>
  <si>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</si>
  <si>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</si>
  <si>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</si>
  <si>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</si>
  <si>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</si>
  <si>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</si>
  <si>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</si>
  <si>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</si>
  <si>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</si>
  <si>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</si>
  <si>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</si>
  <si>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</si>
  <si>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</si>
  <si>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</si>
  <si>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</si>
  <si>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</si>
  <si>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</si>
  <si>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</si>
  <si>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</si>
  <si>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</si>
  <si>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</si>
  <si>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</si>
  <si>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</si>
  <si>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</si>
  <si>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</si>
  <si>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</si>
  <si>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</si>
  <si>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</si>
  <si>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</si>
  <si>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</si>
  <si>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</si>
  <si>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</si>
  <si>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</si>
  <si>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</si>
  <si>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</si>
  <si>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</si>
  <si>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</si>
  <si>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</si>
  <si>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</si>
  <si>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</si>
  <si>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</si>
  <si>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</si>
  <si>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</si>
  <si>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</si>
  <si>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</si>
  <si>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</si>
  <si>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</si>
  <si>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</si>
  <si>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</si>
  <si>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</si>
  <si>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</si>
  <si>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</si>
  <si>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</si>
  <si>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</si>
  <si>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</si>
  <si>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</si>
  <si>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</si>
  <si>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</si>
  <si>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</si>
  <si>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</si>
  <si>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</si>
  <si>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</si>
  <si>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</si>
  <si>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</si>
  <si>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</si>
  <si>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</si>
  <si>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</si>
  <si>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</si>
  <si>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</si>
  <si>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</si>
  <si>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</si>
  <si>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</si>
  <si>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</si>
  <si>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</si>
  <si>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</si>
  <si>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</si>
  <si>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</si>
  <si>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</si>
  <si>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</si>
  <si>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</si>
  <si>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</si>
  <si>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</si>
  <si>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</si>
  <si>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</si>
  <si>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</si>
  <si>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</si>
  <si>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</si>
  <si>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</si>
  <si>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</si>
  <si>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</si>
  <si>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</si>
  <si>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</si>
  <si>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</si>
  <si>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</si>
  <si>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</si>
  <si>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</si>
  <si>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</si>
  <si>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</si>
  <si>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</si>
  <si>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</si>
  <si>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</si>
  <si>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</si>
  <si>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</si>
  <si>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</si>
  <si>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</si>
  <si>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</si>
  <si>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</si>
  <si>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</si>
  <si>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</si>
  <si>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</si>
  <si>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</si>
  <si>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</si>
  <si>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</si>
  <si>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</si>
  <si>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</si>
  <si>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</si>
  <si>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</si>
  <si>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</si>
  <si>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</si>
  <si>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</si>
  <si>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</si>
  <si>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</si>
  <si>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</si>
  <si>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</si>
  <si>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</si>
  <si>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</si>
  <si>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</si>
  <si>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</si>
  <si>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</si>
  <si>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</si>
  <si>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</si>
  <si>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</si>
  <si>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</si>
  <si>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</si>
  <si>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</si>
  <si>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</si>
  <si>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</si>
  <si>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</si>
  <si>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</si>
  <si>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</si>
  <si>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</si>
  <si>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</si>
  <si>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</si>
  <si>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</si>
  <si>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</si>
  <si>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</si>
  <si>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</si>
  <si>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</si>
  <si>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</si>
  <si>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</si>
  <si>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</si>
  <si>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</si>
  <si>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</si>
  <si>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</si>
  <si>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</si>
  <si>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</si>
  <si>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</si>
  <si>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</si>
  <si>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</si>
  <si>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</si>
  <si>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</si>
  <si>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</si>
  <si>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</si>
  <si>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</si>
  <si>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</si>
  <si>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</si>
  <si>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</si>
  <si>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</si>
  <si>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</si>
  <si>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</si>
  <si>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</si>
  <si>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</si>
  <si>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</si>
  <si>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</si>
  <si>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</si>
  <si>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</si>
  <si>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</si>
  <si>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</si>
  <si>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</si>
  <si>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</si>
  <si>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</si>
  <si>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</si>
  <si>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</si>
  <si>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</si>
  <si>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</si>
  <si>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</si>
  <si>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</si>
  <si>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</si>
  <si>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</si>
  <si>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</si>
  <si>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</si>
  <si>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</si>
  <si>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</si>
  <si>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</si>
  <si>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</si>
  <si>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</si>
  <si>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</si>
  <si>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</si>
  <si>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</si>
  <si>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</si>
  <si>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</si>
  <si>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</si>
  <si>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</si>
  <si>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</si>
  <si>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</si>
  <si>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</si>
  <si>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</si>
  <si>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</si>
  <si>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</si>
  <si>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</si>
  <si>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</si>
  <si>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</si>
  <si>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</si>
  <si>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</si>
  <si>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</si>
  <si>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</si>
  <si>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</si>
  <si>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</si>
  <si>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</si>
  <si>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</si>
  <si>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</si>
  <si>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</si>
  <si>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</si>
  <si>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</si>
  <si>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</si>
  <si>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</si>
  <si>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</si>
  <si>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</si>
  <si>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</si>
  <si>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</si>
  <si>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</si>
  <si>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</si>
  <si>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</si>
  <si>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</si>
  <si>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</si>
  <si>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</si>
  <si>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</si>
  <si>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</si>
  <si>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</si>
  <si>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</si>
  <si>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</si>
  <si>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</si>
  <si>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</si>
  <si>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</si>
  <si>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</si>
  <si>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</si>
  <si>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</si>
  <si>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</si>
  <si>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</si>
  <si>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</si>
  <si>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</si>
  <si>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</si>
  <si>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</si>
  <si>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</si>
  <si>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</si>
  <si>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</si>
  <si>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</si>
  <si>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</si>
  <si>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</si>
  <si>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</si>
  <si>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</si>
  <si>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</si>
  <si>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</si>
  <si>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</si>
  <si>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</si>
  <si>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</si>
  <si>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</si>
  <si>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</si>
  <si>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</si>
  <si>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</si>
  <si>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</si>
  <si>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</si>
  <si>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</si>
  <si>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</si>
  <si>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</si>
  <si>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</si>
  <si>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</si>
  <si>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</si>
  <si>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</si>
  <si>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</si>
  <si>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</si>
  <si>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</si>
  <si>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</si>
  <si>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</si>
  <si>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</si>
  <si>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</si>
  <si>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</si>
  <si>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</si>
  <si>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</si>
  <si>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</si>
  <si>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</si>
  <si>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</si>
  <si>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</si>
  <si>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</si>
  <si>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</si>
  <si>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</si>
  <si>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</si>
  <si>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</si>
  <si>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</si>
  <si>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</si>
  <si>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</si>
  <si>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</si>
  <si>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</si>
  <si>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</si>
  <si>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</si>
  <si>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</si>
  <si>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</si>
  <si>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</si>
  <si>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</si>
  <si>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</si>
  <si>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</si>
  <si>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</si>
  <si>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</si>
  <si>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</si>
  <si>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</si>
  <si>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</si>
  <si>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</si>
  <si>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</si>
  <si>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</si>
  <si>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</si>
  <si>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</si>
  <si>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</si>
  <si>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</si>
  <si>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</si>
  <si>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</si>
  <si>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</si>
  <si>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</si>
  <si>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</si>
  <si>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</si>
  <si>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</si>
  <si>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</si>
  <si>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</si>
  <si>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</si>
  <si>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</si>
  <si>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</si>
  <si>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</si>
  <si>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</si>
  <si>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</si>
  <si>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</si>
  <si>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</si>
  <si>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</si>
  <si>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</si>
  <si>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</si>
  <si>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</si>
  <si>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</si>
  <si>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</si>
  <si>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</si>
  <si>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</si>
  <si>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</si>
  <si>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</si>
  <si>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</si>
  <si>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</si>
  <si>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</si>
  <si>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</si>
  <si>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</si>
  <si>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</si>
  <si>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</si>
  <si>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</si>
  <si>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</si>
  <si>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</si>
  <si>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</si>
  <si>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</si>
  <si>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</si>
  <si>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</si>
  <si>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</si>
  <si>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</si>
  <si>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</si>
  <si>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</si>
  <si>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</si>
  <si>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</si>
  <si>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</si>
  <si>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</si>
  <si>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</si>
  <si>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</si>
  <si>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</si>
  <si>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</si>
  <si>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</si>
  <si>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</si>
  <si>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</si>
  <si>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</si>
  <si>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</si>
  <si>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</si>
  <si>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</si>
  <si>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</si>
  <si>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</si>
  <si>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</si>
  <si>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</si>
  <si>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</si>
  <si>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</si>
  <si>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</si>
  <si>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</si>
  <si>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</si>
  <si>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</si>
  <si>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</si>
  <si>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</si>
  <si>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</si>
  <si>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</si>
  <si>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</si>
  <si>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</si>
  <si>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</si>
  <si>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</si>
  <si>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</si>
  <si>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</si>
  <si>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</si>
  <si>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</si>
  <si>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</si>
  <si>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</si>
  <si>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</si>
  <si>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</si>
  <si>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</si>
  <si>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</si>
  <si>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</si>
  <si>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</si>
  <si>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</si>
  <si>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</si>
  <si>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</si>
  <si>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</si>
  <si>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</si>
  <si>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</si>
  <si>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</si>
  <si>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</si>
  <si>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</si>
  <si>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</si>
  <si>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</si>
  <si>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</si>
  <si>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</si>
  <si>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</si>
  <si>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</si>
  <si>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</si>
  <si>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</si>
  <si>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</si>
  <si>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</si>
  <si>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</si>
  <si>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</si>
  <si>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</si>
  <si>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</si>
  <si>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</si>
  <si>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</si>
  <si>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</si>
  <si>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</si>
  <si>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</si>
  <si>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</si>
  <si>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</si>
  <si>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</si>
  <si>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</si>
  <si>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</si>
  <si>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</si>
  <si>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</si>
  <si>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</si>
  <si>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</si>
  <si>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</si>
  <si>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</si>
  <si>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</si>
  <si>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</si>
  <si>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</si>
  <si>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</si>
  <si>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</si>
  <si>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</si>
  <si>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</si>
  <si>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</si>
  <si>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</si>
  <si>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</si>
  <si>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</si>
  <si>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</si>
  <si>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</si>
  <si>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</si>
  <si>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</si>
  <si>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</si>
  <si>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</si>
  <si>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</si>
  <si>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</si>
  <si>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</si>
  <si>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</si>
  <si>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</si>
  <si>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</si>
  <si>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</si>
  <si>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</si>
  <si>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</si>
  <si>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</si>
  <si>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</si>
  <si>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</si>
  <si>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</si>
  <si>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</si>
  <si>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</si>
  <si>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</si>
  <si>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</si>
  <si>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</si>
  <si>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</si>
  <si>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</si>
  <si>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</si>
  <si>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</si>
  <si>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</si>
  <si>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</si>
  <si>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</si>
  <si>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</si>
  <si>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</si>
  <si>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</si>
  <si>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</si>
  <si>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</si>
  <si>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</si>
  <si>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</si>
  <si>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</si>
  <si>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</si>
  <si>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</si>
  <si>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</si>
  <si>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</si>
  <si>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</si>
  <si>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</si>
  <si>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</si>
  <si>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</si>
  <si>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</si>
  <si>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</si>
  <si>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</si>
  <si>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</si>
  <si>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</si>
  <si>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</si>
  <si>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</si>
  <si>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</si>
  <si>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</si>
  <si>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</si>
  <si>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</si>
  <si>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</si>
  <si>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</si>
  <si>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</si>
  <si>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</si>
  <si>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</si>
  <si>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</si>
  <si>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</si>
  <si>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</si>
  <si>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</si>
  <si>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</si>
  <si>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</si>
  <si>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</si>
  <si>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</si>
  <si>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</si>
  <si>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</si>
  <si>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</si>
  <si>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</si>
  <si>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</si>
  <si>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</si>
  <si>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</si>
  <si>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</si>
  <si>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</si>
  <si>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</si>
  <si>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</si>
  <si>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</si>
  <si>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</si>
  <si>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</si>
  <si>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</si>
  <si>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</si>
  <si>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</si>
  <si>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</si>
  <si>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</si>
  <si>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</si>
  <si>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</si>
  <si>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</si>
  <si>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</si>
  <si>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</si>
  <si>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</si>
  <si>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</si>
  <si>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</si>
  <si>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</si>
  <si>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</si>
  <si>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</si>
  <si>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</si>
  <si>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</si>
  <si>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</si>
  <si>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</si>
  <si>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</si>
  <si>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</si>
  <si>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</si>
  <si>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</si>
  <si>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</si>
  <si>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</si>
  <si>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</si>
  <si>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</si>
  <si>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</si>
  <si>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</si>
  <si>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</si>
  <si>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</si>
  <si>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</si>
  <si>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</si>
  <si>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</si>
  <si>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</si>
  <si>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</si>
  <si>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</si>
  <si>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</si>
  <si>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</si>
  <si>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</si>
  <si>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</si>
  <si>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</si>
  <si>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</si>
  <si>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</si>
  <si>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</si>
  <si>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</si>
  <si>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</si>
  <si>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</si>
  <si>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</si>
  <si>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</si>
  <si>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</si>
  <si>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</si>
  <si>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</si>
  <si>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</si>
  <si>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</si>
  <si>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</si>
  <si>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</si>
  <si>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</si>
  <si>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</si>
  <si>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</si>
  <si>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</si>
  <si>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</si>
  <si>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</si>
  <si>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</si>
  <si>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</si>
  <si>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</si>
  <si>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</si>
  <si>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</si>
  <si>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</si>
  <si>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</si>
  <si>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</si>
  <si>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</si>
  <si>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</si>
  <si>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</si>
  <si>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</si>
  <si>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</si>
  <si>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</si>
  <si>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</si>
  <si>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</si>
  <si>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</si>
  <si>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</si>
  <si>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</si>
  <si>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</si>
  <si>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</si>
  <si>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</si>
  <si>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</si>
  <si>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</si>
  <si>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</si>
  <si>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</si>
  <si>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</si>
  <si>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</si>
  <si>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</si>
  <si>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</si>
  <si>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</si>
  <si>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</si>
  <si>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</si>
  <si>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</si>
  <si>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</si>
  <si>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</si>
  <si>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</si>
  <si>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</si>
  <si>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</si>
  <si>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</si>
  <si>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</si>
  <si>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</si>
  <si>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</si>
  <si>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</si>
  <si>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</si>
  <si>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</si>
  <si>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</si>
  <si>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</si>
  <si>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</si>
  <si>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</si>
  <si>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</si>
  <si>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</si>
  <si>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</si>
  <si>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</si>
  <si>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</si>
  <si>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</si>
  <si>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</si>
  <si>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</si>
  <si>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</si>
  <si>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</si>
  <si>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</si>
  <si>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</si>
  <si>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</si>
  <si>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</si>
  <si>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</si>
  <si>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</si>
  <si>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</si>
  <si>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</si>
  <si>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</si>
  <si>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</si>
  <si>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</si>
  <si>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</si>
  <si>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</si>
  <si>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</si>
  <si>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</si>
  <si>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</si>
  <si>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</si>
  <si>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</si>
  <si>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</si>
  <si>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</si>
  <si>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</si>
  <si>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</si>
  <si>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</si>
  <si>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</si>
  <si>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</si>
  <si>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</si>
  <si>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</si>
  <si>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</si>
  <si>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</si>
  <si>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</si>
  <si>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</si>
  <si>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</si>
  <si>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</si>
  <si>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</si>
  <si>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</si>
  <si>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</si>
  <si>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</si>
  <si>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</si>
  <si>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</si>
  <si>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</si>
  <si>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</si>
  <si>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</si>
  <si>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</si>
  <si>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</si>
  <si>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</si>
  <si>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</si>
  <si>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</si>
  <si>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</si>
  <si>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</si>
  <si>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</si>
  <si>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</si>
  <si>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</si>
  <si>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</si>
  <si>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</si>
  <si>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</si>
  <si>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</si>
  <si>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</si>
  <si>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</si>
  <si>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</si>
  <si>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</si>
  <si>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</si>
  <si>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</si>
  <si>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</si>
  <si>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</si>
  <si>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</si>
  <si>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</si>
  <si>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</si>
  <si>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</si>
  <si>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</si>
  <si>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</si>
  <si>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</si>
  <si>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</si>
  <si>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</si>
  <si>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</si>
  <si>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</si>
  <si>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</si>
  <si>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</si>
  <si>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</si>
  <si>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</si>
  <si>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</si>
  <si>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</si>
  <si>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</si>
  <si>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</si>
  <si>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</si>
  <si>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</si>
  <si>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</si>
  <si>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</si>
  <si>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</si>
  <si>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</si>
  <si>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</si>
  <si>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</si>
  <si>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</si>
  <si>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</si>
  <si>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</si>
  <si>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</si>
  <si>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</si>
  <si>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</si>
  <si>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</si>
  <si>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</si>
  <si>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</si>
  <si>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</si>
  <si>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</si>
  <si>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</si>
  <si>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</si>
  <si>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</si>
  <si>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</si>
  <si>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</si>
  <si>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</si>
  <si>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</si>
  <si>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</si>
  <si>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</si>
  <si>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</si>
  <si>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</si>
  <si>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</si>
  <si>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</si>
  <si>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</si>
  <si>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</si>
  <si>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</si>
  <si>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</si>
  <si>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</si>
  <si>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</si>
  <si>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</si>
  <si>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</si>
  <si>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</si>
  <si>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</si>
  <si>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</si>
  <si>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</si>
  <si>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</si>
  <si>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</si>
  <si>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</si>
  <si>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</si>
  <si>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</si>
  <si>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</si>
  <si>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</si>
  <si>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</si>
  <si>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</si>
  <si>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</si>
  <si>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</si>
  <si>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</si>
  <si>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</si>
  <si>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</si>
  <si>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</si>
  <si>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</si>
  <si>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</si>
  <si>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</si>
  <si>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</si>
  <si>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</si>
  <si>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</si>
  <si>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</si>
  <si>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</si>
  <si>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</si>
  <si>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</si>
  <si>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</si>
  <si>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</si>
  <si>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</si>
  <si>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</si>
  <si>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</si>
  <si>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</si>
  <si>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</si>
  <si>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</si>
  <si>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</si>
  <si>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</si>
  <si>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</si>
  <si>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</si>
  <si>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</si>
  <si>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</si>
  <si>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</si>
  <si>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</si>
  <si>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</si>
  <si>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</si>
  <si>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</si>
  <si>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</si>
  <si>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</si>
  <si>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</si>
  <si>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</si>
  <si>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</si>
  <si>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</si>
  <si>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</si>
  <si>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</si>
  <si>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</si>
  <si>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</si>
  <si>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</si>
  <si>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</si>
  <si>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</si>
  <si>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</si>
  <si>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</si>
  <si>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</si>
  <si>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</si>
  <si>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</si>
  <si>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</si>
  <si>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</si>
  <si>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</si>
  <si>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</si>
  <si>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</si>
  <si>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</si>
  <si>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</si>
  <si>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</si>
  <si>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</si>
  <si>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</si>
  <si>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</si>
  <si>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</si>
  <si>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</si>
  <si>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</si>
  <si>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</si>
  <si>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</si>
  <si>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</si>
  <si>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</si>
  <si>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</si>
  <si>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</si>
  <si>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</si>
  <si>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</si>
  <si>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</si>
  <si>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</si>
  <si>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</si>
  <si>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</si>
  <si>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</si>
  <si>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</si>
  <si>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</si>
  <si>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</si>
  <si>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</si>
  <si>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</si>
  <si>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</si>
  <si>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</si>
  <si>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</si>
  <si>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</si>
  <si>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</si>
  <si>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</si>
  <si>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</si>
  <si>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</si>
  <si>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</si>
  <si>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</si>
  <si>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</si>
  <si>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</si>
  <si>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</si>
  <si>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</si>
  <si>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</si>
  <si>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</si>
  <si>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</si>
  <si>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</si>
  <si>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</si>
  <si>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</si>
  <si>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</si>
  <si>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</si>
  <si>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</si>
  <si>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</si>
  <si>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</si>
  <si>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</si>
  <si>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</si>
  <si>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</si>
  <si>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</si>
  <si>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</si>
  <si>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</si>
  <si>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</si>
  <si>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</si>
  <si>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</si>
  <si>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</si>
  <si>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</si>
  <si>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</si>
  <si>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</si>
  <si>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</si>
  <si>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</si>
  <si>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</si>
  <si>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</si>
  <si>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</si>
  <si>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</si>
  <si>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</si>
  <si>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</si>
  <si>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</si>
  <si>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</si>
  <si>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</si>
  <si>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</si>
  <si>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</si>
  <si>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</si>
  <si>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</si>
  <si>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</si>
  <si>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</si>
  <si>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</si>
  <si>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</si>
  <si>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</si>
  <si>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</si>
  <si>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</si>
  <si>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</si>
  <si>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</si>
  <si>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</si>
  <si>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</si>
  <si>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</si>
  <si>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</si>
  <si>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</si>
  <si>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</si>
  <si>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</si>
  <si>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</si>
  <si>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</si>
  <si>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</si>
  <si>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</si>
  <si>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</si>
  <si>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</si>
  <si>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</si>
  <si>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</si>
  <si>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</si>
  <si>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</si>
  <si>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</si>
  <si>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</si>
  <si>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</si>
  <si>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</si>
  <si>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</si>
  <si>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</si>
  <si>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</si>
  <si>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</si>
  <si>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</si>
  <si>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</si>
  <si>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</si>
  <si>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</si>
  <si>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</si>
  <si>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</si>
  <si>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</si>
  <si>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</si>
  <si>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</si>
  <si>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</si>
  <si>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</si>
  <si>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</si>
  <si>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</si>
  <si>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</si>
  <si>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</si>
  <si>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</si>
  <si>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</si>
  <si>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</si>
  <si>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</si>
  <si>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</si>
  <si>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</si>
  <si>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</si>
  <si>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</si>
  <si>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</si>
  <si>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</si>
  <si>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</si>
  <si>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</si>
  <si>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</si>
  <si>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</si>
  <si>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</si>
  <si>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</si>
  <si>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</si>
  <si>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</si>
  <si>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</si>
  <si>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</si>
  <si>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</si>
  <si>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</si>
  <si>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</si>
  <si>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</si>
  <si>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</si>
  <si>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</si>
  <si>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</si>
  <si>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</si>
  <si>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</si>
  <si>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</si>
  <si>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</si>
  <si>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</si>
  <si>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</si>
  <si>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</si>
  <si>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</si>
  <si>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</si>
  <si>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</si>
  <si>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</si>
  <si>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</si>
  <si>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</si>
  <si>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</si>
  <si>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</si>
  <si>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</si>
  <si>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</si>
  <si>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</si>
  <si>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</si>
  <si>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</si>
  <si>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</si>
  <si>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</si>
  <si>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</si>
  <si>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</si>
  <si>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</si>
  <si>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</si>
  <si>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</si>
  <si>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</si>
  <si>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</si>
  <si>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</si>
  <si>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</si>
  <si>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</si>
  <si>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</si>
  <si>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</si>
  <si>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</si>
  <si>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</si>
  <si>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</si>
  <si>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</si>
  <si>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</si>
  <si>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</si>
  <si>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</si>
  <si>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</si>
  <si>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</si>
  <si>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</si>
  <si>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</si>
  <si>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</si>
  <si>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</si>
  <si>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</si>
  <si>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</si>
  <si>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</si>
  <si>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</si>
  <si>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</si>
  <si>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</si>
  <si>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</si>
  <si>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</si>
  <si>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</si>
  <si>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</si>
  <si>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</si>
  <si>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</si>
  <si>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</si>
  <si>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</si>
  <si>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</si>
  <si>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</si>
  <si>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</si>
  <si>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</si>
  <si>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</si>
  <si>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</si>
  <si>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</si>
  <si>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</si>
  <si>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</si>
  <si>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</si>
  <si>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</si>
  <si>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</si>
  <si>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</si>
  <si>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</si>
  <si>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</si>
  <si>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</si>
  <si>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</si>
  <si>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</si>
  <si>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</si>
  <si>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</si>
  <si>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</si>
  <si>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</si>
  <si>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</si>
  <si>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</si>
  <si>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</si>
  <si>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</si>
  <si>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</si>
  <si>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</si>
  <si>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</si>
  <si>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</si>
  <si>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</si>
  <si>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</si>
  <si>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</si>
  <si>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</si>
  <si>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</si>
  <si>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</si>
  <si>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</si>
  <si>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</si>
  <si>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</si>
  <si>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</si>
  <si>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</si>
  <si>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</si>
  <si>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</si>
  <si>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</si>
  <si>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</si>
  <si>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</si>
  <si>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</si>
  <si>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</si>
  <si>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</si>
  <si>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</si>
  <si>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</si>
  <si>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</si>
  <si>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</si>
  <si>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</si>
  <si>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</si>
  <si>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</si>
  <si>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</si>
  <si>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</si>
  <si>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</si>
  <si>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</si>
  <si>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</si>
  <si>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</si>
  <si>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</si>
  <si>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</si>
  <si>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</si>
  <si>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</si>
  <si>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</si>
  <si>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</si>
  <si>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</si>
  <si>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</si>
  <si>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</si>
  <si>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</si>
  <si>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</si>
  <si>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</si>
  <si>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</si>
  <si>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</si>
  <si>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</si>
  <si>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</si>
  <si>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</si>
  <si>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</si>
  <si>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</si>
  <si>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</si>
  <si>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</si>
  <si>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</si>
  <si>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</si>
  <si>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</si>
  <si>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</si>
  <si>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</si>
  <si>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</si>
  <si>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</si>
  <si>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</si>
  <si>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</si>
  <si>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</si>
  <si>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</si>
  <si>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</si>
  <si>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</si>
  <si>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</si>
  <si>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</si>
  <si>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</si>
  <si>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</si>
  <si>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</si>
  <si>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</si>
  <si>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</si>
  <si>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</si>
  <si>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</si>
  <si>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</si>
  <si>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</si>
  <si>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</si>
  <si>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</si>
  <si>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</si>
  <si>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</si>
  <si>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</si>
  <si>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</si>
  <si>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</si>
  <si>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</si>
  <si>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</si>
  <si>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</si>
  <si>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</si>
  <si>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</si>
  <si>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</si>
  <si>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</si>
  <si>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</si>
  <si>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</si>
  <si>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</si>
  <si>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</si>
  <si>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</si>
  <si>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</si>
  <si>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</si>
  <si>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</si>
  <si>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</si>
  <si>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</si>
  <si>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</si>
  <si>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</si>
  <si>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</si>
  <si>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</si>
  <si>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</si>
  <si>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</si>
  <si>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</si>
  <si>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</si>
  <si>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</si>
  <si>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</si>
  <si>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</si>
  <si>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</si>
  <si>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</si>
  <si>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</si>
  <si>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</si>
  <si>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</si>
  <si>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</si>
  <si>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</si>
  <si>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</si>
  <si>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</si>
  <si>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</si>
  <si>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</si>
  <si>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</si>
  <si>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</si>
  <si>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</si>
  <si>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</si>
  <si>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</si>
  <si>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</si>
  <si>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</si>
  <si>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</si>
  <si>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</si>
  <si>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</si>
  <si>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</si>
  <si>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</si>
  <si>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</si>
  <si>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</si>
  <si>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</si>
  <si>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</si>
  <si>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</si>
  <si>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</si>
  <si>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</si>
  <si>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</si>
  <si>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</si>
  <si>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</si>
  <si>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</si>
  <si>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</si>
  <si>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</si>
  <si>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</si>
  <si>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</si>
  <si>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</si>
  <si>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</si>
  <si>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</si>
  <si>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</si>
  <si>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</si>
  <si>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</si>
  <si>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</si>
  <si>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</si>
  <si>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</si>
  <si>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</si>
  <si>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</si>
  <si>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</si>
  <si>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</si>
  <si>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</si>
  <si>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</si>
  <si>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</si>
  <si>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</si>
  <si>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</si>
  <si>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</si>
  <si>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</si>
  <si>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</si>
  <si>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</si>
  <si>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</si>
  <si>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</si>
  <si>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</si>
  <si>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</si>
  <si>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</si>
  <si>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</si>
  <si>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</si>
  <si>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</si>
  <si>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</si>
  <si>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</si>
  <si>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</si>
  <si>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</si>
  <si>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</si>
  <si>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</si>
  <si>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</si>
  <si>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</si>
  <si>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</si>
  <si>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</si>
  <si>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</si>
  <si>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</si>
  <si>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</si>
  <si>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</si>
  <si>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</si>
  <si>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</si>
  <si>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</si>
  <si>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</si>
  <si>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</si>
  <si>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</si>
  <si>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</si>
  <si>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</si>
  <si>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</si>
  <si>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</si>
  <si>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</si>
  <si>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</si>
  <si>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</si>
  <si>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</si>
  <si>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</si>
  <si>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</si>
  <si>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</si>
  <si>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</si>
  <si>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</si>
  <si>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</si>
  <si>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</si>
  <si>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</si>
  <si>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</si>
  <si>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</si>
  <si>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</si>
  <si>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</si>
  <si>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</si>
  <si>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</si>
  <si>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</si>
  <si>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</si>
  <si>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</si>
  <si>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</si>
  <si>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</si>
  <si>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</si>
  <si>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</si>
  <si>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</si>
  <si>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</si>
  <si>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</si>
  <si>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</si>
  <si>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</si>
  <si>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</si>
  <si>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</si>
  <si>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</si>
  <si>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</si>
  <si>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</si>
  <si>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</si>
  <si>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</si>
  <si>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</si>
  <si>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</si>
  <si>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</si>
  <si>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</si>
  <si>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</si>
  <si>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</si>
  <si>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</si>
  <si>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</si>
  <si>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</si>
  <si>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</si>
  <si>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</si>
  <si>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</si>
  <si>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</si>
  <si>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</si>
  <si>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</si>
  <si>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</si>
  <si>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</si>
  <si>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</si>
  <si>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</si>
  <si>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</si>
  <si>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</si>
  <si>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</si>
  <si>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</si>
  <si>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</si>
  <si>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</si>
  <si>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</si>
  <si>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</si>
  <si>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</si>
  <si>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</si>
  <si>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</si>
  <si>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</si>
  <si>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</si>
  <si>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</si>
  <si>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</si>
  <si>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</si>
  <si>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</si>
  <si>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</si>
  <si>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</si>
  <si>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</si>
  <si>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</si>
  <si>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</si>
  <si>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</si>
  <si>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</si>
  <si>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</si>
  <si>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</si>
  <si>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</si>
  <si>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</si>
  <si>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</si>
  <si>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</si>
  <si>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</si>
  <si>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</si>
  <si>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</si>
  <si>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</si>
  <si>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</si>
  <si>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</si>
  <si>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</si>
  <si>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</si>
  <si>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</si>
  <si>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</si>
  <si>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</si>
  <si>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</si>
  <si>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</si>
  <si>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</si>
  <si>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</si>
  <si>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</si>
  <si>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</si>
  <si>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</si>
  <si>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</si>
  <si>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</si>
  <si>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</si>
  <si>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</si>
  <si>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</si>
  <si>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</si>
  <si>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</si>
  <si>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</si>
  <si>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</si>
  <si>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</si>
  <si>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</si>
  <si>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</si>
  <si>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</si>
  <si>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</si>
  <si>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</si>
  <si>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</si>
  <si>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</si>
  <si>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</si>
  <si>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</si>
  <si>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</si>
  <si>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</si>
  <si>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</si>
  <si>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</si>
  <si>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</si>
  <si>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</si>
  <si>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</si>
  <si>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</si>
  <si>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</si>
  <si>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</si>
  <si>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</si>
  <si>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</si>
  <si>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</si>
  <si>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</si>
  <si>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</si>
  <si>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</si>
  <si>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</si>
  <si>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</si>
  <si>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</si>
  <si>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</si>
  <si>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</si>
  <si>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</si>
  <si>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</si>
  <si>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</si>
  <si>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</si>
  <si>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</si>
  <si>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</si>
  <si>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</si>
  <si>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</si>
  <si>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</si>
  <si>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</si>
  <si>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</si>
  <si>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</si>
  <si>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</si>
  <si>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</si>
  <si>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</si>
  <si>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</si>
  <si>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</si>
  <si>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</si>
  <si>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</si>
  <si>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</si>
  <si>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</si>
  <si>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</si>
  <si>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</si>
  <si>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</si>
  <si>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</si>
  <si>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</si>
  <si>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</si>
  <si>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</si>
  <si>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</si>
  <si>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</si>
  <si>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</si>
  <si>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</si>
  <si>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</si>
  <si>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</si>
  <si>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</si>
  <si>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</si>
  <si>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</si>
  <si>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</si>
  <si>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</si>
  <si>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</si>
  <si>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</si>
  <si>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</si>
  <si>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</si>
  <si>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</si>
  <si>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</si>
  <si>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</si>
  <si>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</si>
  <si>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</si>
  <si>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</si>
  <si>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</si>
  <si>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</si>
  <si>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</si>
  <si>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</si>
  <si>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</si>
  <si>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</si>
  <si>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</si>
  <si>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</si>
  <si>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</si>
  <si>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</si>
  <si>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</si>
  <si>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</si>
  <si>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</si>
  <si>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</si>
  <si>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</si>
  <si>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</si>
  <si>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</si>
  <si>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</si>
  <si>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</si>
  <si>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</si>
  <si>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</si>
  <si>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</si>
  <si>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</si>
  <si>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</si>
  <si>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</si>
  <si>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</si>
  <si>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</si>
  <si>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</si>
  <si>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</si>
  <si>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</si>
  <si>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</si>
  <si>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</si>
  <si>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</si>
  <si>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</si>
  <si>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</si>
  <si>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</si>
  <si>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</si>
  <si>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</si>
  <si>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</si>
  <si>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</si>
  <si>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</si>
  <si>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</si>
  <si>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</si>
  <si>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</si>
  <si>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</si>
  <si>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</si>
  <si>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</si>
  <si>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</si>
  <si>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</si>
  <si>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</si>
  <si>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</si>
  <si>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</si>
  <si>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</si>
  <si>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</si>
  <si>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</si>
  <si>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</si>
  <si>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</si>
  <si>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</si>
  <si>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</si>
  <si>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</si>
  <si>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</si>
  <si>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</si>
  <si>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</si>
  <si>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</si>
  <si>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</si>
  <si>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</si>
  <si>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</si>
  <si>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</si>
  <si>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</si>
  <si>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</si>
  <si>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</si>
  <si>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</si>
  <si>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</si>
  <si>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</si>
  <si>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</si>
  <si>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</si>
  <si>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</si>
  <si>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</si>
  <si>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</si>
  <si>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</si>
  <si>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</si>
  <si>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</si>
  <si>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</si>
  <si>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</si>
  <si>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</si>
  <si>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</si>
  <si>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</si>
  <si>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</si>
  <si>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</si>
  <si>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</si>
  <si>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</si>
  <si>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</si>
  <si>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</si>
  <si>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</si>
  <si>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</si>
  <si>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</si>
  <si>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</si>
  <si>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</si>
  <si>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</si>
  <si>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</si>
  <si>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</si>
  <si>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</si>
  <si>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</si>
  <si>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</si>
  <si>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</si>
  <si>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</si>
  <si>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</si>
  <si>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</si>
  <si>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</si>
  <si>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</si>
  <si>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</si>
  <si>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</si>
  <si>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</si>
  <si>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</si>
  <si>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</si>
  <si>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</si>
  <si>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</si>
  <si>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</si>
  <si>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</si>
  <si>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</si>
  <si>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</si>
  <si>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</si>
  <si>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</si>
  <si>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</si>
  <si>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</si>
  <si>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</si>
  <si>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</si>
  <si>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</si>
  <si>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</si>
  <si>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</si>
  <si>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</si>
  <si>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</si>
  <si>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</si>
  <si>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</si>
  <si>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</si>
  <si>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</si>
  <si>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</si>
  <si>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</si>
  <si>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</si>
  <si>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</si>
  <si>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</si>
  <si>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</si>
  <si>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</si>
  <si>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</si>
  <si>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</si>
  <si>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</si>
  <si>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</si>
  <si>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</si>
  <si>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</si>
  <si>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</si>
  <si>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</si>
  <si>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</si>
  <si>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</si>
  <si>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</si>
  <si>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</si>
  <si>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</si>
  <si>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</si>
  <si>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</si>
  <si>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</si>
  <si>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</si>
  <si>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</si>
  <si>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</si>
  <si>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</si>
  <si>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</si>
  <si>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</si>
  <si>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</si>
  <si>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</si>
  <si>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</si>
  <si>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</si>
  <si>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</si>
  <si>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</si>
  <si>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</si>
  <si>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</si>
  <si>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</si>
  <si>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</si>
  <si>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</si>
  <si>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</si>
  <si>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</si>
  <si>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</si>
  <si>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</si>
  <si>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</si>
  <si>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</si>
  <si>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</si>
  <si>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</si>
  <si>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</si>
  <si>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</si>
  <si>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</si>
  <si>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</si>
  <si>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</si>
  <si>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</si>
  <si>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</si>
  <si>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</si>
  <si>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</si>
  <si>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</si>
  <si>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</si>
  <si>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</si>
  <si>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</si>
  <si>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</si>
  <si>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</si>
  <si>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</si>
  <si>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</si>
  <si>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</si>
  <si>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</si>
  <si>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</si>
  <si>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</si>
  <si>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</si>
  <si>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</si>
  <si>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</si>
  <si>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</si>
  <si>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</si>
  <si>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</si>
  <si>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</si>
  <si>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</si>
  <si>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</si>
  <si>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</si>
  <si>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</si>
  <si>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</si>
  <si>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</si>
  <si>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</si>
  <si>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</si>
  <si>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</si>
  <si>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</si>
  <si>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</si>
  <si>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</si>
  <si>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</si>
  <si>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</si>
  <si>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</si>
  <si>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</si>
  <si>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</si>
  <si>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</si>
  <si>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</si>
  <si>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</si>
  <si>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</si>
  <si>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</si>
  <si>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</si>
  <si>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</si>
  <si>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</si>
  <si>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</si>
  <si>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</si>
  <si>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</si>
  <si>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</si>
  <si>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</si>
  <si>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</si>
  <si>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</si>
  <si>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</si>
  <si>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</si>
  <si>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</si>
  <si>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</si>
  <si>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</si>
  <si>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</si>
  <si>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</si>
  <si>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</si>
  <si>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</si>
  <si>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</si>
  <si>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</si>
  <si>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</si>
  <si>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</si>
  <si>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</si>
  <si>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</si>
  <si>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</si>
  <si>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</si>
  <si>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</si>
  <si>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</si>
  <si>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</si>
  <si>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</si>
  <si>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</si>
  <si>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</si>
  <si>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</si>
  <si>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</si>
  <si>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</si>
  <si>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</si>
  <si>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</si>
  <si>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</si>
  <si>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</si>
  <si>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</si>
  <si>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</si>
  <si>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</si>
  <si>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</si>
  <si>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</si>
  <si>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</si>
  <si>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</si>
  <si>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</si>
  <si>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</si>
  <si>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</si>
  <si>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</si>
  <si>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</si>
  <si>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</si>
  <si>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</si>
  <si>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</si>
  <si>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</si>
  <si>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</si>
  <si>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</si>
  <si>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</si>
  <si>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</si>
  <si>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</si>
  <si>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</si>
  <si>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</si>
  <si>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</si>
  <si>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</si>
  <si>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</si>
  <si>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</si>
  <si>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</si>
  <si>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</si>
  <si>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</si>
  <si>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</si>
  <si>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</si>
  <si>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</si>
  <si>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</si>
  <si>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</si>
  <si>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</si>
  <si>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</si>
  <si>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</si>
  <si>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</si>
  <si>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</si>
  <si>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</si>
  <si>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</si>
  <si>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</si>
  <si>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</si>
  <si>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</si>
  <si>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</si>
  <si>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</si>
  <si>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</si>
  <si>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</si>
  <si>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</si>
  <si>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</si>
  <si>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</si>
  <si>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</si>
  <si>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</si>
  <si>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</si>
  <si>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</si>
  <si>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</si>
  <si>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</si>
  <si>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</si>
  <si>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</si>
  <si>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</si>
  <si>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</si>
  <si>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</si>
  <si>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</si>
  <si>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</si>
  <si>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</si>
  <si>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</si>
  <si>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</si>
  <si>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</si>
  <si>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</si>
  <si>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</si>
  <si>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</si>
  <si>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</si>
  <si>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</si>
  <si>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</si>
  <si>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</si>
  <si>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</si>
  <si>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</si>
  <si>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</si>
  <si>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</si>
  <si>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</si>
  <si>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</si>
  <si>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</si>
  <si>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</si>
  <si>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</si>
  <si>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</si>
  <si>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</si>
  <si>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</si>
  <si>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</si>
  <si>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</si>
  <si>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</si>
  <si>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</si>
  <si>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</si>
  <si>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</si>
  <si>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</si>
  <si>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</si>
  <si>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</si>
  <si>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</si>
  <si>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</si>
  <si>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</si>
  <si>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</si>
  <si>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</si>
  <si>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</si>
  <si>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</si>
  <si>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</si>
  <si>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</si>
  <si>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</si>
  <si>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</si>
  <si>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</si>
  <si>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</si>
  <si>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</si>
  <si>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</si>
  <si>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</si>
  <si>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</si>
  <si>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</si>
  <si>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</si>
  <si>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</si>
  <si>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</si>
  <si>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</si>
  <si>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</si>
  <si>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</si>
  <si>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</si>
  <si>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</si>
  <si>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</si>
  <si>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</si>
  <si>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</si>
  <si>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</si>
  <si>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</si>
  <si>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</si>
  <si>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</si>
  <si>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</si>
  <si>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</si>
  <si>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</si>
  <si>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</si>
  <si>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</si>
  <si>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</si>
  <si>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</si>
  <si>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</si>
  <si>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</si>
  <si>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</si>
  <si>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</si>
  <si>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</si>
  <si>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</si>
  <si>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</si>
  <si>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</si>
  <si>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</si>
  <si>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</si>
  <si>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</si>
  <si>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</si>
  <si>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</si>
  <si>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</si>
  <si>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</si>
  <si>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</si>
  <si>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</si>
  <si>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</si>
  <si>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</si>
  <si>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</si>
  <si>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</si>
  <si>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</si>
  <si>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</si>
  <si>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</si>
  <si>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</si>
  <si>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</si>
  <si>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</si>
  <si>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</si>
  <si>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</si>
  <si>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</si>
  <si>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</si>
  <si>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</si>
  <si>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</si>
  <si>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</si>
  <si>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</si>
  <si>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</si>
  <si>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</si>
  <si>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</si>
  <si>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</si>
  <si>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</si>
  <si>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</si>
  <si>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</si>
  <si>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</si>
  <si>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</si>
  <si>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</si>
  <si>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</si>
  <si>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</si>
  <si>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</si>
  <si>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</si>
  <si>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</si>
  <si>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</si>
  <si>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</si>
  <si>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</si>
  <si>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</si>
  <si>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</si>
  <si>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</si>
  <si>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</si>
  <si>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</si>
  <si>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</si>
  <si>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</si>
  <si>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</si>
  <si>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</si>
  <si>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</si>
  <si>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</si>
  <si>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</si>
  <si>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</si>
  <si>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</si>
  <si>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</si>
  <si>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</si>
  <si>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</si>
  <si>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</si>
  <si>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</si>
  <si>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</si>
  <si>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</si>
  <si>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</si>
  <si>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</si>
  <si>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</si>
  <si>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</si>
  <si>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</si>
  <si>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</si>
  <si>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</si>
  <si>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</si>
  <si>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</si>
  <si>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</si>
  <si>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</si>
  <si>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</si>
  <si>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</si>
  <si>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</si>
  <si>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</si>
  <si>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</si>
  <si>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</si>
  <si>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</si>
  <si>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</si>
  <si>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</si>
  <si>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</si>
  <si>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</si>
  <si>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</si>
  <si>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</si>
  <si>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</si>
  <si>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</si>
  <si>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</si>
  <si>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</si>
  <si>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</si>
  <si>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</si>
  <si>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</si>
  <si>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</si>
  <si>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</si>
  <si>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</si>
  <si>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</si>
  <si>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</si>
  <si>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</si>
  <si>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</si>
  <si>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</si>
  <si>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</si>
  <si>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</si>
  <si>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</si>
  <si>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</si>
  <si>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</si>
  <si>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</si>
  <si>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</si>
  <si>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</si>
  <si>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</si>
  <si>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</si>
  <si>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</si>
  <si>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</si>
  <si>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</si>
  <si>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</si>
  <si>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</si>
  <si>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</si>
  <si>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</si>
  <si>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</si>
  <si>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</si>
  <si>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</si>
  <si>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</si>
  <si>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</si>
  <si>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</si>
  <si>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</si>
  <si>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</si>
  <si>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</si>
  <si>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</si>
  <si>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</si>
  <si>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</si>
  <si>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</si>
  <si>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</si>
  <si>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</si>
  <si>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</si>
  <si>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</si>
  <si>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</si>
  <si>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</si>
  <si>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</si>
  <si>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</si>
  <si>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</si>
  <si>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</si>
  <si>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</si>
  <si>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</si>
  <si>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</si>
  <si>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</si>
  <si>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</si>
  <si>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</si>
  <si>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</si>
  <si>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</si>
  <si>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</si>
  <si>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</si>
  <si>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</si>
  <si>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</si>
  <si>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</si>
  <si>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</si>
  <si>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</si>
  <si>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</si>
  <si>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</si>
  <si>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</si>
  <si>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</si>
  <si>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</si>
  <si>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</si>
  <si>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</si>
  <si>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</si>
  <si>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</si>
  <si>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</si>
  <si>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</si>
  <si>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</si>
  <si>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</si>
  <si>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</si>
  <si>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</si>
  <si>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</si>
  <si>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</si>
  <si>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</si>
  <si>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</si>
  <si>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</si>
  <si>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</si>
  <si>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</si>
  <si>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</si>
  <si>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</si>
  <si>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</si>
  <si>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</si>
  <si>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</si>
  <si>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</si>
  <si>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</si>
  <si>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</si>
  <si>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</si>
  <si>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</si>
  <si>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</si>
  <si>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</si>
  <si>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</si>
  <si>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</si>
  <si>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</si>
  <si>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</si>
  <si>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</si>
  <si>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</si>
  <si>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</si>
  <si>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</si>
  <si>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</si>
  <si>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</si>
  <si>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</si>
  <si>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</si>
  <si>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</si>
  <si>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</si>
  <si>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</si>
  <si>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</si>
  <si>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</si>
  <si>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</si>
  <si>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</si>
  <si>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</si>
  <si>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</si>
  <si>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</si>
  <si>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</si>
  <si>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</si>
  <si>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</si>
  <si>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</si>
  <si>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</si>
  <si>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</si>
  <si>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</si>
  <si>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</si>
  <si>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</si>
  <si>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</si>
  <si>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</si>
  <si>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</si>
  <si>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</si>
  <si>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</si>
  <si>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</si>
  <si>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</si>
  <si>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</si>
  <si>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</si>
  <si>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</si>
  <si>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</si>
  <si>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</si>
  <si>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</si>
  <si>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</si>
  <si>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</si>
  <si>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</si>
  <si>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</si>
  <si>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</si>
  <si>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</si>
  <si>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</si>
  <si>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</si>
  <si>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</si>
  <si>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</si>
  <si>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</si>
  <si>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</si>
  <si>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</si>
  <si>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</si>
  <si>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</si>
  <si>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</si>
  <si>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</si>
  <si>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</si>
  <si>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</si>
  <si>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</si>
  <si>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</si>
  <si>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</si>
  <si>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</si>
  <si>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</si>
  <si>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</si>
  <si>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</si>
  <si>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</si>
  <si>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</si>
  <si>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</si>
  <si>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</si>
  <si>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</si>
  <si>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</si>
  <si>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</si>
  <si>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</si>
  <si>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</si>
  <si>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</si>
  <si>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</si>
  <si>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</si>
  <si>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</si>
  <si>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</si>
  <si>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</si>
  <si>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</si>
  <si>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</si>
  <si>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</si>
  <si>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</si>
  <si>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</si>
  <si>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</si>
  <si>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</si>
  <si>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</si>
  <si>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</si>
  <si>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</si>
  <si>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</si>
  <si>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</si>
  <si>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</si>
  <si>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</si>
  <si>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</si>
  <si>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</si>
  <si>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</si>
  <si>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</si>
  <si>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</si>
  <si>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</si>
  <si>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</si>
  <si>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</si>
  <si>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</si>
  <si>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</si>
  <si>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</si>
  <si>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</si>
  <si>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</si>
  <si>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</si>
  <si>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</si>
  <si>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</si>
  <si>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</si>
  <si>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</si>
  <si>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</si>
  <si>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</si>
  <si>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</si>
  <si>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</si>
  <si>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</si>
  <si>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</si>
  <si>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</si>
  <si>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</si>
  <si>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</si>
  <si>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</si>
  <si>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</si>
  <si>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</si>
  <si>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</si>
  <si>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</si>
  <si>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</si>
  <si>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</si>
  <si>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</si>
  <si>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</si>
  <si>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</si>
  <si>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</si>
  <si>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</si>
  <si>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</si>
  <si>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</si>
  <si>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</si>
  <si>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</si>
  <si>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</si>
  <si>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</si>
  <si>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</si>
  <si>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</si>
  <si>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</si>
  <si>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</si>
  <si>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</si>
  <si>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</si>
  <si>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</si>
  <si>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</si>
  <si>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</si>
  <si>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</si>
  <si>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</si>
  <si>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</si>
  <si>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</si>
  <si>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</si>
  <si>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</si>
  <si>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</si>
  <si>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</si>
  <si>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</si>
  <si>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</si>
  <si>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</si>
  <si>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</si>
  <si>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</si>
  <si>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</si>
  <si>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</si>
  <si>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</si>
  <si>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</si>
  <si>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</si>
  <si>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</si>
  <si>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</si>
  <si>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</si>
  <si>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</si>
  <si>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</si>
  <si>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</si>
  <si>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</si>
  <si>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</si>
  <si>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</si>
  <si>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</si>
  <si>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</si>
  <si>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</si>
  <si>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</si>
  <si>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</si>
  <si>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</si>
  <si>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</si>
  <si>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</si>
  <si>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</si>
  <si>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</si>
  <si>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</si>
  <si>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</si>
  <si>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</si>
  <si>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</si>
  <si>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</si>
  <si>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</si>
  <si>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</si>
  <si>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</si>
  <si>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</si>
  <si>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</si>
  <si>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</si>
  <si>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</si>
  <si>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</si>
  <si>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</si>
  <si>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</si>
  <si>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</si>
  <si>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</si>
  <si>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</si>
  <si>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</si>
  <si>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</si>
  <si>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</si>
  <si>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</si>
  <si>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</si>
  <si>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</si>
  <si>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</si>
  <si>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</si>
  <si>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</si>
  <si>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</si>
  <si>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</si>
  <si>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</si>
  <si>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</si>
  <si>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</si>
  <si>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</si>
  <si>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</si>
  <si>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</si>
  <si>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</si>
  <si>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</si>
  <si>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</si>
  <si>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</si>
  <si>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</si>
  <si>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</si>
  <si>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</si>
  <si>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</si>
  <si>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</si>
  <si>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</si>
  <si>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</si>
  <si>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</si>
  <si>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</si>
  <si>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</si>
  <si>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</si>
  <si>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</si>
  <si>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</si>
  <si>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</si>
  <si>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</si>
  <si>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</si>
  <si>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</si>
  <si>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</si>
  <si>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</si>
  <si>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</si>
  <si>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</si>
  <si>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</si>
  <si>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</si>
  <si>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</si>
  <si>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</si>
  <si>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</si>
  <si>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</si>
  <si>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</si>
  <si>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</si>
  <si>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</si>
  <si>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</si>
  <si>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</si>
  <si>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</si>
  <si>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</si>
  <si>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</si>
  <si>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</si>
  <si>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</si>
  <si>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</si>
  <si>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</si>
  <si>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</si>
  <si>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</si>
  <si>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</si>
  <si>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</si>
  <si>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</si>
  <si>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</si>
  <si>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</si>
  <si>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</si>
  <si>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</si>
  <si>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</si>
  <si>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</si>
  <si>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</si>
  <si>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</si>
  <si>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</si>
  <si>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</si>
  <si>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</si>
  <si>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</si>
  <si>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</si>
  <si>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</si>
  <si>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</si>
  <si>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</si>
  <si>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</si>
  <si>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</si>
  <si>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</si>
  <si>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</si>
  <si>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</si>
  <si>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</si>
  <si>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</si>
  <si>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</si>
  <si>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</si>
  <si>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</si>
  <si>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</si>
  <si>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</si>
  <si>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</si>
  <si>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</si>
  <si>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</si>
  <si>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</si>
  <si>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</si>
  <si>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</si>
  <si>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</si>
  <si>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</si>
  <si>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</si>
  <si>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</si>
  <si>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</si>
  <si>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</si>
  <si>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</si>
  <si>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</si>
  <si>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</si>
  <si>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</si>
  <si>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</si>
  <si>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</si>
  <si>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</si>
  <si>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</si>
  <si>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</si>
  <si>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</si>
  <si>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</si>
  <si>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</si>
  <si>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</si>
  <si>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</si>
  <si>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</si>
  <si>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</si>
  <si>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</si>
  <si>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</si>
  <si>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</si>
  <si>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</si>
  <si>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</si>
  <si>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</si>
  <si>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</si>
  <si>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</si>
  <si>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</si>
  <si>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</si>
  <si>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</si>
  <si>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</si>
  <si>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</si>
  <si>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</si>
  <si>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</si>
  <si>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</si>
  <si>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</si>
  <si>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</si>
  <si>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</si>
  <si>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</si>
  <si>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</si>
  <si>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</si>
  <si>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</si>
  <si>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</si>
  <si>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</si>
  <si>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</si>
  <si>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</si>
  <si>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</si>
  <si>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</si>
  <si>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</si>
  <si>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</si>
  <si>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</si>
  <si>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</si>
  <si>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</si>
  <si>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</si>
  <si>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</si>
  <si>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</si>
  <si>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</si>
  <si>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</si>
  <si>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</si>
  <si>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</si>
  <si>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</si>
  <si>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</si>
  <si>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</si>
  <si>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</si>
  <si>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</si>
  <si>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</si>
  <si>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</si>
  <si>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</si>
  <si>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</si>
  <si>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</si>
  <si>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</si>
  <si>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</si>
  <si>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</si>
  <si>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</si>
  <si>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</si>
  <si>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</si>
  <si>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</si>
  <si>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</si>
  <si>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</si>
  <si>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</si>
  <si>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</si>
  <si>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</si>
  <si>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</si>
  <si>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</si>
  <si>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</si>
  <si>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</si>
  <si>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</si>
  <si>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</si>
  <si>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</si>
  <si>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</si>
  <si>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</si>
  <si>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</si>
  <si>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</si>
  <si>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</si>
  <si>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</si>
  <si>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</si>
  <si>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</si>
  <si>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</si>
  <si>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</si>
  <si>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</si>
  <si>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</si>
  <si>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</si>
  <si>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</si>
  <si>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</si>
  <si>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</si>
  <si>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</si>
  <si>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</si>
  <si>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</si>
  <si>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</si>
  <si>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</si>
  <si>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</si>
  <si>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</si>
  <si>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</si>
  <si>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</si>
  <si>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</si>
  <si>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</si>
  <si>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</si>
  <si>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</si>
  <si>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</si>
  <si>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</si>
  <si>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</si>
  <si>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</si>
  <si>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</si>
  <si>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</si>
  <si>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</si>
  <si>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</si>
  <si>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</si>
  <si>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</si>
  <si>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</si>
  <si>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</si>
  <si>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</si>
  <si>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</si>
  <si>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</si>
  <si>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</si>
  <si>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</si>
  <si>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</si>
  <si>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</si>
  <si>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</si>
  <si>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</si>
  <si>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</si>
  <si>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</si>
  <si>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</si>
  <si>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</si>
  <si>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</si>
  <si>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</si>
  <si>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</si>
  <si>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</si>
  <si>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</si>
  <si>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</si>
  <si>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</si>
  <si>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</si>
  <si>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</si>
  <si>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</si>
  <si>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</si>
  <si>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</si>
  <si>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</si>
  <si>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</si>
  <si>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</si>
  <si>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</si>
  <si>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</si>
  <si>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</si>
  <si>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</si>
  <si>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</si>
  <si>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</si>
  <si>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</si>
  <si>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</si>
  <si>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</si>
  <si>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</si>
  <si>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</si>
  <si>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</si>
  <si>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</si>
  <si>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</si>
  <si>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</si>
  <si>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</si>
  <si>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</si>
  <si>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</si>
  <si>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</si>
  <si>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</si>
  <si>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</si>
  <si>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</si>
  <si>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</si>
  <si>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</si>
  <si>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</si>
  <si>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</si>
  <si>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</si>
  <si>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</si>
  <si>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</si>
  <si>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</si>
  <si>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</si>
  <si>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</si>
  <si>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</si>
  <si>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</si>
  <si>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</si>
  <si>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</si>
  <si>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</si>
  <si>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</si>
  <si>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</si>
  <si>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</si>
  <si>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</si>
  <si>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</si>
  <si>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</si>
  <si>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</si>
  <si>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</si>
  <si>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</si>
  <si>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</si>
  <si>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</si>
  <si>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</si>
  <si>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</si>
  <si>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</si>
  <si>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</si>
  <si>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</si>
  <si>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</si>
  <si>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</si>
  <si>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</si>
  <si>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</si>
  <si>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</si>
  <si>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</si>
  <si>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</si>
  <si>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</si>
  <si>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</si>
  <si>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</si>
  <si>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</si>
  <si>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</si>
  <si>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</si>
  <si>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</si>
  <si>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</si>
  <si>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</si>
  <si>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</si>
  <si>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</si>
  <si>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</si>
  <si>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</si>
  <si>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</si>
  <si>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</si>
  <si>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</si>
  <si>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</si>
  <si>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</si>
  <si>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</si>
  <si>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</si>
  <si>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</si>
  <si>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</si>
  <si>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</si>
  <si>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</si>
  <si>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</si>
  <si>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</si>
  <si>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</si>
  <si>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</si>
  <si>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</si>
  <si>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</si>
  <si>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</si>
  <si>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</si>
  <si>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</si>
  <si>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</si>
  <si>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</si>
  <si>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</si>
  <si>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</si>
  <si>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</si>
  <si>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</si>
  <si>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</si>
  <si>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</si>
  <si>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</si>
  <si>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</si>
  <si>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</si>
  <si>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</si>
  <si>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</si>
  <si>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</si>
  <si>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</si>
  <si>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</si>
  <si>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</si>
  <si>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</si>
  <si>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</si>
  <si>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</si>
  <si>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</si>
  <si>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</si>
  <si>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</si>
  <si>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</si>
  <si>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</si>
  <si>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</si>
  <si>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</si>
  <si>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</si>
  <si>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</si>
  <si>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</si>
  <si>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</si>
  <si>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</si>
  <si>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</si>
  <si>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</si>
  <si>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</si>
  <si>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</si>
  <si>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</si>
  <si>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</si>
  <si>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</si>
  <si>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</si>
  <si>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</si>
  <si>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</si>
  <si>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</si>
  <si>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</si>
  <si>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</si>
  <si>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</si>
  <si>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</si>
  <si>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</si>
  <si>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</si>
  <si>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</si>
  <si>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</si>
  <si>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</si>
  <si>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</si>
  <si>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</si>
  <si>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</si>
  <si>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</si>
  <si>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</si>
  <si>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</si>
  <si>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</si>
  <si>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</si>
  <si>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</si>
  <si>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</si>
  <si>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</si>
  <si>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</si>
  <si>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</si>
  <si>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</si>
  <si>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</si>
  <si>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</si>
  <si>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</si>
  <si>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</si>
  <si>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</si>
  <si>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</si>
  <si>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</si>
  <si>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</si>
  <si>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</si>
  <si>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</si>
  <si>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</si>
  <si>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</si>
  <si>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</si>
  <si>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</si>
  <si>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</si>
  <si>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</si>
  <si>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</si>
  <si>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</si>
  <si>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</si>
  <si>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</si>
  <si>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</si>
  <si>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</si>
  <si>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</si>
  <si>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</si>
  <si>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</si>
  <si>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</si>
  <si>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</si>
  <si>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</si>
  <si>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</si>
  <si>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</si>
  <si>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</si>
  <si>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</si>
  <si>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</si>
  <si>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</si>
  <si>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</si>
  <si>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</si>
  <si>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</si>
  <si>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</si>
  <si>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</si>
  <si>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</si>
  <si>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</si>
  <si>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</si>
  <si>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</si>
  <si>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</si>
  <si>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</si>
  <si>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</si>
  <si>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</si>
  <si>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</si>
  <si>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</si>
  <si>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</si>
  <si>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</si>
  <si>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</si>
  <si>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</si>
  <si>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</si>
  <si>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</si>
  <si>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</si>
  <si>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</si>
  <si>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</si>
  <si>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</si>
  <si>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</si>
  <si>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</si>
  <si>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</si>
  <si>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</si>
  <si>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</si>
  <si>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</si>
  <si>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</si>
  <si>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</si>
  <si>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</si>
  <si>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</si>
  <si>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</si>
  <si>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</si>
  <si>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</si>
  <si>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</si>
  <si>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</si>
  <si>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</si>
  <si>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</si>
  <si>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</si>
  <si>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</si>
  <si>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</si>
  <si>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</si>
  <si>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</si>
  <si>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</si>
  <si>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</si>
  <si>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</si>
  <si>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</si>
  <si>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</si>
  <si>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</si>
  <si>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</si>
  <si>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</si>
  <si>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</si>
  <si>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</si>
  <si>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</si>
  <si>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</si>
  <si>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</si>
  <si>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</si>
  <si>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</si>
  <si>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</si>
  <si>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</si>
  <si>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</si>
  <si>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</si>
  <si>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</si>
  <si>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</si>
  <si>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</si>
  <si>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</si>
  <si>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</si>
  <si>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</si>
  <si>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</si>
  <si>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</si>
  <si>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</si>
  <si>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</si>
  <si>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</si>
  <si>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</si>
  <si>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</si>
  <si>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</si>
  <si>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</si>
  <si>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</si>
  <si>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</si>
  <si>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</si>
  <si>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</si>
  <si>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</si>
  <si>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</si>
  <si>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</si>
  <si>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</si>
  <si>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</si>
  <si>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</si>
  <si>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</si>
  <si>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</si>
  <si>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</si>
  <si>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</si>
  <si>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</si>
  <si>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</si>
  <si>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</si>
  <si>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</si>
  <si>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</si>
  <si>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</si>
  <si>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</si>
  <si>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</si>
  <si>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</si>
  <si>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</si>
  <si>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</si>
  <si>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</si>
  <si>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</si>
  <si>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</si>
  <si>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</si>
  <si>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</si>
  <si>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</si>
  <si>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</si>
  <si>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</si>
  <si>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</si>
  <si>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</si>
  <si>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</si>
  <si>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</si>
  <si>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</si>
  <si>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</si>
  <si>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</si>
  <si>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</si>
  <si>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</si>
  <si>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</si>
  <si>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</si>
  <si>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</si>
  <si>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</si>
  <si>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</si>
  <si>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</si>
  <si>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</si>
  <si>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</si>
  <si>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</si>
  <si>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</si>
  <si>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</si>
  <si>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</si>
  <si>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</si>
  <si>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</si>
  <si>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</si>
  <si>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</si>
  <si>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</si>
  <si>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</si>
  <si>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</si>
  <si>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</si>
  <si>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</si>
  <si>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</si>
  <si>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</si>
  <si>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</si>
  <si>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</si>
  <si>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</si>
  <si>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</si>
  <si>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</si>
  <si>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</si>
  <si>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</si>
  <si>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</si>
  <si>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</si>
  <si>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</si>
  <si>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</si>
  <si>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</si>
  <si>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</si>
  <si>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</si>
  <si>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</si>
  <si>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</si>
  <si>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</si>
  <si>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</si>
  <si>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</si>
  <si>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</si>
  <si>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</si>
  <si>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</si>
  <si>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</si>
  <si>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</si>
  <si>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</si>
  <si>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</si>
  <si>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</si>
  <si>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</si>
  <si>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</si>
  <si>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</si>
  <si>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</si>
  <si>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</si>
  <si>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</si>
  <si>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</si>
  <si>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</si>
  <si>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</si>
  <si>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</si>
  <si>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</si>
  <si>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</si>
  <si>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</si>
  <si>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</si>
  <si>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</si>
  <si>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</si>
  <si>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</si>
  <si>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</si>
  <si>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</si>
  <si>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</si>
  <si>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</si>
  <si>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</si>
  <si>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</si>
  <si>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</si>
  <si>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</si>
  <si>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</si>
  <si>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</si>
  <si>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</si>
  <si>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</si>
  <si>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</si>
  <si>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</si>
  <si>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</si>
  <si>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</si>
  <si>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</si>
  <si>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</si>
  <si>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</si>
  <si>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</si>
  <si>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</si>
  <si>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</si>
  <si>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</si>
  <si>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</si>
  <si>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</si>
  <si>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</si>
  <si>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</si>
  <si>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</si>
  <si>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</si>
  <si>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</si>
  <si>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</si>
  <si>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</si>
  <si>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</si>
  <si>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</si>
  <si>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</si>
  <si>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</si>
  <si>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</si>
  <si>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</si>
  <si>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</si>
  <si>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</si>
  <si>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</si>
  <si>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</si>
  <si>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</si>
  <si>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</si>
  <si>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</si>
  <si>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</si>
  <si>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</si>
  <si>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</si>
  <si>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</si>
  <si>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</si>
  <si>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</si>
  <si>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</si>
  <si>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</si>
  <si>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</si>
  <si>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</si>
  <si>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</si>
  <si>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</si>
  <si>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</si>
  <si>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</si>
  <si>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</si>
  <si>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</si>
  <si>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</si>
  <si>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</si>
  <si>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</si>
  <si>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</si>
  <si>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</si>
  <si>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</si>
  <si>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</si>
  <si>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</si>
  <si>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</si>
  <si>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</si>
  <si>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</si>
  <si>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</si>
  <si>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</si>
  <si>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</si>
  <si>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</si>
  <si>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</si>
  <si>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</si>
  <si>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</si>
  <si>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</si>
  <si>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</si>
  <si>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</si>
  <si>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</si>
  <si>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</si>
  <si>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</si>
  <si>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</si>
  <si>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</si>
  <si>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</si>
  <si>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</si>
  <si>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</si>
  <si>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</si>
  <si>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</si>
  <si>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</si>
  <si>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</si>
  <si>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</si>
  <si>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</si>
  <si>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</si>
  <si>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</si>
  <si>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</si>
  <si>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</si>
  <si>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</si>
  <si>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</si>
  <si>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</si>
  <si>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</si>
  <si>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</si>
  <si>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</si>
  <si>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</si>
  <si>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</si>
  <si>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</si>
  <si>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</si>
  <si>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</si>
  <si>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</si>
  <si>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</si>
  <si>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</si>
  <si>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</si>
  <si>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</si>
  <si>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</si>
  <si>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</si>
  <si>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</si>
  <si>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</si>
  <si>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</si>
  <si>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</si>
  <si>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</si>
  <si>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</si>
  <si>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</si>
  <si>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</si>
  <si>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</si>
  <si>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</si>
  <si>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</si>
  <si>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</si>
  <si>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</si>
  <si>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</si>
  <si>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</si>
  <si>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</si>
  <si>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</si>
  <si>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</si>
  <si>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</si>
  <si>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</si>
  <si>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</si>
  <si>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</si>
  <si>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</si>
  <si>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</si>
  <si>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</si>
  <si>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</si>
  <si>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</si>
  <si>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</si>
  <si>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</si>
  <si>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</si>
  <si>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</si>
  <si>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</si>
  <si>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</si>
  <si>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</si>
  <si>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</si>
  <si>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</si>
  <si>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</si>
  <si>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</si>
  <si>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</si>
  <si>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</si>
  <si>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</si>
  <si>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</si>
  <si>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</si>
  <si>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</si>
  <si>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</si>
  <si>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</si>
  <si>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</si>
  <si>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</si>
  <si>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</si>
  <si>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</si>
  <si>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</si>
  <si>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</si>
  <si>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</si>
  <si>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</si>
  <si>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</si>
  <si>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</si>
  <si>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</si>
  <si>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</si>
  <si>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</si>
  <si>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</si>
  <si>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</si>
  <si>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</si>
  <si>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</si>
  <si>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</si>
  <si>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</si>
  <si>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</si>
  <si>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</si>
  <si>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</si>
  <si>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</si>
  <si>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</si>
  <si>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</si>
  <si>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</si>
  <si>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</si>
  <si>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</si>
  <si>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</si>
  <si>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</si>
  <si>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</si>
  <si>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</si>
  <si>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</si>
  <si>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</si>
  <si>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</si>
  <si>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</si>
  <si>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</si>
  <si>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</si>
  <si>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</si>
  <si>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</si>
  <si>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</si>
  <si>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</si>
  <si>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</si>
  <si>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</si>
  <si>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</si>
  <si>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</si>
  <si>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</si>
  <si>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</si>
  <si>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</si>
  <si>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</si>
  <si>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</si>
  <si>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</si>
  <si>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</si>
  <si>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</si>
  <si>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</si>
  <si>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</si>
  <si>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</si>
  <si>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</si>
  <si>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</si>
  <si>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</si>
  <si>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</si>
  <si>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</si>
  <si>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</si>
  <si>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</si>
  <si>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</si>
  <si>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</si>
  <si>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</si>
  <si>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</si>
  <si>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</si>
  <si>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</si>
  <si>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</si>
  <si>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</si>
  <si>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</si>
  <si>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</si>
  <si>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</si>
  <si>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</si>
  <si>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</si>
  <si>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</si>
  <si>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</si>
  <si>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</si>
  <si>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</si>
  <si>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</si>
  <si>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</si>
  <si>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</si>
  <si>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</si>
  <si>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</si>
  <si>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</si>
  <si>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</si>
  <si>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</si>
  <si>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</si>
  <si>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</si>
  <si>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</si>
  <si>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</si>
  <si>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</si>
  <si>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</si>
  <si>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</si>
  <si>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</si>
  <si>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</si>
  <si>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</si>
  <si>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</si>
  <si>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</si>
  <si>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</si>
  <si>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</si>
  <si>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</si>
  <si>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</si>
  <si>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</si>
  <si>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</si>
  <si>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</si>
  <si>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</si>
  <si>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</si>
  <si>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</si>
  <si>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</si>
  <si>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</si>
  <si>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</si>
  <si>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</si>
  <si>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</si>
  <si>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</si>
  <si>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</si>
  <si>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</si>
  <si>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</si>
  <si>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</si>
  <si>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</si>
  <si>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</si>
  <si>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</si>
  <si>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</si>
  <si>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</si>
  <si>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</si>
  <si>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</si>
  <si>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</si>
  <si>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</si>
  <si>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</si>
  <si>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</si>
  <si>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</si>
  <si>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</si>
  <si>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</si>
  <si>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</si>
  <si>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</si>
  <si>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</si>
  <si>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</si>
  <si>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</si>
  <si>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</si>
  <si>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</si>
  <si>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</si>
  <si>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</si>
  <si>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</si>
  <si>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</si>
  <si>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</si>
  <si>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</si>
  <si>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</si>
  <si>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</si>
  <si>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</si>
  <si>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</si>
  <si>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</si>
  <si>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</si>
  <si>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</si>
  <si>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</si>
  <si>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</si>
  <si>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</si>
  <si>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</si>
  <si>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</si>
  <si>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</si>
  <si>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</si>
  <si>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</si>
  <si>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</si>
  <si>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</si>
  <si>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</si>
  <si>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</si>
  <si>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</si>
  <si>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</si>
  <si>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</si>
  <si>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</si>
  <si>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</si>
  <si>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</si>
  <si>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</si>
  <si>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</si>
  <si>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</si>
  <si>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</si>
  <si>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</si>
  <si>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</si>
  <si>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</si>
  <si>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</si>
  <si>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</si>
  <si>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</si>
  <si>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</si>
  <si>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</si>
  <si>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</si>
  <si>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</si>
  <si>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</si>
  <si>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</si>
  <si>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</si>
  <si>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</si>
  <si>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</si>
  <si>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</si>
  <si>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</si>
  <si>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</si>
  <si>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</si>
  <si>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</si>
  <si>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</si>
  <si>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</si>
  <si>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</si>
  <si>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</si>
  <si>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</si>
  <si>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</si>
  <si>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</si>
  <si>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</si>
  <si>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</si>
  <si>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</si>
  <si>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</si>
  <si>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</si>
  <si>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</si>
  <si>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</si>
  <si>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</si>
  <si>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</si>
  <si>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</si>
  <si>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</si>
  <si>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</si>
  <si>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</si>
  <si>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</si>
  <si>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</si>
  <si>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</si>
  <si>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</si>
  <si>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</si>
  <si>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</si>
  <si>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</si>
  <si>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</si>
  <si>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</si>
  <si>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</si>
  <si>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</si>
  <si>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</si>
  <si>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</si>
  <si>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</si>
  <si>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</si>
  <si>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</si>
  <si>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</si>
  <si>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</si>
  <si>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</si>
  <si>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</si>
  <si>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</si>
  <si>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</si>
  <si>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</si>
  <si>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</si>
  <si>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</si>
  <si>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</si>
  <si>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</si>
  <si>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</si>
  <si>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</si>
  <si>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</si>
  <si>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</si>
  <si>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</si>
  <si>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</si>
  <si>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</si>
  <si>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</si>
  <si>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</si>
  <si>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</si>
  <si>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</si>
  <si>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</si>
  <si>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</si>
  <si>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</si>
  <si>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</si>
  <si>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</si>
  <si>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</si>
  <si>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</si>
  <si>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</si>
  <si>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</si>
  <si>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</si>
  <si>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</si>
  <si>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</si>
  <si>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</si>
  <si>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</si>
  <si>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</si>
  <si>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</si>
  <si>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</si>
  <si>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</si>
  <si>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</si>
  <si>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</si>
  <si>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</si>
  <si>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</si>
  <si>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</si>
  <si>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</si>
  <si>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</si>
  <si>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</si>
  <si>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</si>
  <si>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</si>
  <si>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</si>
  <si>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</si>
  <si>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</si>
  <si>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</si>
  <si>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</si>
  <si>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</si>
  <si>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</si>
  <si>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</si>
  <si>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</si>
  <si>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</si>
  <si>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</si>
  <si>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</si>
  <si>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</si>
  <si>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</si>
  <si>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</si>
  <si>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</si>
  <si>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</si>
  <si>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</si>
  <si>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</si>
  <si>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</si>
  <si>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</si>
  <si>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</si>
  <si>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</si>
  <si>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</si>
  <si>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</si>
  <si>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</si>
  <si>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</si>
  <si>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</si>
  <si>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</si>
  <si>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</si>
  <si>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</si>
  <si>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</si>
  <si>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</si>
  <si>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</si>
  <si>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</si>
  <si>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</si>
  <si>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</si>
  <si>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</si>
  <si>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</si>
  <si>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</si>
  <si>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</si>
  <si>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</si>
  <si>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</si>
  <si>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</si>
  <si>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</si>
  <si>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</si>
  <si>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</si>
  <si>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</si>
  <si>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</si>
  <si>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</si>
  <si>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</si>
  <si>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</si>
  <si>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</si>
  <si>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</si>
  <si>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</si>
  <si>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</si>
  <si>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</si>
  <si>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</si>
  <si>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</si>
  <si>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</si>
  <si>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</si>
  <si>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</si>
  <si>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</si>
  <si>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</si>
  <si>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</si>
  <si>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</si>
  <si>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</si>
  <si>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</si>
  <si>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</si>
  <si>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</si>
  <si>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</si>
  <si>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</si>
  <si>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</si>
  <si>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</si>
  <si>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</si>
  <si>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</si>
  <si>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</si>
  <si>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</si>
  <si>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</si>
  <si>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</si>
  <si>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</si>
  <si>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</si>
  <si>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</si>
  <si>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</si>
  <si>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</si>
  <si>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</si>
  <si>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</si>
  <si>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</si>
  <si>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</si>
  <si>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</si>
  <si>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</si>
  <si>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</si>
  <si>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</si>
  <si>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</si>
  <si>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</si>
  <si>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</si>
  <si>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</si>
  <si>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</si>
  <si>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</si>
  <si>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</si>
  <si>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</si>
  <si>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</si>
  <si>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</si>
  <si>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</si>
  <si>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</si>
  <si>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</si>
  <si>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</si>
  <si>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</si>
  <si>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</si>
  <si>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</si>
  <si>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</si>
  <si>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</si>
  <si>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</si>
  <si>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</si>
  <si>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</si>
  <si>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</si>
  <si>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</si>
  <si>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</si>
  <si>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</si>
  <si>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</si>
  <si>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</si>
  <si>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</si>
  <si>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</si>
  <si>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</si>
  <si>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</si>
  <si>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</si>
  <si>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</si>
  <si>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</si>
  <si>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</si>
  <si>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</si>
  <si>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</si>
  <si>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</si>
  <si>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</si>
  <si>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</si>
  <si>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</si>
  <si>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</si>
  <si>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</si>
  <si>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</si>
  <si>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</si>
  <si>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</si>
  <si>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</si>
  <si>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</si>
  <si>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</si>
  <si>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</si>
  <si>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</si>
  <si>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</si>
  <si>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</si>
  <si>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</si>
  <si>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</si>
  <si>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</si>
  <si>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</si>
  <si>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</si>
  <si>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</si>
  <si>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</si>
  <si>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</si>
  <si>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</si>
  <si>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</si>
  <si>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</si>
  <si>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</si>
  <si>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</si>
  <si>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</si>
  <si>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</si>
  <si>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</si>
  <si>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</si>
  <si>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</si>
  <si>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</si>
  <si>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</si>
  <si>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</si>
  <si>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</si>
  <si>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</si>
  <si>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</si>
  <si>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</si>
  <si>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</si>
  <si>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</si>
  <si>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</si>
  <si>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</si>
  <si>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</si>
  <si>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</si>
  <si>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</si>
  <si>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</si>
  <si>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</si>
  <si>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</si>
  <si>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</si>
  <si>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</si>
  <si>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</si>
  <si>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</si>
  <si>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</si>
  <si>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</si>
  <si>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</si>
  <si>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</si>
  <si>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</si>
  <si>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</si>
  <si>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</si>
  <si>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</si>
  <si>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</si>
  <si>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</si>
  <si>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</si>
  <si>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</si>
  <si>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</si>
  <si>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</si>
  <si>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</si>
  <si>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</si>
  <si>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</si>
  <si>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</si>
  <si>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</si>
  <si>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</si>
  <si>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</si>
  <si>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</si>
  <si>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</si>
  <si>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</si>
  <si>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</si>
  <si>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</si>
  <si>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</si>
  <si>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</si>
  <si>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</si>
  <si>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</si>
  <si>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</si>
  <si>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</si>
  <si>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</si>
  <si>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</si>
  <si>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</si>
  <si>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</si>
  <si>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</si>
  <si>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</si>
  <si>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</si>
  <si>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</si>
  <si>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</si>
  <si>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</si>
  <si>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</si>
  <si>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</si>
  <si>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</si>
  <si>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</si>
  <si>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</si>
  <si>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</si>
  <si>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</si>
  <si>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</si>
  <si>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</si>
  <si>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</si>
  <si>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</si>
  <si>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</si>
  <si>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</si>
  <si>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</si>
  <si>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</si>
  <si>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</si>
  <si>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</si>
  <si>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</si>
  <si>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</si>
  <si>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</si>
  <si>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</si>
  <si>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</si>
  <si>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</si>
  <si>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</si>
  <si>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</si>
  <si>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</si>
  <si>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</si>
  <si>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</si>
  <si>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</si>
  <si>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</si>
  <si>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</si>
  <si>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</si>
  <si>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</si>
  <si>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</si>
  <si>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</si>
  <si>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</si>
  <si>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</si>
  <si>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</si>
  <si>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</si>
  <si>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</si>
  <si>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</si>
  <si>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</si>
  <si>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</si>
  <si>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</si>
  <si>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</si>
  <si>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</si>
  <si>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</si>
  <si>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</si>
  <si>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</si>
  <si>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</si>
  <si>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</si>
  <si>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</si>
  <si>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</si>
  <si>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</si>
  <si>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</si>
  <si>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</si>
  <si>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</si>
  <si>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</si>
  <si>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</si>
  <si>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</si>
  <si>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</si>
  <si>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</si>
  <si>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</si>
  <si>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</si>
  <si>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</si>
  <si>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</si>
  <si>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</si>
  <si>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</si>
  <si>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</si>
  <si>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</si>
  <si>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</si>
  <si>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</si>
  <si>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</si>
  <si>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</si>
  <si>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</si>
  <si>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</si>
  <si>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</si>
  <si>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</si>
  <si>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</si>
  <si>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</si>
  <si>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</si>
  <si>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</si>
  <si>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</si>
  <si>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</si>
  <si>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</si>
  <si>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</si>
  <si>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</si>
  <si>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</si>
  <si>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</si>
  <si>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</si>
  <si>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</si>
  <si>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</si>
  <si>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</si>
  <si>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</si>
  <si>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</si>
  <si>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</si>
  <si>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</si>
  <si>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</si>
  <si>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</si>
  <si>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</si>
  <si>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</si>
  <si>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</si>
  <si>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</si>
  <si>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</si>
  <si>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</si>
  <si>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</si>
  <si>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</si>
  <si>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</si>
  <si>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</si>
  <si>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</si>
  <si>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</si>
  <si>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</si>
  <si>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</si>
  <si>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</si>
  <si>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</si>
  <si>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</si>
  <si>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</si>
  <si>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</si>
  <si>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</si>
  <si>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</si>
  <si>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</si>
  <si>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</si>
  <si>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</si>
  <si>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</si>
  <si>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</si>
  <si>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</si>
  <si>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</si>
  <si>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</si>
  <si>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</si>
  <si>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</si>
  <si>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</si>
  <si>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</si>
  <si>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</si>
  <si>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</si>
  <si>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</si>
  <si>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</si>
  <si>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</si>
  <si>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</si>
  <si>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</si>
  <si>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</si>
  <si>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</si>
  <si>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</si>
  <si>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</si>
  <si>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</si>
  <si>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</si>
  <si>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</si>
  <si>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</si>
  <si>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</si>
  <si>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</si>
  <si>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</si>
  <si>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</si>
  <si>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</si>
  <si>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</si>
  <si>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</si>
  <si>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</si>
  <si>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</si>
  <si>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</si>
  <si>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</si>
  <si>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</si>
  <si>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</si>
  <si>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</si>
  <si>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</si>
  <si>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</si>
  <si>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</si>
  <si>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</si>
  <si>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</si>
  <si>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</si>
  <si>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</si>
  <si>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</si>
  <si>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</si>
  <si>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</si>
  <si>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</si>
  <si>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</si>
  <si>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</si>
  <si>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</si>
  <si>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</si>
  <si>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</si>
  <si>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</si>
  <si>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</si>
  <si>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</si>
  <si>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</si>
  <si>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</si>
  <si>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</si>
  <si>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</si>
  <si>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</si>
  <si>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</si>
  <si>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</si>
  <si>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</si>
  <si>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</si>
  <si>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</si>
  <si>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</si>
  <si>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</si>
  <si>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</si>
  <si>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</si>
  <si>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</si>
  <si>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</si>
  <si>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</si>
  <si>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</si>
  <si>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</si>
  <si>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</si>
  <si>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</si>
  <si>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</si>
  <si>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</si>
  <si>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</si>
  <si>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</si>
  <si>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</si>
  <si>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</si>
  <si>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</si>
  <si>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</si>
  <si>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</si>
  <si>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</si>
  <si>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</si>
  <si>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</si>
  <si>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</si>
  <si>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</si>
  <si>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</si>
  <si>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</si>
  <si>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</si>
  <si>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</si>
  <si>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</si>
  <si>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</si>
  <si>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</si>
  <si>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</si>
  <si>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</si>
  <si>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</si>
  <si>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</si>
  <si>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</si>
  <si>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</si>
  <si>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</si>
  <si>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</si>
  <si>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</si>
  <si>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</si>
  <si>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</si>
  <si>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</si>
  <si>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</si>
  <si>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</si>
  <si>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</si>
  <si>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</si>
  <si>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</si>
  <si>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</si>
  <si>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</si>
  <si>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</si>
  <si>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</si>
  <si>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</si>
  <si>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</si>
  <si>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</si>
  <si>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</si>
  <si>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</si>
  <si>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</si>
  <si>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</si>
  <si>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</si>
  <si>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</si>
  <si>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</si>
  <si>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</si>
  <si>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</si>
  <si>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</si>
  <si>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</si>
  <si>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</si>
  <si>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</si>
  <si>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</si>
  <si>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</si>
  <si>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</si>
  <si>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</si>
  <si>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</si>
  <si>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</si>
  <si>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</si>
  <si>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</si>
  <si>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</si>
  <si>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</si>
  <si>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</si>
  <si>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</si>
  <si>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</si>
  <si>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</si>
  <si>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</si>
  <si>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</si>
  <si>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</si>
  <si>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</si>
  <si>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</si>
  <si>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</si>
  <si>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</si>
  <si>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</si>
  <si>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</si>
  <si>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</si>
  <si>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</si>
  <si>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</si>
  <si>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</si>
  <si>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</si>
  <si>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</si>
  <si>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</si>
  <si>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</si>
  <si>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</si>
  <si>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</si>
  <si>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</si>
  <si>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</si>
  <si>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</si>
  <si>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</si>
  <si>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</si>
  <si>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</si>
  <si>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</si>
  <si>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</si>
  <si>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</si>
  <si>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</si>
  <si>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</si>
  <si>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</si>
  <si>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</si>
  <si>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</si>
  <si>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</si>
  <si>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</si>
  <si>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</si>
  <si>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</si>
  <si>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</si>
  <si>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</si>
  <si>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</si>
  <si>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</si>
  <si>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</si>
  <si>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</si>
  <si>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</si>
  <si>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</si>
  <si>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</si>
  <si>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</si>
  <si>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</si>
  <si>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</si>
  <si>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</si>
  <si>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</si>
  <si>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</si>
  <si>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</si>
  <si>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</si>
  <si>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</si>
  <si>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</si>
  <si>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</si>
  <si>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</si>
  <si>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</si>
  <si>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</si>
  <si>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</si>
  <si>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</si>
  <si>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</si>
  <si>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</si>
  <si>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</si>
  <si>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</si>
  <si>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</si>
  <si>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</si>
  <si>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</si>
  <si>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</si>
  <si>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</si>
  <si>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</si>
  <si>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</si>
  <si>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</si>
  <si>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</si>
  <si>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</si>
  <si>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</si>
  <si>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</si>
  <si>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</si>
  <si>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</si>
  <si>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</si>
  <si>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</si>
  <si>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</si>
  <si>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</si>
  <si>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</si>
  <si>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</si>
  <si>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</si>
  <si>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</si>
  <si>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</si>
  <si>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</si>
  <si>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</si>
  <si>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</si>
  <si>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</si>
  <si>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</si>
  <si>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</si>
  <si>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</si>
  <si>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</si>
  <si>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</si>
  <si>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</si>
  <si>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</si>
  <si>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</si>
  <si>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</si>
  <si>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</si>
  <si>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</si>
  <si>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</si>
  <si>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</si>
  <si>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</si>
  <si>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</si>
  <si>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</si>
  <si>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</si>
  <si>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</si>
  <si>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</si>
  <si>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</si>
  <si>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</si>
  <si>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</si>
  <si>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</si>
  <si>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</si>
  <si>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</si>
  <si>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</si>
  <si>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</si>
  <si>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</si>
  <si>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</si>
  <si>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</si>
  <si>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</si>
  <si>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</si>
  <si>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</si>
  <si>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</si>
  <si>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</si>
  <si>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</si>
  <si>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</si>
  <si>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</si>
  <si>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</si>
  <si>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</si>
  <si>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</si>
  <si>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</si>
  <si>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</si>
  <si>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</si>
  <si>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</si>
  <si>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</si>
  <si>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</si>
  <si>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</si>
  <si>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</si>
  <si>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</si>
  <si>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</si>
  <si>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</si>
  <si>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</si>
  <si>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</si>
  <si>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</si>
  <si>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</si>
  <si>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</si>
  <si>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</si>
  <si>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</si>
  <si>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</si>
  <si>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</si>
  <si>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</si>
  <si>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</si>
  <si>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</si>
  <si>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</si>
  <si>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</si>
  <si>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</si>
  <si>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</si>
  <si>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</si>
  <si>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</si>
  <si>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</si>
  <si>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</si>
  <si>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</si>
  <si>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</si>
  <si>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</si>
  <si>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</si>
  <si>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</si>
  <si>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</si>
  <si>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</si>
  <si>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</si>
  <si>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</si>
  <si>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</si>
  <si>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</si>
  <si>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</si>
  <si>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</si>
  <si>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</si>
  <si>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</si>
  <si>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</si>
  <si>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</si>
  <si>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</si>
  <si>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</si>
  <si>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</si>
  <si>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</si>
  <si>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</si>
  <si>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</si>
  <si>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</si>
  <si>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</si>
  <si>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</si>
  <si>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</si>
  <si>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</si>
  <si>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</si>
  <si>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</si>
  <si>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</si>
  <si>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</si>
  <si>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</si>
  <si>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</si>
  <si>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</si>
  <si>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</si>
  <si>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</si>
  <si>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</si>
  <si>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</si>
  <si>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</si>
  <si>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</si>
  <si>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</si>
  <si>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</si>
  <si>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</si>
  <si>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</si>
  <si>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</si>
  <si>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</si>
  <si>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</si>
  <si>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</si>
  <si>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</si>
  <si>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</si>
  <si>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</si>
  <si>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</si>
  <si>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</si>
  <si>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</si>
  <si>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</si>
  <si>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</si>
  <si>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</si>
  <si>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</si>
  <si>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</si>
  <si>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</si>
  <si>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</si>
  <si>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</si>
  <si>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</si>
  <si>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</si>
  <si>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</si>
  <si>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</si>
  <si>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</si>
  <si>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</si>
  <si>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</si>
  <si>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</si>
  <si>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</si>
  <si>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</si>
  <si>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</si>
  <si>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</si>
  <si>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</si>
  <si>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</si>
  <si>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</si>
  <si>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</si>
  <si>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</si>
  <si>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</si>
  <si>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</si>
  <si>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</si>
  <si>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</si>
  <si>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</si>
  <si>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</si>
  <si>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</si>
  <si>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</si>
  <si>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</si>
  <si>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</si>
  <si>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</si>
  <si>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</si>
  <si>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</si>
  <si>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</si>
  <si>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</si>
  <si>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</si>
  <si>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</si>
  <si>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</si>
  <si>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</si>
  <si>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</si>
  <si>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</si>
  <si>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</si>
  <si>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</si>
  <si>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</si>
  <si>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</si>
  <si>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</si>
  <si>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</si>
  <si>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</si>
  <si>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</si>
  <si>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</si>
  <si>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</si>
  <si>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</si>
  <si>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</si>
  <si>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</si>
  <si>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</si>
  <si>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</si>
  <si>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</si>
  <si>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</si>
  <si>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</si>
  <si>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</si>
  <si>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</si>
  <si>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</si>
  <si>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</si>
  <si>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</si>
  <si>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</si>
  <si>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</si>
  <si>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</si>
  <si>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</si>
  <si>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</si>
  <si>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</si>
  <si>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</si>
  <si>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</si>
  <si>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</si>
  <si>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</si>
  <si>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</si>
  <si>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</si>
  <si>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</si>
  <si>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</si>
  <si>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</si>
  <si>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</si>
  <si>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</si>
  <si>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</si>
  <si>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</si>
  <si>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</si>
  <si>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</si>
  <si>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</si>
  <si>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</si>
  <si>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</si>
  <si>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</si>
  <si>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</si>
  <si>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</si>
  <si>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</si>
  <si>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</si>
  <si>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</si>
  <si>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</si>
  <si>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</si>
  <si>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</si>
  <si>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</si>
  <si>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</si>
  <si>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</si>
  <si>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</si>
  <si>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</si>
  <si>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</si>
  <si>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</si>
  <si>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</si>
  <si>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</si>
  <si>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</si>
  <si>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</si>
  <si>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</si>
  <si>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</si>
  <si>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</si>
  <si>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</si>
  <si>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</si>
  <si>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</si>
  <si>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</si>
  <si>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</si>
  <si>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</si>
  <si>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</si>
  <si>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</si>
  <si>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</si>
  <si>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</si>
  <si>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</si>
  <si>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</si>
  <si>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</si>
  <si>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</si>
  <si>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</si>
  <si>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</si>
  <si>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</si>
  <si>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</si>
  <si>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</si>
  <si>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</si>
  <si>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</si>
  <si>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</si>
  <si>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</si>
  <si>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</si>
  <si>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</si>
  <si>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</si>
  <si>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</si>
  <si>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</si>
  <si>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</si>
  <si>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</si>
  <si>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</si>
  <si>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</si>
  <si>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</si>
  <si>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</si>
  <si>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</si>
  <si>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</si>
  <si>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</si>
  <si>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</si>
  <si>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</si>
  <si>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</si>
  <si>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</si>
  <si>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</si>
  <si>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</si>
  <si>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</si>
  <si>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</si>
  <si>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</si>
  <si>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</si>
  <si>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</si>
  <si>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</si>
  <si>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</si>
  <si>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</si>
  <si>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</si>
  <si>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</si>
  <si>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</si>
  <si>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</si>
  <si>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</si>
  <si>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</si>
  <si>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</si>
  <si>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</si>
  <si>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</si>
  <si>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</si>
  <si>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</si>
  <si>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</si>
  <si>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</si>
  <si>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</si>
  <si>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</si>
  <si>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</si>
  <si>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</si>
  <si>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</si>
  <si>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</si>
  <si>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</si>
  <si>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</si>
  <si>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</si>
  <si>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</si>
  <si>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</si>
  <si>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</si>
  <si>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</si>
  <si>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</si>
  <si>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</si>
  <si>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</si>
  <si>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</si>
  <si>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</si>
  <si>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</si>
  <si>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</si>
  <si>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</si>
  <si>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</si>
  <si>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</si>
  <si>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</si>
  <si>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</si>
  <si>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</si>
  <si>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</si>
  <si>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</si>
  <si>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</si>
  <si>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</si>
  <si>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</si>
  <si>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</si>
  <si>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</si>
  <si>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</si>
  <si>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</si>
  <si>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</si>
  <si>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</si>
  <si>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</si>
  <si>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</si>
  <si>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</si>
  <si>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</si>
  <si>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</si>
  <si>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</si>
  <si>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</si>
  <si>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</si>
  <si>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</si>
  <si>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</si>
  <si>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</si>
  <si>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</si>
  <si>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</si>
  <si>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</si>
  <si>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</si>
  <si>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</si>
  <si>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</si>
  <si>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</si>
  <si>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</si>
  <si>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</si>
  <si>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</si>
  <si>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</si>
  <si>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</si>
  <si>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</si>
  <si>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</si>
  <si>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</si>
  <si>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</si>
  <si>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</si>
  <si>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</si>
  <si>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</si>
  <si>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</si>
  <si>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</si>
  <si>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</si>
  <si>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</si>
  <si>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</si>
  <si>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</si>
  <si>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</si>
  <si>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</si>
  <si>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</si>
  <si>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</si>
  <si>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</si>
  <si>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</si>
  <si>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</si>
  <si>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</si>
  <si>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</si>
  <si>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</si>
  <si>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</si>
  <si>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</si>
  <si>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</si>
  <si>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</si>
  <si>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</si>
  <si>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</si>
  <si>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</si>
  <si>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</si>
  <si>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</si>
  <si>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</si>
  <si>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</si>
  <si>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</si>
  <si>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</si>
  <si>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</si>
  <si>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</si>
  <si>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</si>
  <si>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</si>
  <si>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</si>
  <si>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</si>
  <si>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</si>
  <si>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</si>
  <si>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</si>
  <si>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</si>
  <si>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</si>
  <si>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</si>
  <si>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</si>
  <si>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</si>
  <si>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</si>
  <si>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</si>
  <si>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</si>
  <si>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</si>
  <si>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</si>
  <si>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</si>
  <si>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</si>
  <si>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</si>
  <si>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</si>
  <si>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</si>
  <si>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</si>
  <si>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</si>
  <si>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</si>
  <si>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</si>
  <si>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</si>
  <si>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</si>
  <si>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</si>
  <si>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</si>
  <si>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</si>
  <si>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</si>
  <si>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</si>
  <si>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</si>
  <si>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</si>
  <si>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</si>
  <si>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</si>
  <si>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</si>
  <si>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</si>
  <si>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</si>
  <si>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</si>
  <si>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</si>
  <si>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</si>
  <si>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</si>
  <si>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</si>
  <si>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</si>
  <si>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</si>
  <si>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</si>
  <si>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</si>
  <si>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</si>
  <si>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</si>
  <si>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</si>
  <si>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</si>
  <si>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</si>
  <si>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</si>
  <si>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</si>
  <si>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</si>
  <si>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</si>
  <si>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</si>
  <si>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</si>
  <si>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</si>
  <si>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</si>
  <si>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</si>
  <si>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</si>
  <si>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</si>
  <si>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</si>
  <si>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</si>
  <si>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</si>
  <si>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</si>
  <si>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</si>
  <si>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</si>
  <si>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</si>
  <si>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</si>
  <si>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</si>
  <si>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</si>
  <si>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</si>
  <si>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</si>
  <si>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</si>
  <si>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</si>
  <si>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</si>
  <si>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</si>
  <si>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</si>
  <si>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</si>
  <si>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</si>
  <si>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</si>
  <si>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</si>
  <si>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</si>
  <si>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</si>
  <si>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</si>
  <si>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</si>
  <si>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</si>
  <si>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</si>
  <si>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</si>
  <si>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</si>
  <si>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</si>
  <si>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</si>
  <si>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</si>
  <si>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</si>
  <si>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</si>
  <si>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</si>
  <si>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</si>
  <si>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</si>
  <si>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</si>
  <si>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</si>
  <si>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</si>
  <si>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</si>
  <si>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</si>
  <si>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</si>
  <si>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</si>
  <si>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</si>
  <si>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</si>
  <si>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</si>
  <si>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</si>
  <si>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</si>
  <si>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</si>
  <si>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</si>
  <si>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</si>
  <si>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</si>
  <si>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</si>
  <si>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</si>
  <si>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</si>
  <si>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</si>
  <si>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</si>
  <si>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</si>
  <si>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</si>
  <si>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</si>
  <si>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</si>
  <si>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</si>
  <si>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</si>
  <si>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</si>
  <si>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</si>
  <si>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</si>
  <si>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</si>
  <si>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</si>
  <si>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</si>
  <si>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</si>
  <si>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</si>
  <si>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</si>
  <si>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</si>
  <si>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</si>
  <si>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</si>
  <si>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</si>
  <si>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</si>
  <si>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</si>
  <si>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</si>
  <si>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</si>
  <si>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</si>
  <si>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</si>
  <si>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</si>
  <si>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</si>
  <si>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</si>
  <si>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</si>
  <si>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</si>
  <si>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</si>
  <si>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</si>
  <si>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</si>
  <si>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</si>
  <si>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</si>
  <si>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</si>
  <si>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</si>
  <si>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</si>
  <si>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</si>
  <si>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</si>
  <si>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</si>
  <si>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</si>
  <si>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</si>
  <si>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</si>
  <si>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</si>
  <si>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</si>
  <si>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</si>
  <si>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</si>
  <si>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</si>
  <si>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</si>
  <si>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</si>
  <si>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</si>
  <si>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</si>
  <si>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</si>
  <si>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</si>
  <si>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</si>
  <si>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</si>
  <si>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</si>
  <si>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</si>
  <si>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</si>
  <si>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</si>
  <si>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</si>
  <si>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</si>
  <si>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</si>
  <si>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</si>
  <si>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</si>
  <si>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</si>
  <si>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</si>
  <si>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</si>
  <si>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</si>
  <si>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</si>
  <si>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</si>
  <si>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</si>
  <si>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</si>
  <si>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</si>
  <si>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</si>
  <si>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</si>
  <si>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</si>
  <si>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</si>
  <si>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</si>
  <si>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</si>
  <si>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</si>
  <si>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</si>
  <si>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</si>
  <si>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</si>
  <si>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</si>
  <si>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</si>
  <si>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</si>
  <si>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</si>
  <si>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</si>
  <si>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</si>
  <si>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</si>
  <si>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</si>
  <si>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</si>
  <si>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</si>
  <si>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</si>
  <si>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</si>
  <si>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</si>
  <si>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</si>
  <si>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</si>
  <si>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</si>
  <si>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</si>
  <si>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</si>
  <si>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</si>
  <si>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</si>
  <si>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</si>
  <si>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</si>
  <si>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</si>
  <si>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</si>
  <si>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</si>
  <si>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</si>
  <si>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</si>
  <si>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</si>
  <si>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</si>
  <si>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</si>
  <si>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</si>
  <si>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</si>
  <si>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</si>
  <si>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</si>
  <si>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</si>
  <si>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</si>
  <si>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</si>
  <si>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</si>
  <si>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</si>
  <si>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</si>
  <si>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</si>
  <si>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</si>
  <si>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</si>
  <si>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</si>
  <si>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</si>
  <si>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</si>
  <si>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</si>
  <si>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</si>
  <si>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</si>
  <si>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</si>
  <si>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</si>
  <si>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</si>
  <si>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</si>
  <si>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</si>
  <si>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</si>
  <si>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</si>
  <si>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</si>
  <si>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</si>
  <si>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</si>
  <si>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</si>
  <si>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</si>
  <si>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</si>
  <si>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</si>
  <si>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</si>
  <si>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</si>
  <si>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</si>
  <si>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</si>
  <si>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</si>
  <si>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</si>
  <si>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</si>
  <si>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</si>
  <si>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</si>
  <si>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</si>
  <si>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</si>
  <si>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</si>
  <si>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</si>
  <si>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</si>
  <si>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</si>
  <si>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</si>
  <si>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</si>
  <si>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</si>
  <si>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</si>
  <si>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</si>
  <si>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</si>
  <si>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</si>
  <si>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</si>
  <si>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</si>
  <si>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</si>
  <si>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</si>
  <si>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</si>
  <si>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</si>
  <si>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</si>
  <si>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</si>
  <si>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</si>
  <si>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</si>
  <si>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</si>
  <si>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</si>
  <si>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</si>
  <si>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</si>
  <si>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</si>
  <si>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</si>
  <si>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</si>
  <si>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</si>
  <si>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</si>
  <si>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</si>
  <si>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</si>
  <si>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</si>
  <si>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</si>
  <si>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</si>
  <si>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</si>
  <si>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</si>
  <si>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</si>
  <si>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</si>
  <si>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</si>
  <si>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</si>
  <si>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</si>
  <si>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</si>
  <si>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</si>
  <si>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</si>
  <si>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</si>
  <si>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</si>
  <si>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</si>
  <si>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</si>
  <si>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</si>
  <si>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</si>
  <si>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</si>
  <si>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</si>
  <si>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</si>
  <si>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</si>
  <si>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</si>
  <si>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</si>
  <si>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</si>
  <si>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</si>
  <si>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</si>
  <si>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</si>
  <si>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</si>
  <si>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</si>
  <si>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</si>
  <si>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</si>
  <si>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</si>
  <si>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</si>
  <si>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</si>
  <si>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</si>
  <si>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</si>
  <si>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</si>
  <si>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</si>
  <si>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</si>
  <si>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</si>
  <si>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</si>
  <si>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</si>
  <si>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</si>
  <si>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</si>
  <si>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</si>
  <si>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</si>
  <si>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</si>
  <si>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</si>
  <si>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</si>
  <si>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</si>
  <si>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</si>
  <si>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</si>
  <si>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</si>
  <si>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</si>
  <si>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</si>
  <si>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</si>
  <si>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</si>
  <si>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</si>
  <si>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</si>
  <si>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</si>
  <si>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</si>
  <si>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</si>
  <si>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</si>
  <si>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</si>
  <si>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</si>
  <si>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</si>
  <si>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</si>
  <si>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</si>
  <si>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</si>
  <si>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</si>
  <si>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</si>
  <si>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</si>
  <si>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</si>
  <si>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</si>
  <si>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</si>
  <si>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</si>
  <si>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</si>
  <si>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</si>
  <si>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</si>
  <si>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</si>
  <si>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</si>
  <si>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</si>
  <si>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</si>
  <si>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</si>
  <si>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</si>
  <si>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</si>
  <si>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</si>
  <si>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</si>
  <si>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</si>
  <si>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</si>
  <si>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</si>
  <si>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</si>
  <si>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</si>
  <si>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</si>
  <si>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</si>
  <si>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</si>
  <si>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</si>
  <si>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</si>
  <si>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</si>
  <si>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</si>
  <si>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</si>
  <si>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</si>
  <si>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</si>
  <si>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</si>
  <si>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</si>
  <si>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</si>
  <si>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</si>
  <si>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</si>
  <si>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</si>
  <si>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</si>
  <si>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</si>
  <si>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</si>
  <si>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</si>
  <si>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</si>
  <si>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</si>
  <si>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</si>
  <si>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</si>
  <si>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</si>
  <si>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</si>
  <si>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</si>
  <si>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</si>
  <si>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</si>
  <si>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</si>
  <si>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</si>
  <si>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</si>
  <si>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</si>
  <si>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</si>
  <si>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</si>
  <si>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</si>
  <si>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</si>
  <si>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</si>
  <si>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</si>
  <si>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</si>
  <si>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</si>
  <si>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</si>
  <si>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</si>
  <si>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</si>
  <si>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</si>
  <si>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</si>
  <si>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</si>
  <si>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</si>
  <si>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</si>
  <si>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</si>
  <si>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</si>
  <si>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</si>
  <si>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</si>
  <si>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</si>
  <si>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</si>
  <si>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</si>
  <si>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</si>
  <si>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</si>
  <si>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</si>
  <si>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</si>
  <si>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</si>
  <si>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</si>
  <si>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</si>
  <si>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</si>
  <si>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</si>
  <si>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</si>
  <si>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</si>
  <si>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</si>
  <si>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</si>
  <si>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</si>
  <si>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</si>
  <si>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</si>
  <si>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</si>
  <si>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</si>
  <si>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</si>
  <si>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</si>
  <si>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</si>
  <si>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</si>
  <si>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</si>
  <si>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</si>
  <si>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</si>
  <si>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</si>
  <si>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</si>
  <si>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</si>
  <si>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</si>
  <si>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</si>
  <si>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</si>
  <si>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</si>
  <si>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</si>
  <si>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</si>
  <si>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</si>
  <si>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</si>
  <si>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</si>
  <si>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</si>
  <si>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</si>
  <si>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</si>
  <si>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</si>
  <si>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</si>
  <si>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</si>
  <si>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</si>
  <si>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</si>
  <si>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</si>
  <si>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</si>
  <si>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</si>
  <si>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</si>
  <si>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</si>
  <si>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</si>
  <si>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</si>
  <si>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</si>
  <si>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</si>
  <si>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</si>
  <si>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</si>
  <si>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</si>
  <si>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</si>
  <si>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</si>
  <si>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</si>
  <si>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</si>
  <si>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</si>
  <si>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</si>
  <si>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</si>
  <si>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</si>
  <si>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</si>
  <si>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</si>
  <si>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</si>
  <si>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</si>
  <si>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</si>
  <si>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</si>
  <si>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</si>
  <si>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</si>
  <si>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</si>
  <si>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</si>
  <si>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</si>
  <si>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</si>
  <si>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</si>
  <si>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</si>
  <si>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</si>
  <si>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</si>
  <si>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</si>
  <si>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</si>
  <si>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</si>
  <si>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</si>
  <si>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</si>
  <si>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</si>
  <si>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</si>
  <si>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</si>
  <si>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</si>
  <si>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</si>
  <si>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</si>
  <si>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</si>
  <si>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</si>
  <si>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</si>
  <si>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</si>
  <si>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</si>
  <si>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</si>
  <si>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</si>
  <si>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</si>
  <si>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</si>
  <si>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</si>
  <si>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</si>
  <si>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</si>
  <si>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</si>
  <si>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</si>
  <si>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</si>
  <si>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</si>
  <si>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</si>
  <si>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</si>
  <si>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</si>
  <si>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</si>
  <si>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</si>
  <si>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</si>
  <si>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</si>
  <si>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</si>
  <si>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</si>
  <si>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</si>
  <si>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</si>
  <si>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</si>
  <si>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</si>
  <si>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</si>
  <si>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</si>
  <si>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</si>
  <si>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</si>
  <si>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</si>
  <si>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</si>
  <si>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</si>
  <si>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</si>
  <si>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</si>
  <si>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</si>
  <si>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</si>
  <si>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</si>
  <si>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</si>
  <si>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</si>
  <si>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</si>
  <si>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</si>
  <si>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</si>
  <si>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</si>
  <si>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</si>
  <si>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</si>
  <si>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</si>
  <si>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</si>
  <si>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</si>
  <si>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</si>
  <si>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</si>
  <si>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</si>
  <si>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</si>
  <si>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</si>
  <si>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</si>
  <si>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</si>
  <si>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</si>
  <si>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</si>
  <si>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</si>
  <si>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</si>
  <si>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</si>
  <si>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</si>
  <si>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</si>
  <si>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</si>
  <si>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</si>
  <si>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</si>
  <si>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</si>
  <si>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</si>
  <si>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</si>
  <si>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</si>
  <si>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</si>
  <si>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</si>
  <si>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</si>
  <si>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</si>
  <si>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</si>
  <si>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</si>
  <si>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</si>
  <si>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</si>
  <si>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</si>
  <si>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</si>
  <si>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</si>
  <si>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</si>
  <si>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</si>
  <si>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</si>
  <si>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</si>
  <si>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</si>
  <si>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</si>
  <si>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</si>
  <si>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</si>
  <si>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</si>
  <si>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</si>
  <si>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</si>
  <si>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</si>
  <si>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</si>
  <si>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</si>
  <si>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</si>
  <si>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</si>
  <si>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</si>
  <si>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</si>
  <si>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</si>
  <si>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</si>
  <si>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</si>
  <si>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</si>
  <si>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</si>
  <si>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</si>
  <si>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</si>
  <si>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</si>
  <si>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</si>
  <si>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</si>
  <si>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</si>
  <si>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</si>
  <si>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</si>
  <si>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</si>
  <si>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</si>
  <si>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</si>
  <si>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</si>
  <si>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</si>
  <si>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</si>
  <si>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</si>
  <si>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</si>
  <si>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</si>
  <si>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</si>
  <si>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</si>
  <si>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</si>
  <si>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</si>
  <si>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</si>
  <si>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</si>
  <si>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</si>
  <si>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</si>
  <si>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</si>
  <si>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</si>
  <si>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</si>
  <si>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</si>
  <si>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</si>
  <si>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</si>
  <si>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</si>
  <si>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</si>
  <si>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</si>
  <si>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</si>
  <si>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</si>
  <si>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</si>
  <si>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</si>
  <si>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</si>
  <si>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</si>
  <si>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</si>
  <si>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</si>
  <si>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</si>
  <si>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</si>
  <si>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</si>
  <si>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</si>
  <si>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</si>
  <si>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</si>
  <si>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</si>
  <si>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</si>
  <si>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</si>
  <si>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</si>
  <si>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</si>
  <si>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</si>
  <si>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</si>
  <si>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</si>
  <si>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</si>
  <si>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</si>
  <si>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</si>
  <si>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</si>
  <si>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</si>
  <si>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</si>
  <si>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</si>
  <si>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</si>
  <si>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</si>
  <si>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</si>
  <si>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</si>
  <si>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</si>
  <si>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</si>
  <si>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</si>
  <si>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</si>
  <si>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</si>
  <si>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</si>
  <si>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</si>
  <si>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</si>
  <si>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</si>
  <si>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</si>
  <si>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</si>
  <si>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</si>
  <si>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</si>
  <si>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</si>
  <si>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</si>
  <si>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</si>
  <si>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</si>
  <si>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</si>
  <si>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</si>
  <si>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</si>
  <si>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</si>
  <si>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</si>
  <si>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</si>
  <si>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</si>
  <si>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</si>
  <si>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</si>
  <si>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</si>
  <si>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</si>
  <si>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</si>
  <si>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</si>
  <si>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</si>
  <si>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</si>
  <si>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</si>
  <si>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</si>
  <si>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</si>
  <si>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</si>
  <si>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</si>
  <si>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</si>
  <si>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</si>
  <si>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</si>
  <si>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</si>
  <si>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</si>
  <si>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</si>
  <si>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</si>
  <si>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</si>
  <si>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</si>
  <si>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</si>
  <si>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</si>
  <si>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</si>
  <si>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</si>
  <si>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</si>
  <si>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</si>
  <si>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</si>
  <si>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</si>
  <si>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</si>
  <si>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</si>
  <si>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</si>
  <si>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</si>
  <si>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</si>
  <si>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</si>
  <si>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</si>
  <si>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</si>
  <si>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</si>
  <si>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</si>
  <si>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</si>
  <si>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</si>
  <si>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</si>
  <si>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</si>
  <si>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</si>
  <si>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</si>
  <si>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</si>
  <si>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</si>
  <si>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</si>
  <si>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</si>
  <si>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</si>
  <si>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</si>
  <si>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</si>
  <si>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</si>
  <si>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</si>
  <si>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</si>
  <si>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</si>
  <si>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</si>
  <si>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</si>
  <si>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</si>
  <si>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</si>
  <si>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</si>
  <si>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</si>
  <si>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</si>
  <si>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</si>
  <si>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</si>
  <si>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</si>
  <si>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</si>
  <si>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</si>
  <si>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</si>
  <si>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</si>
  <si>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</si>
  <si>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</si>
  <si>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</si>
  <si>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</si>
  <si>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</si>
  <si>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</si>
  <si>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</si>
  <si>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</si>
  <si>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</si>
  <si>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</si>
  <si>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</si>
  <si>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</si>
  <si>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</si>
  <si>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</si>
  <si>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</si>
  <si>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</si>
  <si>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</si>
  <si>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</si>
  <si>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</si>
  <si>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</si>
  <si>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</si>
  <si>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</si>
  <si>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</si>
  <si>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</si>
  <si>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</si>
  <si>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</si>
  <si>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</si>
  <si>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</si>
  <si>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</si>
  <si>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</si>
  <si>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</si>
  <si>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</si>
  <si>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</si>
  <si>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</si>
  <si>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</si>
  <si>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</si>
  <si>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</si>
  <si>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</si>
  <si>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</si>
  <si>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</si>
  <si>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</si>
  <si>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</si>
  <si>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</si>
  <si>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</si>
  <si>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</si>
  <si>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</si>
  <si>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</si>
  <si>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</si>
  <si>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</si>
  <si>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</si>
  <si>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</si>
  <si>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</si>
  <si>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</si>
  <si>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</si>
  <si>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</si>
  <si>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</si>
  <si>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</si>
  <si>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</si>
  <si>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</si>
  <si>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</si>
  <si>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</si>
  <si>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</si>
  <si>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</si>
  <si>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</si>
  <si>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</si>
  <si>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</si>
  <si>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</si>
  <si>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</si>
  <si>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</si>
  <si>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</si>
  <si>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</si>
  <si>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</si>
  <si>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</si>
  <si>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</si>
  <si>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</si>
  <si>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</si>
  <si>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</si>
  <si>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</si>
  <si>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</si>
  <si>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</si>
  <si>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</si>
  <si>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</si>
  <si>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</si>
  <si>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</si>
  <si>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</si>
  <si>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</si>
  <si>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</si>
  <si>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</si>
  <si>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</si>
  <si>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</si>
  <si>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</si>
  <si>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</si>
  <si>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</si>
  <si>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</si>
  <si>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</si>
  <si>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</si>
  <si>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</si>
  <si>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</si>
  <si>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</si>
  <si>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</si>
  <si>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</si>
  <si>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</si>
  <si>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</si>
  <si>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</si>
  <si>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</si>
  <si>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</si>
  <si>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</si>
  <si>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</si>
  <si>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</si>
  <si>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</si>
  <si>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</si>
  <si>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</si>
  <si>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</si>
  <si>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</si>
  <si>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</si>
  <si>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</si>
  <si>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</si>
  <si>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</si>
  <si>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</si>
  <si>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</si>
  <si>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</si>
  <si>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</si>
  <si>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</si>
  <si>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</si>
  <si>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</si>
  <si>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</si>
  <si>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</si>
  <si>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</si>
  <si>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</si>
  <si>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</si>
  <si>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</si>
  <si>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</si>
  <si>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</si>
  <si>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</si>
  <si>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</si>
  <si>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</si>
  <si>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</si>
  <si>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</si>
  <si>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</si>
  <si>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</si>
  <si>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</si>
  <si>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</si>
  <si>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</si>
  <si>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</si>
  <si>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</si>
  <si>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</si>
  <si>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</si>
  <si>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</si>
  <si>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</si>
  <si>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</si>
  <si>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</si>
  <si>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</si>
  <si>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</si>
  <si>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</si>
  <si>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</si>
  <si>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</si>
  <si>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</si>
  <si>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</si>
  <si>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</si>
  <si>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</si>
  <si>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</si>
  <si>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</si>
  <si>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</si>
  <si>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</si>
  <si>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</si>
  <si>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</si>
  <si>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</si>
  <si>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</si>
  <si>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</si>
  <si>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</si>
  <si>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</si>
  <si>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</si>
  <si>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</si>
  <si>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</si>
  <si>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</si>
  <si>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</si>
  <si>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</si>
  <si>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</si>
  <si>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</si>
  <si>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</si>
  <si>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</si>
  <si>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</si>
  <si>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</si>
  <si>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</si>
  <si>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</si>
  <si>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</si>
  <si>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</si>
  <si>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</si>
  <si>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</si>
  <si>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</si>
  <si>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</si>
  <si>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</si>
  <si>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</si>
  <si>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</si>
  <si>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</si>
  <si>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</si>
  <si>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</si>
  <si>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</si>
  <si>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</si>
  <si>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</si>
  <si>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</si>
  <si>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</si>
  <si>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</si>
  <si>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</si>
  <si>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</si>
  <si>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</si>
  <si>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</si>
  <si>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</si>
  <si>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</si>
  <si>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</si>
  <si>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</si>
  <si>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</si>
  <si>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</si>
  <si>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</si>
  <si>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</si>
  <si>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</si>
  <si>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</si>
  <si>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</si>
  <si>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</si>
  <si>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</si>
  <si>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</si>
  <si>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</si>
  <si>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</si>
  <si>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</si>
  <si>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</si>
  <si>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</si>
  <si>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</si>
  <si>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</si>
  <si>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</si>
  <si>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</si>
  <si>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</si>
  <si>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</si>
  <si>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</si>
  <si>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</si>
  <si>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</si>
  <si>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</si>
  <si>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</si>
  <si>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</si>
  <si>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</si>
  <si>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</si>
  <si>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</si>
  <si>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</si>
  <si>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</si>
  <si>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</si>
  <si>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</si>
  <si>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</si>
  <si>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</si>
  <si>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</si>
  <si>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</si>
  <si>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</si>
  <si>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</si>
  <si>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</si>
  <si>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</si>
  <si>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</si>
  <si>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</si>
  <si>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</si>
  <si>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</si>
  <si>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</si>
  <si>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</si>
  <si>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</si>
  <si>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</si>
  <si>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</si>
  <si>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</si>
  <si>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</si>
  <si>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</si>
  <si>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</si>
  <si>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</si>
  <si>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</si>
  <si>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</si>
  <si>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</si>
  <si>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</si>
  <si>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</si>
  <si>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</si>
  <si>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</si>
  <si>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</si>
  <si>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</si>
  <si>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</si>
  <si>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</si>
  <si>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</si>
  <si>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</si>
  <si>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</si>
  <si>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</si>
  <si>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</si>
  <si>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</si>
  <si>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</si>
  <si>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</si>
  <si>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</si>
  <si>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</si>
  <si>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</si>
  <si>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</si>
  <si>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</si>
  <si>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</si>
  <si>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</si>
  <si>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</si>
  <si>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</si>
  <si>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</si>
  <si>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</si>
  <si>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</si>
  <si>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</si>
  <si>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</si>
  <si>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</si>
  <si>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</si>
  <si>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</si>
  <si>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</si>
  <si>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</si>
  <si>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</si>
  <si>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</si>
  <si>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</si>
  <si>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</si>
  <si>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</si>
  <si>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</si>
  <si>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</si>
  <si>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</si>
  <si>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</si>
  <si>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</si>
  <si>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</si>
  <si>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</si>
  <si>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</si>
  <si>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</si>
  <si>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</si>
  <si>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</si>
  <si>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</si>
  <si>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</si>
  <si>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</si>
  <si>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</si>
  <si>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</si>
  <si>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</si>
  <si>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</si>
  <si>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</si>
  <si>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</si>
  <si>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</si>
  <si>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</si>
  <si>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</si>
  <si>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</si>
  <si>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</si>
  <si>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</si>
  <si>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</si>
  <si>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</si>
  <si>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</si>
  <si>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</si>
  <si>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</si>
  <si>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</si>
  <si>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</si>
  <si>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</si>
  <si>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</si>
  <si>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</si>
  <si>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</si>
  <si>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</si>
  <si>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</si>
  <si>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</si>
  <si>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</si>
  <si>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</si>
  <si>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</si>
  <si>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</si>
  <si>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</si>
  <si>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</si>
  <si>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</si>
  <si>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</si>
  <si>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</si>
  <si>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</si>
  <si>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</si>
  <si>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</si>
  <si>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</si>
  <si>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</si>
  <si>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</si>
  <si>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</si>
  <si>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-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</si>
  <si>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</si>
  <si>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</si>
  <si>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</si>
  <si>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</si>
  <si>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</si>
  <si>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</si>
  <si>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</si>
  <si>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</si>
  <si>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</si>
  <si>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</si>
  <si>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</si>
  <si>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</si>
  <si>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</si>
  <si>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</si>
  <si>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</si>
  <si>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</si>
  <si>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</si>
  <si>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</si>
  <si>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</si>
  <si>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</si>
  <si>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</si>
  <si>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</si>
  <si>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</si>
  <si>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</si>
  <si>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</si>
  <si>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</si>
  <si>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</si>
  <si>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</si>
  <si>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</si>
  <si>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Queued</t>
  </si>
  <si>
    <t>607095-004-0323200</t>
  </si>
  <si>
    <t>IDBI</t>
  </si>
  <si>
    <t>Upload Fastag ImageGet HelpCheck Tag Status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</si>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</sst>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  <xf numFmtId="0" fontId="22" fillId="0" borderId="0" xfId="0" applyFont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83" totalsRowShown="0" headerRowDxfId="81" dataDxfId="80">
  <autoFilter ref="A1:R283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24" totalsRowShown="0" headerRowDxfId="17" dataDxfId="16">
  <autoFilter ref="A2:H124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15"/>
    <tableColumn id="11" xr3:uid="{7AA66E15-5D81-45A6-A480-BC2F7EFDEB4C}" name="Name" dataDxfId="14"/>
    <tableColumn id="10" xr3:uid="{DA1D923C-25B3-4F76-823C-435E6464FF55}" name="Contact" dataDxfId="13"/>
    <tableColumn id="2" xr3:uid="{5FEBD558-5EB7-4421-BA25-DCAC1134B168}" name="Barcode No." dataDxfId="12"/>
    <tableColumn id="12" xr3:uid="{77758C8B-F2C8-47C0-B104-570729F9693B}" name="Reg Num" dataDxfId="11"/>
    <tableColumn id="5" xr3:uid="{9AC97A3F-3009-4A59-ACCF-A178780E6F61}" name="Date" dataDxfId="10"/>
    <tableColumn id="7" xr3:uid="{82C8F4C5-8489-4228-83CC-0B9666328CDD}" name="CHANNEL" dataDxfId="9"/>
    <tableColumn id="8" xr3:uid="{DDF1FC61-A0D6-46E9-9515-6DDC5AB1E932}" name="Status" dataDxfId="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6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5"/>
    <tableColumn id="2" xr3:uid="{1E57C5CE-907A-4DF0-BCA2-BBCD2651216C}" name="APPLICATION NO." dataDxfId="34"/>
    <tableColumn id="3" xr3:uid="{F626713A-3C61-423D-BD37-451203C3E29C}" name="CHASSIS" dataDxfId="33"/>
    <tableColumn id="4" xr3:uid="{32C5A048-ADD8-4648-8106-9F20D6757D66}" name="NAME" dataDxfId="32"/>
    <tableColumn id="5" xr3:uid="{BA1FDE8E-99ED-4918-A545-B2E041B306D6}" name="MODEL" dataDxfId="31"/>
    <tableColumn id="6" xr3:uid="{872ECA2D-515D-4EDE-B60A-82A8BDEFEDCC}" name="COLOR" dataDxfId="30"/>
    <tableColumn id="7" xr3:uid="{C729A2AA-8F61-4959-9BE7-9F1BD3A49990}" name="RTO" dataDxfId="29"/>
    <tableColumn id="8" xr3:uid="{49CDED17-8118-4E4F-BBF5-6407D0788647}" name="REG NUM" dataDxfId="28"/>
    <tableColumn id="9" xr3:uid="{6E044422-F791-464A-944A-0668F0C8112F}" name="DATE OF REG" dataDxfId="27"/>
    <tableColumn id="11" xr3:uid="{942D52E6-8B19-4B1A-ADDF-6D959D8E7BE1}" name="DSE" dataDxfId="26"/>
    <tableColumn id="12" xr3:uid="{04B58679-3282-4D6D-BF3E-2233E3C4DC81}" name="RC RECEIVED BY" dataDxfId="2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4" tableBorderDxfId="23" totalsRowBorderDxfId="22">
  <autoFilter ref="B27:E32" xr:uid="{859DCBAE-920B-4469-9E0B-BF5ADC0248E9}"/>
  <tableColumns count="4">
    <tableColumn id="1" xr3:uid="{898528DA-B3AC-435C-B00C-9234887E5F11}" name="REG NUM" dataDxfId="21"/>
    <tableColumn id="2" xr3:uid="{89440296-A536-440E-A74B-186B5A98AE6C}" name="DATE OF REG" dataDxfId="20"/>
    <tableColumn id="3" xr3:uid="{7A04E3EB-93DA-4428-AB0C-3D251E144655}" name="RC RECEIVED BY" dataDxfId="19"/>
    <tableColumn id="4" xr3:uid="{0D350352-EB5F-413B-8CE6-3B46D80C3172}" name="DATE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61"/>
  <sheetViews>
    <sheetView tabSelected="1" topLeftCell="A260" zoomScaleNormal="100" workbookViewId="0">
      <selection activeCell="B268" sqref="B26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7463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1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1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6536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8" si="2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3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2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2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2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2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2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2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2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2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2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2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2"/>
        <v>94</v>
      </c>
      <c r="B95" s="47" t="s">
        <v>6515</v>
      </c>
      <c r="C95" s="47" t="s">
        <v>6516</v>
      </c>
      <c r="D95" s="47"/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2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2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/>
      <c r="N100" s="48"/>
      <c r="O100" s="47"/>
      <c r="P100" s="50"/>
      <c r="Q100" s="47"/>
      <c r="R100" s="47"/>
    </row>
    <row r="101" spans="1:23" x14ac:dyDescent="0.25">
      <c r="A101" s="47">
        <f t="shared" si="2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2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2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3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2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3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2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2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/>
      <c r="N110" s="48"/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/>
      <c r="N111" s="48"/>
      <c r="O111" s="47"/>
      <c r="P111" s="50"/>
      <c r="Q111" s="47"/>
      <c r="R111" s="47"/>
    </row>
    <row r="112" spans="1:23" x14ac:dyDescent="0.25">
      <c r="A112" s="47">
        <f t="shared" si="2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2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2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3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2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2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2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2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2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/>
      <c r="N121" s="48"/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2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2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2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ref="A129:A192" si="4"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4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4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4"/>
        <v>131</v>
      </c>
      <c r="B132" s="47" t="s">
        <v>6733</v>
      </c>
      <c r="C132" s="47" t="s">
        <v>6731</v>
      </c>
      <c r="D132" s="47" t="s">
        <v>6732</v>
      </c>
      <c r="E132" s="47" t="s">
        <v>6730</v>
      </c>
      <c r="F132" s="47" t="s">
        <v>31</v>
      </c>
      <c r="G132" s="47" t="s">
        <v>199</v>
      </c>
      <c r="H132" s="47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6741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4"/>
        <v>132</v>
      </c>
      <c r="B133" s="47" t="s">
        <v>6735</v>
      </c>
      <c r="C133" s="47" t="s">
        <v>6736</v>
      </c>
      <c r="D133" s="47" t="s">
        <v>6742</v>
      </c>
      <c r="E133" s="47" t="s">
        <v>6737</v>
      </c>
      <c r="F133" s="47" t="s">
        <v>119</v>
      </c>
      <c r="G133" s="47" t="s">
        <v>221</v>
      </c>
      <c r="H133" s="47" t="str">
        <f t="shared" ref="H133:H189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47" t="s">
        <v>6734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4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4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6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4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4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4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6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4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4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6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4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4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4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6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4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4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4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6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6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4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4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6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4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6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4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4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si="6"/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4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6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4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4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4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4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4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4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6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4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4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4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6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6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4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6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4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4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6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4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4"/>
        <v>182</v>
      </c>
      <c r="B183" s="47" t="s">
        <v>7044</v>
      </c>
      <c r="C183" s="47" t="s">
        <v>7045</v>
      </c>
      <c r="D183" s="47" t="s">
        <v>7046</v>
      </c>
      <c r="E183" s="47" t="s">
        <v>7047</v>
      </c>
      <c r="F183" s="47" t="s">
        <v>119</v>
      </c>
      <c r="G183" s="47" t="s">
        <v>200</v>
      </c>
      <c r="H183" s="47" t="str">
        <f t="shared" si="6"/>
        <v>BUDGAM</v>
      </c>
      <c r="I183" s="47" t="s">
        <v>7065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4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6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4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4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6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4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4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4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 t="shared" ref="H191" si="7"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ref="A193:A257" si="8">ROW()-1</f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>IF(LEFT(I193,4)="JK13","PULWAMA",IF(LEFT(I193,4)="JK01","SRINAGAR",IF(LEFT(I193,4)="JK04","BUDGAM",IF(LEFT(I193,4)="JK03","ANANTNAG",IF(LEFT(I193,4)="JK05","BARAMULLA",IF(LEFT(I193,4)="25BH","BHARAT",IF(LEFT(I193,4)="JK12","POONCH",IF(LEFT(I193,4)="JK18","KULGAM",IF(LEFT(I193,4)="JK22","SHOPIAN",IF(LEFT(I193,4)="T102","TEMP",IF(LEFT(I193,4)="JK09","KUPWARA",IF(LEFT(I193,4)="JK15","BANDIPORA",IF(LEFT(I193,4)="T112","KARGIL","NEW")))))))))))))</f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8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>IF(LEFT(I194,4)="JK13","PULWAMA",IF(LEFT(I194,4)="JK01","SRINAGAR",IF(LEFT(I194,4)="JK04","BUDGAM",IF(LEFT(I194,4)="JK03","ANANTNAG",IF(LEFT(I194,4)="JK05","BARAMULLA",IF(LEFT(I194,4)="25BH","BHARAT",IF(LEFT(I194,4)="JK12","POONCH",IF(LEFT(I194,4)="JK18","KULGAM",IF(LEFT(I194,4)="JK22","SHOPIAN",IF(LEFT(I194,4)="T102","TEMP",IF(LEFT(I194,4)="JK09","KUPWARA",IF(LEFT(I194,4)="JK15","BANDIPORA",IF(LEFT(I194,4)="T112","KARGIL","NEW")))))))))))))</f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8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ref="H195:H222" si="9">IF(LEFT(I195,4)="JK13","PULWAMA",IF(LEFT(I195,4)="JK01","SRINAGAR",IF(LEFT(I195,4)="JK04","BUDGAM",IF(LEFT(I195,4)="JK03","ANANTNAG",IF(LEFT(I195,4)="JK05","BARAMULLA",IF(LEFT(I195,4)="25BH","BHARAT",IF(LEFT(I195,4)="JK12","POONCH",IF(LEFT(I195,4)="JK18","KULGAM",IF(LEFT(I195,4)="JK22","SHOPIAN",IF(LEFT(I195,4)="T102","TEMP",IF(LEFT(I195,4)="JK09","KUPWARA",IF(LEFT(I195,4)="JK15","BANDIPORA",IF(LEFT(I195,4)="T112","KARGIL","NEW")))))))))))))</f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8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9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8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9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/>
      <c r="N197" s="48"/>
      <c r="O197" s="47"/>
      <c r="P197" s="50"/>
      <c r="Q197" s="47"/>
      <c r="R197" s="47" t="s">
        <v>7195</v>
      </c>
    </row>
    <row r="198" spans="1:18" x14ac:dyDescent="0.25">
      <c r="A198" s="47">
        <f t="shared" si="8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9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8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9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8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9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8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9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/>
      <c r="N201" s="48"/>
      <c r="O201" s="47"/>
      <c r="P201" s="50"/>
      <c r="Q201" s="47"/>
      <c r="R201" s="47" t="s">
        <v>7195</v>
      </c>
    </row>
    <row r="202" spans="1:18" x14ac:dyDescent="0.25">
      <c r="A202" s="47">
        <f t="shared" si="8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9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8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9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8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9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8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9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8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9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8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9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8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9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8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9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8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9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7458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8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9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8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9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8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9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8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9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/>
      <c r="N214" s="48"/>
      <c r="O214" s="47"/>
      <c r="P214" s="50"/>
      <c r="Q214" s="47"/>
      <c r="R214" s="47"/>
    </row>
    <row r="215" spans="1:18" x14ac:dyDescent="0.25">
      <c r="A215" s="47">
        <f t="shared" si="8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9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8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>IF(LEFT(I216,4)="JK13","PULWAMA",IF(LEFT(I216,4)="JK01","SRINAGAR",IF(LEFT(I216,4)="JK04","BUDGAM",IF(LEFT(I216,4)="JK03","ANANTNAG",IF(LEFT(I216,4)="JK05","BARAMULLA",IF(LEFT(I216,4)="25BH","BHARAT",IF(LEFT(I216,4)="JK12","POONCH",IF(LEFT(I216,4)="JK18","KULGAM",IF(LEFT(I216,4)="JK22","SHOPIAN",IF(LEFT(I216,4)="T102","TEMP",IF(LEFT(I216,4)="JK09","KUPWARA",IF(LEFT(I216,4)="JK15","BANDIPORA",IF(LEFT(I216,4)="T112","KARGIL","NEW")))))))))))))</f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8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9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8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9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8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9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8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9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7459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8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9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/>
      <c r="N221" s="48"/>
      <c r="O221" s="47"/>
      <c r="P221" s="50"/>
      <c r="Q221" s="47"/>
      <c r="R221" s="47" t="s">
        <v>7294</v>
      </c>
    </row>
    <row r="222" spans="1:18" x14ac:dyDescent="0.25">
      <c r="A222" s="47">
        <f t="shared" si="8"/>
        <v>221</v>
      </c>
      <c r="B222" s="47" t="s">
        <v>7288</v>
      </c>
      <c r="C222" s="47" t="s">
        <v>7289</v>
      </c>
      <c r="D222" s="47" t="s">
        <v>7290</v>
      </c>
      <c r="E222" s="47" t="s">
        <v>7291</v>
      </c>
      <c r="F222" s="47" t="s">
        <v>6546</v>
      </c>
      <c r="G222" s="47" t="s">
        <v>6475</v>
      </c>
      <c r="H222" s="47" t="str">
        <f t="shared" si="9"/>
        <v>SRINAGAR</v>
      </c>
      <c r="I222" s="47" t="s">
        <v>7293</v>
      </c>
      <c r="J222" s="48">
        <v>46010</v>
      </c>
      <c r="K222" s="47">
        <v>9018112121</v>
      </c>
      <c r="L222" s="47" t="s">
        <v>26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8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ref="H223:H232" si="10">IF(LEFT(I223,4)="JK13","PULWAMA",IF(LEFT(I223,4)="JK01","SRINAGAR",IF(LEFT(I223,4)="JK04","BUDGAM",IF(LEFT(I223,4)="JK03","ANANTNAG",IF(LEFT(I223,4)="JK05","BARAMULLA",IF(LEFT(I223,4)="25BH","BHARAT",IF(LEFT(I223,4)="JK12","POONCH",IF(LEFT(I223,4)="JK18","KULGAM",IF(LEFT(I223,4)="JK22","SHOPIAN",IF(LEFT(I223,4)="T102","TEMP",IF(LEFT(I223,4)="JK09","KUPWARA",IF(LEFT(I223,4)="JK15","BANDIPORA",IF(LEFT(I223,4)="T112","KARGIL","NEW")))))))))))))</f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8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si="10"/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8"/>
        <v>224</v>
      </c>
      <c r="B225" s="47" t="s">
        <v>7307</v>
      </c>
      <c r="C225" s="47" t="s">
        <v>7308</v>
      </c>
      <c r="D225" s="47" t="s">
        <v>7309</v>
      </c>
      <c r="E225" s="47" t="s">
        <v>7310</v>
      </c>
      <c r="F225" s="47" t="s">
        <v>1264</v>
      </c>
      <c r="G225" s="47" t="s">
        <v>174</v>
      </c>
      <c r="H225" s="47" t="str">
        <f t="shared" si="10"/>
        <v>BUDGAM</v>
      </c>
      <c r="I225" s="47" t="s">
        <v>7322</v>
      </c>
      <c r="J225" s="48">
        <v>46011</v>
      </c>
      <c r="K225" s="47">
        <v>9797913220</v>
      </c>
      <c r="L225" s="47" t="s">
        <v>26</v>
      </c>
      <c r="M225" s="49"/>
      <c r="N225" s="48"/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8"/>
        <v>225</v>
      </c>
      <c r="B226" s="47" t="s">
        <v>7314</v>
      </c>
      <c r="C226" s="47" t="s">
        <v>7311</v>
      </c>
      <c r="D226" s="47" t="s">
        <v>7312</v>
      </c>
      <c r="E226" s="47" t="s">
        <v>7313</v>
      </c>
      <c r="F226" s="47" t="s">
        <v>238</v>
      </c>
      <c r="G226" s="47" t="s">
        <v>200</v>
      </c>
      <c r="H226" s="47" t="str">
        <f t="shared" si="10"/>
        <v>PULWAMA</v>
      </c>
      <c r="I226" s="47" t="s">
        <v>7321</v>
      </c>
      <c r="J226" s="48">
        <v>46011</v>
      </c>
      <c r="K226" s="47">
        <v>7006878734</v>
      </c>
      <c r="L226" s="47" t="s">
        <v>26</v>
      </c>
      <c r="M226" s="49"/>
      <c r="N226" s="48"/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8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0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8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0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/>
      <c r="N228" s="48"/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8"/>
        <v>228</v>
      </c>
      <c r="B229" s="47" t="s">
        <v>7330</v>
      </c>
      <c r="C229" s="47" t="s">
        <v>7326</v>
      </c>
      <c r="D229" s="47" t="s">
        <v>7327</v>
      </c>
      <c r="E229" s="47" t="s">
        <v>7328</v>
      </c>
      <c r="F229" s="47" t="s">
        <v>31</v>
      </c>
      <c r="G229" s="47" t="s">
        <v>174</v>
      </c>
      <c r="H229" s="47" t="str">
        <f t="shared" si="10"/>
        <v>SRINAGAR</v>
      </c>
      <c r="I229" s="47" t="s">
        <v>7329</v>
      </c>
      <c r="J229" s="48">
        <v>46011</v>
      </c>
      <c r="K229" s="47">
        <v>9622755213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8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0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8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0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8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0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8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ref="H233:H245" si="11">IF(LEFT(I233,4)="JK13","PULWAMA",IF(LEFT(I233,4)="JK01","SRINAGAR",IF(LEFT(I233,4)="JK04","BUDGAM",IF(LEFT(I233,4)="JK03","ANANTNAG",IF(LEFT(I233,4)="JK05","BARAMULLA",IF(LEFT(I233,4)="25BH","BHARAT",IF(LEFT(I233,4)="JK12","POONCH",IF(LEFT(I233,4)="JK18","KULGAM",IF(LEFT(I233,4)="JK22","SHOPIAN",IF(LEFT(I233,4)="T102","TEMP",IF(LEFT(I233,4)="JK09","KUPWARA",IF(LEFT(I233,4)="JK15","BANDIPORA",IF(LEFT(I233,4)="T112","KARGIL","NEW")))))))))))))</f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8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1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/>
      <c r="P234" s="50"/>
      <c r="Q234" s="47"/>
      <c r="R234" s="47"/>
    </row>
    <row r="235" spans="1:18" x14ac:dyDescent="0.25">
      <c r="A235" s="47">
        <f t="shared" si="8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1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7460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8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1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8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1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8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1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8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1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8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1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8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1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8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1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8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1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8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1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8"/>
        <v>244</v>
      </c>
      <c r="B245" s="47" t="s">
        <v>7427</v>
      </c>
      <c r="C245" s="47" t="s">
        <v>7428</v>
      </c>
      <c r="D245" s="47" t="s">
        <v>7429</v>
      </c>
      <c r="E245" s="47" t="s">
        <v>7430</v>
      </c>
      <c r="F245" s="47" t="s">
        <v>125</v>
      </c>
      <c r="G245" s="47" t="s">
        <v>174</v>
      </c>
      <c r="H245" s="47" t="str">
        <f t="shared" si="11"/>
        <v>SRINAGAR</v>
      </c>
      <c r="I245" s="47" t="s">
        <v>7444</v>
      </c>
      <c r="J245" s="48">
        <v>46014</v>
      </c>
      <c r="K245" s="47">
        <v>9797999350</v>
      </c>
      <c r="L245" s="47" t="s">
        <v>176</v>
      </c>
      <c r="M245" s="49"/>
      <c r="N245" s="48"/>
      <c r="O245" s="47"/>
      <c r="P245" s="50"/>
      <c r="Q245" s="47"/>
      <c r="R245" s="47"/>
    </row>
    <row r="246" spans="1:18" x14ac:dyDescent="0.25">
      <c r="A246" s="47">
        <f t="shared" si="8"/>
        <v>245</v>
      </c>
      <c r="B246" s="47" t="s">
        <v>7434</v>
      </c>
      <c r="C246" s="47" t="s">
        <v>7431</v>
      </c>
      <c r="D246" s="47" t="s">
        <v>7432</v>
      </c>
      <c r="E246" s="47" t="s">
        <v>7433</v>
      </c>
      <c r="F246" s="47" t="s">
        <v>12</v>
      </c>
      <c r="G246" s="47" t="s">
        <v>181</v>
      </c>
      <c r="H246" s="47" t="str">
        <f t="shared" ref="H246:H256" si="12">IF(LEFT(I246,4)="JK13","PULWAMA",IF(LEFT(I246,4)="JK01","SRINAGAR",IF(LEFT(I246,4)="JK04","BUDGAM",IF(LEFT(I246,4)="JK03","ANANTNAG",IF(LEFT(I246,4)="JK05","BARAMULLA",IF(LEFT(I246,4)="25BH","BHARAT",IF(LEFT(I246,4)="JK12","POONCH",IF(LEFT(I246,4)="JK18","KULGAM",IF(LEFT(I246,4)="JK22","SHOPIAN",IF(LEFT(I246,4)="T102","TEMP",IF(LEFT(I246,4)="JK09","KUPWARA",IF(LEFT(I246,4)="JK15","BANDIPORA",IF(LEFT(I246,4)="T112","KARGIL","NEW")))))))))))))</f>
        <v>BUDGAM</v>
      </c>
      <c r="I246" s="47" t="s">
        <v>7439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8"/>
        <v>246</v>
      </c>
      <c r="B247" s="47" t="s">
        <v>7435</v>
      </c>
      <c r="C247" s="47" t="s">
        <v>7436</v>
      </c>
      <c r="D247" s="47" t="s">
        <v>7437</v>
      </c>
      <c r="E247" s="47" t="s">
        <v>7438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7442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8"/>
        <v>247</v>
      </c>
      <c r="B248" s="47" t="s">
        <v>7445</v>
      </c>
      <c r="C248" s="47" t="s">
        <v>7446</v>
      </c>
      <c r="D248" s="47" t="s">
        <v>7447</v>
      </c>
      <c r="E248" s="47" t="s">
        <v>7448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7461</v>
      </c>
      <c r="J248" s="48">
        <v>46014</v>
      </c>
      <c r="K248" s="47">
        <v>7889666298</v>
      </c>
      <c r="L248" s="47" t="s">
        <v>70</v>
      </c>
      <c r="M248" s="49"/>
      <c r="N248" s="48"/>
      <c r="O248" s="47"/>
      <c r="P248" s="50"/>
      <c r="Q248" s="47"/>
      <c r="R248" s="47"/>
    </row>
    <row r="249" spans="1:18" x14ac:dyDescent="0.25">
      <c r="A249" s="47">
        <f t="shared" si="8"/>
        <v>248</v>
      </c>
      <c r="B249" s="47" t="s">
        <v>7449</v>
      </c>
      <c r="C249" s="47" t="s">
        <v>7450</v>
      </c>
      <c r="D249" s="47" t="s">
        <v>7451</v>
      </c>
      <c r="E249" s="47" t="s">
        <v>7452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7462</v>
      </c>
      <c r="J249" s="48">
        <v>46014</v>
      </c>
      <c r="K249" s="47">
        <v>7298772174</v>
      </c>
      <c r="L249" s="47" t="s">
        <v>1517</v>
      </c>
      <c r="M249" s="49"/>
      <c r="N249" s="48"/>
      <c r="O249" s="47"/>
      <c r="P249" s="50"/>
      <c r="Q249" s="47"/>
      <c r="R249" s="47"/>
    </row>
    <row r="250" spans="1:18" x14ac:dyDescent="0.25">
      <c r="A250" s="47">
        <f t="shared" si="8"/>
        <v>249</v>
      </c>
      <c r="B250" s="47" t="s">
        <v>7481</v>
      </c>
      <c r="C250" s="47" t="s">
        <v>7473</v>
      </c>
      <c r="D250" s="47" t="s">
        <v>7520</v>
      </c>
      <c r="E250" s="47" t="s">
        <v>7465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7491</v>
      </c>
      <c r="J250" s="48">
        <v>46015</v>
      </c>
      <c r="K250" s="47">
        <v>9596022327</v>
      </c>
      <c r="L250" s="47" t="s">
        <v>6683</v>
      </c>
      <c r="M250" s="49"/>
      <c r="N250" s="48"/>
      <c r="O250" s="47"/>
      <c r="P250" s="50"/>
      <c r="Q250" s="47"/>
      <c r="R250" s="47"/>
    </row>
    <row r="251" spans="1:18" x14ac:dyDescent="0.25">
      <c r="A251" s="47">
        <f t="shared" si="8"/>
        <v>250</v>
      </c>
      <c r="B251" s="47" t="s">
        <v>7482</v>
      </c>
      <c r="C251" s="47" t="s">
        <v>7474</v>
      </c>
      <c r="D251" s="47" t="s">
        <v>7500</v>
      </c>
      <c r="E251" s="47" t="s">
        <v>7466</v>
      </c>
      <c r="F251" s="47" t="s">
        <v>7489</v>
      </c>
      <c r="G251" s="47" t="s">
        <v>199</v>
      </c>
      <c r="H251" s="47" t="str">
        <f t="shared" si="12"/>
        <v>BARAMULLA</v>
      </c>
      <c r="I251" s="47" t="s">
        <v>7492</v>
      </c>
      <c r="J251" s="48">
        <v>46015</v>
      </c>
      <c r="K251" s="47">
        <v>9906539681</v>
      </c>
      <c r="L251" s="47" t="s">
        <v>106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8"/>
        <v>251</v>
      </c>
      <c r="B252" s="47" t="s">
        <v>7449</v>
      </c>
      <c r="C252" s="47" t="s">
        <v>7450</v>
      </c>
      <c r="D252" s="47" t="s">
        <v>7451</v>
      </c>
      <c r="E252" s="47" t="s">
        <v>7452</v>
      </c>
      <c r="F252" s="47" t="s">
        <v>486</v>
      </c>
      <c r="G252" s="47" t="s">
        <v>221</v>
      </c>
      <c r="H252" s="47" t="str">
        <f t="shared" si="12"/>
        <v>BUDGAM</v>
      </c>
      <c r="I252" s="47" t="s">
        <v>7462</v>
      </c>
      <c r="J252" s="48">
        <v>46015</v>
      </c>
      <c r="K252" s="47">
        <v>7298772174</v>
      </c>
      <c r="L252" s="47"/>
      <c r="M252" s="49"/>
      <c r="N252" s="48"/>
      <c r="O252" s="47"/>
      <c r="P252" s="50"/>
      <c r="Q252" s="47"/>
      <c r="R252" s="47"/>
    </row>
    <row r="253" spans="1:18" x14ac:dyDescent="0.25">
      <c r="A253" s="47">
        <f t="shared" si="8"/>
        <v>252</v>
      </c>
      <c r="B253" s="47" t="s">
        <v>7483</v>
      </c>
      <c r="C253" s="47" t="s">
        <v>7475</v>
      </c>
      <c r="D253" s="47" t="s">
        <v>7525</v>
      </c>
      <c r="E253" s="47" t="s">
        <v>7467</v>
      </c>
      <c r="F253" s="47" t="s">
        <v>125</v>
      </c>
      <c r="G253" s="47" t="s">
        <v>175</v>
      </c>
      <c r="H253" s="47" t="str">
        <f t="shared" si="12"/>
        <v>BUDGAM</v>
      </c>
      <c r="I253" s="47" t="s">
        <v>7493</v>
      </c>
      <c r="J253" s="48">
        <v>46015</v>
      </c>
      <c r="K253" s="47">
        <v>9018754974</v>
      </c>
      <c r="L253" s="47" t="s">
        <v>2172</v>
      </c>
      <c r="M253" s="49"/>
      <c r="N253" s="48"/>
      <c r="O253" s="47" t="s">
        <v>23</v>
      </c>
      <c r="P253" s="50">
        <v>46016</v>
      </c>
      <c r="Q253" s="47" t="s">
        <v>6460</v>
      </c>
      <c r="R253" s="47"/>
    </row>
    <row r="254" spans="1:18" x14ac:dyDescent="0.25">
      <c r="A254" s="47">
        <f t="shared" si="8"/>
        <v>253</v>
      </c>
      <c r="B254" s="47" t="s">
        <v>7445</v>
      </c>
      <c r="C254" s="47" t="s">
        <v>7446</v>
      </c>
      <c r="D254" s="47" t="s">
        <v>7447</v>
      </c>
      <c r="E254" s="47" t="s">
        <v>7448</v>
      </c>
      <c r="F254" s="47" t="s">
        <v>100</v>
      </c>
      <c r="G254" s="44" t="s">
        <v>174</v>
      </c>
      <c r="H254" s="47" t="str">
        <f t="shared" si="12"/>
        <v>BUDGAM</v>
      </c>
      <c r="I254" s="47" t="s">
        <v>7461</v>
      </c>
      <c r="J254" s="48">
        <v>46015</v>
      </c>
      <c r="K254" s="47">
        <v>7889666298</v>
      </c>
      <c r="L254" s="47" t="s">
        <v>70</v>
      </c>
      <c r="M254" s="49"/>
      <c r="N254" s="48"/>
      <c r="O254" s="47"/>
      <c r="P254" s="50"/>
      <c r="Q254" s="47"/>
      <c r="R254" s="47"/>
    </row>
    <row r="255" spans="1:18" x14ac:dyDescent="0.25">
      <c r="A255" s="47">
        <f t="shared" si="8"/>
        <v>254</v>
      </c>
      <c r="B255" s="47" t="s">
        <v>7484</v>
      </c>
      <c r="C255" s="47" t="s">
        <v>7476</v>
      </c>
      <c r="D255" s="47" t="s">
        <v>7503</v>
      </c>
      <c r="E255" s="47" t="s">
        <v>7468</v>
      </c>
      <c r="F255" s="47" t="s">
        <v>100</v>
      </c>
      <c r="G255" s="47" t="s">
        <v>200</v>
      </c>
      <c r="H255" s="47" t="str">
        <f t="shared" si="12"/>
        <v>BUDGAM</v>
      </c>
      <c r="I255" s="47" t="s">
        <v>7494</v>
      </c>
      <c r="J255" s="48">
        <v>46015</v>
      </c>
      <c r="K255" s="47">
        <v>7889383674</v>
      </c>
      <c r="L255" s="47" t="s">
        <v>48</v>
      </c>
      <c r="M255" s="49"/>
      <c r="N255" s="48"/>
      <c r="O255" s="47" t="s">
        <v>23</v>
      </c>
      <c r="P255" s="50">
        <v>46016</v>
      </c>
      <c r="Q255" s="47" t="s">
        <v>6460</v>
      </c>
      <c r="R255" s="47"/>
    </row>
    <row r="256" spans="1:18" x14ac:dyDescent="0.25">
      <c r="A256" s="47">
        <f t="shared" si="8"/>
        <v>255</v>
      </c>
      <c r="B256" s="47" t="s">
        <v>7485</v>
      </c>
      <c r="C256" s="47" t="s">
        <v>7477</v>
      </c>
      <c r="D256" s="47" t="s">
        <v>7527</v>
      </c>
      <c r="E256" s="47" t="s">
        <v>7469</v>
      </c>
      <c r="F256" s="47" t="s">
        <v>67</v>
      </c>
      <c r="G256" s="47" t="s">
        <v>199</v>
      </c>
      <c r="H256" s="47" t="str">
        <f t="shared" si="12"/>
        <v>SHOPIAN</v>
      </c>
      <c r="I256" s="47" t="s">
        <v>7495</v>
      </c>
      <c r="J256" s="48">
        <v>46015</v>
      </c>
      <c r="K256" s="47">
        <v>6006293557</v>
      </c>
      <c r="L256" s="47" t="s">
        <v>6570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si="8"/>
        <v>256</v>
      </c>
      <c r="B257" s="47" t="s">
        <v>7486</v>
      </c>
      <c r="C257" s="47" t="s">
        <v>7478</v>
      </c>
      <c r="D257" s="47" t="s">
        <v>7501</v>
      </c>
      <c r="E257" s="47" t="s">
        <v>7470</v>
      </c>
      <c r="F257" s="47" t="s">
        <v>7490</v>
      </c>
      <c r="G257" s="47" t="s">
        <v>199</v>
      </c>
      <c r="H257" s="47" t="str">
        <f t="shared" ref="H257:H266" si="13">IF(LEFT(I257,4)="JK13","PULWAMA",IF(LEFT(I257,4)="JK01","SRINAGAR",IF(LEFT(I257,4)="JK04","BUDGAM",IF(LEFT(I257,4)="JK03","ANANTNAG",IF(LEFT(I257,4)="JK05","BARAMULLA",IF(LEFT(I257,4)="25BH","BHARAT",IF(LEFT(I257,4)="JK12","POONCH",IF(LEFT(I257,4)="JK18","KULGAM",IF(LEFT(I257,4)="JK22","SHOPIAN",IF(LEFT(I257,4)="T102","TEMP",IF(LEFT(I257,4)="JK09","KUPWARA",IF(LEFT(I257,4)="JK15","BANDIPORA",IF(LEFT(I257,4)="T112","KARGIL","NEW")))))))))))))</f>
        <v>SRINAGAR</v>
      </c>
      <c r="I257" s="47" t="s">
        <v>7496</v>
      </c>
      <c r="J257" s="48">
        <v>46015</v>
      </c>
      <c r="K257" s="47">
        <v>9149877765</v>
      </c>
      <c r="L257" s="47" t="s">
        <v>6451</v>
      </c>
      <c r="M257" s="49"/>
      <c r="N257" s="48"/>
      <c r="O257" s="47"/>
      <c r="P257" s="50"/>
      <c r="Q257" s="47"/>
      <c r="R257" s="47"/>
    </row>
    <row r="258" spans="1:18" x14ac:dyDescent="0.25">
      <c r="A258" s="47">
        <f t="shared" ref="A258:A283" si="14">ROW()-1</f>
        <v>257</v>
      </c>
      <c r="B258" s="47" t="s">
        <v>7487</v>
      </c>
      <c r="C258" s="47" t="s">
        <v>7479</v>
      </c>
      <c r="D258" s="47" t="s">
        <v>7499</v>
      </c>
      <c r="E258" s="47" t="s">
        <v>7471</v>
      </c>
      <c r="F258" s="47" t="s">
        <v>849</v>
      </c>
      <c r="G258" s="47" t="s">
        <v>181</v>
      </c>
      <c r="H258" s="47" t="str">
        <f t="shared" si="13"/>
        <v>SRINAGAR</v>
      </c>
      <c r="I258" s="47" t="s">
        <v>7497</v>
      </c>
      <c r="J258" s="48">
        <v>46015</v>
      </c>
      <c r="K258" s="47">
        <v>9205000009</v>
      </c>
      <c r="L258" s="47" t="s">
        <v>18</v>
      </c>
      <c r="M258" s="49"/>
      <c r="N258" s="48"/>
      <c r="O258" s="47"/>
      <c r="P258" s="50"/>
      <c r="Q258" s="47"/>
      <c r="R258" s="47"/>
    </row>
    <row r="259" spans="1:18" x14ac:dyDescent="0.25">
      <c r="A259" s="47">
        <f t="shared" si="14"/>
        <v>258</v>
      </c>
      <c r="B259" s="47" t="s">
        <v>7488</v>
      </c>
      <c r="C259" s="47" t="s">
        <v>7480</v>
      </c>
      <c r="D259" s="47" t="s">
        <v>7502</v>
      </c>
      <c r="E259" s="47" t="s">
        <v>7472</v>
      </c>
      <c r="F259" s="47" t="s">
        <v>5</v>
      </c>
      <c r="G259" s="47" t="s">
        <v>200</v>
      </c>
      <c r="H259" s="47" t="str">
        <f t="shared" si="13"/>
        <v>SRINAGAR</v>
      </c>
      <c r="I259" s="47" t="s">
        <v>7498</v>
      </c>
      <c r="J259" s="48">
        <v>46015</v>
      </c>
      <c r="K259" s="47">
        <v>9541622336</v>
      </c>
      <c r="L259" s="47" t="s">
        <v>18</v>
      </c>
      <c r="M259" s="49"/>
      <c r="N259" s="48"/>
      <c r="O259" s="47" t="s">
        <v>23</v>
      </c>
      <c r="P259" s="50">
        <v>46016</v>
      </c>
      <c r="Q259" s="47" t="s">
        <v>6460</v>
      </c>
      <c r="R259" s="47"/>
    </row>
    <row r="260" spans="1:18" x14ac:dyDescent="0.25">
      <c r="A260" s="47">
        <f t="shared" si="14"/>
        <v>259</v>
      </c>
      <c r="B260" s="47" t="s">
        <v>7504</v>
      </c>
      <c r="C260" s="47" t="s">
        <v>7505</v>
      </c>
      <c r="D260" s="47" t="s">
        <v>7506</v>
      </c>
      <c r="E260" s="47" t="s">
        <v>7507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7521</v>
      </c>
      <c r="J260" s="48">
        <v>46016</v>
      </c>
      <c r="K260" s="47">
        <v>6005068829</v>
      </c>
      <c r="L260" s="47" t="s">
        <v>194</v>
      </c>
      <c r="M260" s="49"/>
      <c r="N260" s="48"/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7508</v>
      </c>
      <c r="C261" s="47" t="s">
        <v>7509</v>
      </c>
      <c r="D261" s="47" t="s">
        <v>7510</v>
      </c>
      <c r="E261" s="47" t="s">
        <v>7511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7522</v>
      </c>
      <c r="J261" s="48">
        <v>46016</v>
      </c>
      <c r="K261" s="47">
        <v>9858727429</v>
      </c>
      <c r="L261" s="47" t="s">
        <v>176</v>
      </c>
      <c r="M261" s="49"/>
      <c r="N261" s="48"/>
      <c r="O261" s="47"/>
      <c r="P261" s="50"/>
      <c r="Q261" s="47"/>
      <c r="R261" s="47"/>
    </row>
    <row r="262" spans="1:18" x14ac:dyDescent="0.25">
      <c r="A262" s="47">
        <f t="shared" si="14"/>
        <v>261</v>
      </c>
      <c r="B262" s="47" t="s">
        <v>7512</v>
      </c>
      <c r="C262" s="47" t="s">
        <v>7513</v>
      </c>
      <c r="D262" s="47" t="s">
        <v>7514</v>
      </c>
      <c r="E262" s="47" t="s">
        <v>7515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7523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7516</v>
      </c>
      <c r="C263" s="47" t="s">
        <v>7517</v>
      </c>
      <c r="D263" s="47" t="s">
        <v>7518</v>
      </c>
      <c r="E263" s="47" t="s">
        <v>7519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7524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7526</v>
      </c>
    </row>
    <row r="264" spans="1:18" x14ac:dyDescent="0.25">
      <c r="A264" s="47">
        <f t="shared" si="14"/>
        <v>263</v>
      </c>
      <c r="B264" s="47" t="s">
        <v>7532</v>
      </c>
      <c r="C264" s="47" t="s">
        <v>7528</v>
      </c>
      <c r="D264" s="47" t="s">
        <v>7529</v>
      </c>
      <c r="E264" s="47" t="s">
        <v>7530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7531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7533</v>
      </c>
      <c r="C265" s="47" t="s">
        <v>7534</v>
      </c>
      <c r="D265" s="47" t="s">
        <v>7535</v>
      </c>
      <c r="E265" s="47" t="s">
        <v>7536</v>
      </c>
      <c r="F265" s="47" t="s">
        <v>100</v>
      </c>
      <c r="G265" s="47" t="s">
        <v>200</v>
      </c>
      <c r="H265" s="47" t="str">
        <f t="shared" si="13"/>
        <v>PULWAMA</v>
      </c>
      <c r="I265" s="47" t="s">
        <v>7544</v>
      </c>
      <c r="J265" s="48">
        <v>46016</v>
      </c>
      <c r="K265" s="47">
        <v>9697972995</v>
      </c>
      <c r="L265" s="47" t="s">
        <v>26</v>
      </c>
      <c r="M265" s="49"/>
      <c r="N265" s="48"/>
      <c r="O265" s="47"/>
      <c r="P265" s="50"/>
      <c r="Q265" s="47"/>
      <c r="R265" s="47"/>
    </row>
    <row r="266" spans="1:18" x14ac:dyDescent="0.25">
      <c r="A266" s="47">
        <f t="shared" si="14"/>
        <v>265</v>
      </c>
      <c r="B266" s="47" t="s">
        <v>7537</v>
      </c>
      <c r="C266" s="47" t="s">
        <v>7538</v>
      </c>
      <c r="D266" s="47" t="s">
        <v>7539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7559</v>
      </c>
      <c r="J266" s="48">
        <v>46016</v>
      </c>
      <c r="K266" s="47">
        <v>9858321757</v>
      </c>
      <c r="L266" s="47" t="s">
        <v>43</v>
      </c>
      <c r="M266" s="49"/>
      <c r="N266" s="48"/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7540</v>
      </c>
      <c r="C267" s="47" t="s">
        <v>7541</v>
      </c>
      <c r="D267" s="47" t="s">
        <v>7542</v>
      </c>
      <c r="E267" s="47" t="s">
        <v>7543</v>
      </c>
      <c r="F267" s="47" t="s">
        <v>100</v>
      </c>
      <c r="G267" s="47" t="s">
        <v>200</v>
      </c>
      <c r="H267" s="47" t="str">
        <f t="shared" ref="H267:H283" si="15">IF(LEFT(I267,4)="JK13","PULWAMA",IF(LEFT(I267,4)="JK01","SRINAGAR",IF(LEFT(I267,4)="JK04","BUDGAM",IF(LEFT(I267,4)="JK03","ANANTNAG",IF(LEFT(I267,4)="JK05","BARAMULLA",IF(LEFT(I267,4)="25BH","BHARAT",IF(LEFT(I267,4)="JK12","POONCH",IF(LEFT(I267,4)="JK18","KULGAM",IF(LEFT(I267,4)="JK22","SHOPIAN",IF(LEFT(I267,4)="T102","TEMP",IF(LEFT(I267,4)="JK09","KUPWARA",IF(LEFT(I267,4)="JK15","BANDIPORA",IF(LEFT(I267,4)="T112","KARGIL","NEW")))))))))))))</f>
        <v>BANDIPORA</v>
      </c>
      <c r="I267" s="47" t="s">
        <v>7558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7545</v>
      </c>
      <c r="C268" s="47" t="s">
        <v>7546</v>
      </c>
      <c r="D268" s="47" t="s">
        <v>7547</v>
      </c>
      <c r="E268" s="47" t="s">
        <v>7548</v>
      </c>
      <c r="F268" s="47" t="s">
        <v>119</v>
      </c>
      <c r="G268" s="47" t="s">
        <v>174</v>
      </c>
      <c r="H268" s="47" t="str">
        <f t="shared" si="15"/>
        <v>NEW</v>
      </c>
      <c r="I268" s="47"/>
      <c r="J268" s="48">
        <v>46016</v>
      </c>
      <c r="K268" s="47">
        <v>8825061187</v>
      </c>
      <c r="L268" s="47" t="s">
        <v>7549</v>
      </c>
      <c r="M268" s="49"/>
      <c r="N268" s="48"/>
      <c r="O268" s="47"/>
      <c r="P268" s="50"/>
      <c r="Q268" s="47"/>
      <c r="R268" s="47"/>
    </row>
    <row r="269" spans="1:18" x14ac:dyDescent="0.25">
      <c r="A269" s="47">
        <f t="shared" si="14"/>
        <v>268</v>
      </c>
      <c r="B269" s="47"/>
      <c r="C269" s="47"/>
      <c r="D269" s="47"/>
      <c r="E269" s="47"/>
      <c r="F269" s="47"/>
      <c r="G269" s="47"/>
      <c r="H269" s="47" t="str">
        <f t="shared" si="15"/>
        <v>NEW</v>
      </c>
      <c r="I269" s="47"/>
      <c r="J269" s="48"/>
      <c r="K269" s="47"/>
      <c r="L269" s="47"/>
      <c r="M269" s="49"/>
      <c r="N269" s="48"/>
      <c r="O269" s="47"/>
      <c r="P269" s="50"/>
      <c r="Q269" s="47"/>
      <c r="R269" s="47"/>
    </row>
    <row r="270" spans="1:18" x14ac:dyDescent="0.25">
      <c r="A270" s="47">
        <f t="shared" si="14"/>
        <v>269</v>
      </c>
      <c r="B270" s="47"/>
      <c r="C270" s="47"/>
      <c r="D270" s="47"/>
      <c r="E270" s="47"/>
      <c r="F270" s="47"/>
      <c r="G270" s="47"/>
      <c r="H270" s="47" t="str">
        <f t="shared" si="15"/>
        <v>NEW</v>
      </c>
      <c r="I270" s="47"/>
      <c r="J270" s="48"/>
      <c r="K270" s="47"/>
      <c r="L270" s="47"/>
      <c r="M270" s="49"/>
      <c r="N270" s="48"/>
      <c r="O270" s="47"/>
      <c r="P270" s="50"/>
      <c r="Q270" s="47"/>
      <c r="R270" s="47"/>
    </row>
    <row r="271" spans="1:18" x14ac:dyDescent="0.25">
      <c r="A271" s="47">
        <f t="shared" si="14"/>
        <v>270</v>
      </c>
      <c r="B271" s="47"/>
      <c r="C271" s="47"/>
      <c r="D271" s="47"/>
      <c r="E271" s="47"/>
      <c r="F271" s="47"/>
      <c r="G271" s="47"/>
      <c r="H271" s="47" t="str">
        <f t="shared" si="15"/>
        <v>NEW</v>
      </c>
      <c r="I271" s="47"/>
      <c r="J271" s="48"/>
      <c r="K271" s="47"/>
      <c r="L271" s="47"/>
      <c r="M271" s="49"/>
      <c r="N271" s="48"/>
      <c r="O271" s="47"/>
      <c r="P271" s="50"/>
      <c r="Q271" s="47"/>
      <c r="R271" s="47"/>
    </row>
    <row r="272" spans="1:18" x14ac:dyDescent="0.25">
      <c r="A272" s="47">
        <f t="shared" si="14"/>
        <v>271</v>
      </c>
      <c r="B272" s="47"/>
      <c r="C272" s="47"/>
      <c r="D272" s="47"/>
      <c r="E272" s="47"/>
      <c r="F272" s="47"/>
      <c r="G272" s="47"/>
      <c r="H272" s="47" t="str">
        <f t="shared" si="15"/>
        <v>NEW</v>
      </c>
      <c r="I272" s="47"/>
      <c r="J272" s="48"/>
      <c r="K272" s="47"/>
      <c r="L272" s="47"/>
      <c r="M272" s="49"/>
      <c r="N272" s="48"/>
      <c r="O272" s="47"/>
      <c r="P272" s="50"/>
      <c r="Q272" s="47"/>
      <c r="R272" s="47"/>
    </row>
    <row r="273" spans="1:18" x14ac:dyDescent="0.25">
      <c r="A273" s="47">
        <f t="shared" si="14"/>
        <v>272</v>
      </c>
      <c r="B273" s="47"/>
      <c r="C273" s="47"/>
      <c r="D273" s="47"/>
      <c r="E273" s="47"/>
      <c r="F273" s="47"/>
      <c r="G273" s="47"/>
      <c r="H273" s="47" t="str">
        <f t="shared" si="15"/>
        <v>NEW</v>
      </c>
      <c r="I273" s="47"/>
      <c r="J273" s="48"/>
      <c r="K273" s="47"/>
      <c r="L273" s="47"/>
      <c r="M273" s="49"/>
      <c r="N273" s="48"/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/>
      <c r="C274" s="47"/>
      <c r="D274" s="47"/>
      <c r="E274" s="47"/>
      <c r="F274" s="47"/>
      <c r="G274" s="47"/>
      <c r="H274" s="47" t="str">
        <f t="shared" si="15"/>
        <v>NEW</v>
      </c>
      <c r="I274" s="47"/>
      <c r="J274" s="48"/>
      <c r="K274" s="47"/>
      <c r="L274" s="47"/>
      <c r="M274" s="49"/>
      <c r="N274" s="48"/>
      <c r="O274" s="47"/>
      <c r="P274" s="50"/>
      <c r="Q274" s="47"/>
      <c r="R274" s="47"/>
    </row>
    <row r="275" spans="1:18" x14ac:dyDescent="0.25">
      <c r="A275" s="47">
        <f t="shared" si="14"/>
        <v>274</v>
      </c>
      <c r="B275" s="47"/>
      <c r="C275" s="47"/>
      <c r="D275" s="47"/>
      <c r="E275" s="47"/>
      <c r="F275" s="47"/>
      <c r="G275" s="47"/>
      <c r="H275" s="47" t="str">
        <f t="shared" si="15"/>
        <v>NEW</v>
      </c>
      <c r="I275" s="47"/>
      <c r="J275" s="48"/>
      <c r="K275" s="47"/>
      <c r="L275" s="47"/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/>
      <c r="C276" s="47"/>
      <c r="D276" s="47"/>
      <c r="E276" s="47"/>
      <c r="F276" s="47"/>
      <c r="G276" s="47"/>
      <c r="H276" s="47" t="str">
        <f t="shared" si="15"/>
        <v>NEW</v>
      </c>
      <c r="I276" s="47"/>
      <c r="J276" s="48"/>
      <c r="K276" s="47"/>
      <c r="L276" s="47"/>
      <c r="M276" s="49"/>
      <c r="N276" s="48"/>
      <c r="O276" s="47"/>
      <c r="P276" s="50"/>
      <c r="Q276" s="47"/>
      <c r="R276" s="47"/>
    </row>
    <row r="277" spans="1:18" x14ac:dyDescent="0.25">
      <c r="A277" s="47">
        <f t="shared" si="14"/>
        <v>276</v>
      </c>
      <c r="B277" s="47"/>
      <c r="C277" s="47"/>
      <c r="D277" s="47"/>
      <c r="E277" s="47"/>
      <c r="F277" s="47"/>
      <c r="G277" s="47"/>
      <c r="H277" s="47" t="str">
        <f t="shared" si="15"/>
        <v>NEW</v>
      </c>
      <c r="I277" s="47"/>
      <c r="J277" s="48"/>
      <c r="K277" s="47"/>
      <c r="L277" s="47"/>
      <c r="M277" s="49"/>
      <c r="N277" s="48"/>
      <c r="O277" s="47"/>
      <c r="P277" s="50"/>
      <c r="Q277" s="47"/>
      <c r="R277" s="47"/>
    </row>
    <row r="278" spans="1:18" x14ac:dyDescent="0.25">
      <c r="A278" s="47">
        <f t="shared" si="14"/>
        <v>277</v>
      </c>
      <c r="B278" s="47"/>
      <c r="C278" s="47"/>
      <c r="D278" s="47"/>
      <c r="E278" s="47"/>
      <c r="F278" s="47"/>
      <c r="G278" s="47"/>
      <c r="H278" s="47" t="str">
        <f t="shared" si="15"/>
        <v>NEW</v>
      </c>
      <c r="I278" s="47"/>
      <c r="J278" s="48"/>
      <c r="K278" s="47"/>
      <c r="L278" s="47"/>
      <c r="M278" s="49"/>
      <c r="N278" s="48"/>
      <c r="O278" s="47"/>
      <c r="P278" s="50"/>
      <c r="Q278" s="47"/>
      <c r="R278" s="47"/>
    </row>
    <row r="279" spans="1:18" x14ac:dyDescent="0.25">
      <c r="A279" s="47">
        <f t="shared" si="14"/>
        <v>278</v>
      </c>
      <c r="B279" s="47"/>
      <c r="C279" s="47"/>
      <c r="D279" s="47"/>
      <c r="E279" s="47"/>
      <c r="F279" s="47"/>
      <c r="G279" s="47"/>
      <c r="H279" s="47" t="str">
        <f t="shared" si="15"/>
        <v>NEW</v>
      </c>
      <c r="I279" s="47"/>
      <c r="J279" s="48"/>
      <c r="K279" s="47"/>
      <c r="L279" s="47"/>
      <c r="M279" s="49"/>
      <c r="N279" s="48"/>
      <c r="O279" s="47"/>
      <c r="P279" s="50"/>
      <c r="Q279" s="47"/>
      <c r="R279" s="47"/>
    </row>
    <row r="280" spans="1:18" x14ac:dyDescent="0.25">
      <c r="A280" s="47">
        <f t="shared" si="14"/>
        <v>279</v>
      </c>
      <c r="B280" s="47"/>
      <c r="C280" s="47"/>
      <c r="D280" s="47"/>
      <c r="E280" s="47"/>
      <c r="F280" s="47"/>
      <c r="G280" s="47"/>
      <c r="H280" s="47" t="str">
        <f t="shared" si="15"/>
        <v>NEW</v>
      </c>
      <c r="I280" s="47"/>
      <c r="J280" s="48"/>
      <c r="K280" s="47"/>
      <c r="L280" s="47"/>
      <c r="M280" s="49"/>
      <c r="N280" s="48"/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/>
      <c r="C281" s="47"/>
      <c r="D281" s="47"/>
      <c r="E281" s="47"/>
      <c r="F281" s="47"/>
      <c r="G281" s="47"/>
      <c r="H281" s="47" t="str">
        <f t="shared" si="15"/>
        <v>NEW</v>
      </c>
      <c r="I281" s="47"/>
      <c r="J281" s="48"/>
      <c r="K281" s="47"/>
      <c r="L281" s="47"/>
      <c r="M281" s="49"/>
      <c r="N281" s="48"/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/>
      <c r="C282" s="47"/>
      <c r="D282" s="47"/>
      <c r="E282" s="47"/>
      <c r="F282" s="47"/>
      <c r="G282" s="47"/>
      <c r="H282" s="47" t="str">
        <f t="shared" si="15"/>
        <v>NEW</v>
      </c>
      <c r="I282" s="47"/>
      <c r="J282" s="48"/>
      <c r="K282" s="47"/>
      <c r="L282" s="47"/>
      <c r="M282" s="49"/>
      <c r="N282" s="48"/>
      <c r="O282" s="47"/>
      <c r="P282" s="50"/>
      <c r="Q282" s="47"/>
      <c r="R282" s="47"/>
    </row>
    <row r="283" spans="1:18" x14ac:dyDescent="0.25">
      <c r="A283" s="47">
        <f t="shared" si="14"/>
        <v>282</v>
      </c>
      <c r="B283" s="47"/>
      <c r="C283" s="47"/>
      <c r="D283" s="47"/>
      <c r="E283" s="47"/>
      <c r="F283" s="47"/>
      <c r="G283" s="47"/>
      <c r="H283" s="47" t="str">
        <f t="shared" si="15"/>
        <v>NEW</v>
      </c>
      <c r="I283" s="47"/>
      <c r="J283" s="48"/>
      <c r="K283" s="47"/>
      <c r="L283" s="47"/>
      <c r="M283" s="49"/>
      <c r="N283" s="48"/>
      <c r="O283" s="47"/>
      <c r="P283" s="50"/>
      <c r="Q283" s="47"/>
      <c r="R283" s="47"/>
    </row>
    <row r="284" spans="1:18" ht="15.75" x14ac:dyDescent="0.25">
      <c r="F284" s="1"/>
      <c r="G284" s="1"/>
      <c r="H284" s="1"/>
      <c r="I284" s="20"/>
      <c r="J284" s="19"/>
      <c r="K284" s="47"/>
      <c r="M284" t="s">
        <v>44</v>
      </c>
    </row>
    <row r="285" spans="1:18" ht="15.75" x14ac:dyDescent="0.25">
      <c r="F285" s="1"/>
      <c r="G285" s="1"/>
      <c r="H285" s="1"/>
      <c r="I285" s="20"/>
      <c r="K285" s="47"/>
    </row>
    <row r="286" spans="1:18" ht="15.75" x14ac:dyDescent="0.25">
      <c r="F286" s="1"/>
      <c r="G286" s="1"/>
      <c r="H286" s="1"/>
      <c r="I286" s="20"/>
      <c r="K286" s="47"/>
    </row>
    <row r="287" spans="1:18" ht="15.75" x14ac:dyDescent="0.25">
      <c r="F287" s="1"/>
      <c r="G287" s="1"/>
      <c r="H287" s="1"/>
      <c r="I287" s="20"/>
      <c r="K287" s="47"/>
    </row>
    <row r="288" spans="1:18" ht="15.75" x14ac:dyDescent="0.25">
      <c r="C288" s="1"/>
      <c r="D288" s="1"/>
      <c r="E288" s="1"/>
      <c r="F288" s="1"/>
      <c r="G288" s="1"/>
      <c r="H288" s="1"/>
      <c r="I288" s="20"/>
      <c r="K288" s="47"/>
    </row>
    <row r="289" spans="1:17" x14ac:dyDescent="0.25">
      <c r="A289" s="5"/>
      <c r="B289" s="6"/>
      <c r="C289" s="7"/>
      <c r="D289" s="7"/>
      <c r="E289" s="7"/>
      <c r="F289" s="7"/>
      <c r="G289" s="7"/>
      <c r="H289" s="7"/>
      <c r="I289" s="7"/>
      <c r="J289" s="7"/>
      <c r="K289" s="47"/>
      <c r="L289" s="7"/>
      <c r="M289" s="7"/>
      <c r="N289" s="7"/>
      <c r="O289" s="7"/>
      <c r="P289" s="7"/>
      <c r="Q289" s="7"/>
    </row>
    <row r="290" spans="1:17" x14ac:dyDescent="0.25">
      <c r="A290" s="5"/>
      <c r="B290" s="6"/>
      <c r="C290" s="7"/>
      <c r="D290" s="7"/>
      <c r="E290" s="7"/>
      <c r="F290" s="7"/>
      <c r="G290" s="7"/>
      <c r="H290" s="7"/>
      <c r="I290" s="7"/>
      <c r="J290" s="7"/>
      <c r="K290" s="47"/>
      <c r="L290" s="7"/>
      <c r="M290" s="7"/>
      <c r="N290" s="7"/>
      <c r="O290" s="7"/>
      <c r="P290" s="7"/>
      <c r="Q290" s="7"/>
    </row>
    <row r="291" spans="1:17" x14ac:dyDescent="0.25">
      <c r="K291" s="47"/>
    </row>
    <row r="292" spans="1:17" x14ac:dyDescent="0.25">
      <c r="K292" s="47"/>
    </row>
    <row r="293" spans="1:17" x14ac:dyDescent="0.25">
      <c r="K293" s="47"/>
    </row>
    <row r="294" spans="1:17" x14ac:dyDescent="0.25">
      <c r="K294" s="47"/>
    </row>
    <row r="295" spans="1:17" x14ac:dyDescent="0.25">
      <c r="K295" s="47"/>
    </row>
    <row r="296" spans="1:17" x14ac:dyDescent="0.25">
      <c r="K296" s="47"/>
    </row>
    <row r="297" spans="1:17" x14ac:dyDescent="0.25">
      <c r="K297" s="47"/>
    </row>
    <row r="298" spans="1:17" x14ac:dyDescent="0.25">
      <c r="K298" s="47"/>
    </row>
    <row r="299" spans="1:17" x14ac:dyDescent="0.25">
      <c r="K299" s="47"/>
    </row>
    <row r="300" spans="1:17" x14ac:dyDescent="0.25">
      <c r="K300" s="47"/>
    </row>
    <row r="301" spans="1:17" x14ac:dyDescent="0.25">
      <c r="K301" s="47"/>
    </row>
    <row r="302" spans="1:17" x14ac:dyDescent="0.25">
      <c r="K302" s="47"/>
    </row>
    <row r="303" spans="1:17" x14ac:dyDescent="0.25">
      <c r="K303" s="47"/>
    </row>
    <row r="304" spans="1:17" x14ac:dyDescent="0.25">
      <c r="K304" s="47"/>
    </row>
    <row r="305" spans="11:11" x14ac:dyDescent="0.25">
      <c r="K305" s="47"/>
    </row>
    <row r="306" spans="11:11" x14ac:dyDescent="0.25">
      <c r="K306" s="47"/>
    </row>
    <row r="307" spans="11:11" x14ac:dyDescent="0.25">
      <c r="K307" s="47"/>
    </row>
    <row r="308" spans="11:11" x14ac:dyDescent="0.25">
      <c r="K308" s="47"/>
    </row>
    <row r="309" spans="11:11" x14ac:dyDescent="0.25">
      <c r="K309" s="47"/>
    </row>
    <row r="310" spans="11:11" x14ac:dyDescent="0.25">
      <c r="K310" s="47"/>
    </row>
    <row r="311" spans="11:11" x14ac:dyDescent="0.25">
      <c r="K311" s="47"/>
    </row>
    <row r="312" spans="11:11" x14ac:dyDescent="0.25">
      <c r="K312" s="47"/>
    </row>
    <row r="313" spans="11:11" x14ac:dyDescent="0.25">
      <c r="K313" s="47"/>
    </row>
    <row r="314" spans="11:11" x14ac:dyDescent="0.25">
      <c r="K314" s="47"/>
    </row>
    <row r="315" spans="11:11" x14ac:dyDescent="0.25">
      <c r="K315" s="47"/>
    </row>
    <row r="316" spans="11:11" x14ac:dyDescent="0.25">
      <c r="K316" s="47"/>
    </row>
    <row r="317" spans="11:11" x14ac:dyDescent="0.25">
      <c r="K317" s="47"/>
    </row>
    <row r="318" spans="11:11" x14ac:dyDescent="0.25">
      <c r="K318" s="47"/>
    </row>
    <row r="319" spans="11:11" x14ac:dyDescent="0.25">
      <c r="K319" s="47"/>
    </row>
    <row r="320" spans="11:11" x14ac:dyDescent="0.25">
      <c r="K320" s="47"/>
    </row>
    <row r="321" spans="11:11" x14ac:dyDescent="0.25">
      <c r="K321" s="47"/>
    </row>
    <row r="322" spans="11:11" x14ac:dyDescent="0.25">
      <c r="K322" s="47"/>
    </row>
    <row r="323" spans="11:11" x14ac:dyDescent="0.25">
      <c r="K323" s="47"/>
    </row>
    <row r="324" spans="11:11" x14ac:dyDescent="0.25">
      <c r="K324" s="47"/>
    </row>
    <row r="325" spans="11:11" x14ac:dyDescent="0.25">
      <c r="K325" s="47"/>
    </row>
    <row r="326" spans="11:11" x14ac:dyDescent="0.25">
      <c r="K326" s="47"/>
    </row>
    <row r="327" spans="11:11" x14ac:dyDescent="0.25">
      <c r="K327" s="47"/>
    </row>
    <row r="328" spans="11:11" x14ac:dyDescent="0.25">
      <c r="K328" s="47"/>
    </row>
    <row r="329" spans="11:11" x14ac:dyDescent="0.25">
      <c r="K329" s="47"/>
    </row>
    <row r="330" spans="11:11" x14ac:dyDescent="0.25">
      <c r="K330" s="47"/>
    </row>
    <row r="331" spans="11:11" x14ac:dyDescent="0.25">
      <c r="K331" s="47"/>
    </row>
    <row r="332" spans="11:11" x14ac:dyDescent="0.25">
      <c r="K332" s="47"/>
    </row>
    <row r="333" spans="11:11" x14ac:dyDescent="0.25">
      <c r="K333" s="47"/>
    </row>
    <row r="334" spans="11:11" x14ac:dyDescent="0.25">
      <c r="K334" s="47"/>
    </row>
    <row r="335" spans="11:11" x14ac:dyDescent="0.25">
      <c r="K335" s="47"/>
    </row>
    <row r="336" spans="11:11" x14ac:dyDescent="0.25">
      <c r="K336" s="47"/>
    </row>
    <row r="337" spans="11:11" x14ac:dyDescent="0.25">
      <c r="K337" s="47"/>
    </row>
    <row r="338" spans="11:11" x14ac:dyDescent="0.25">
      <c r="K338" s="47"/>
    </row>
    <row r="339" spans="11:11" x14ac:dyDescent="0.25">
      <c r="K339" s="47"/>
    </row>
    <row r="340" spans="11:11" x14ac:dyDescent="0.25">
      <c r="K340" s="47"/>
    </row>
    <row r="341" spans="11:11" x14ac:dyDescent="0.25">
      <c r="K341" s="47"/>
    </row>
    <row r="342" spans="11:11" x14ac:dyDescent="0.25">
      <c r="K342" s="47"/>
    </row>
    <row r="343" spans="11:11" x14ac:dyDescent="0.25">
      <c r="K343" s="47"/>
    </row>
    <row r="344" spans="11:11" x14ac:dyDescent="0.25">
      <c r="K344" s="47"/>
    </row>
    <row r="345" spans="11:11" x14ac:dyDescent="0.25">
      <c r="K345" s="47"/>
    </row>
    <row r="346" spans="11:11" x14ac:dyDescent="0.25">
      <c r="K346" s="47"/>
    </row>
    <row r="347" spans="11:11" x14ac:dyDescent="0.25">
      <c r="K347" s="47"/>
    </row>
    <row r="348" spans="11:11" x14ac:dyDescent="0.25">
      <c r="K348" s="47"/>
    </row>
    <row r="349" spans="11:11" x14ac:dyDescent="0.25">
      <c r="K349" s="47"/>
    </row>
    <row r="350" spans="11:11" x14ac:dyDescent="0.25">
      <c r="K350" s="47"/>
    </row>
    <row r="351" spans="11:11" x14ac:dyDescent="0.25">
      <c r="K351" s="47"/>
    </row>
    <row r="352" spans="11:11" x14ac:dyDescent="0.25">
      <c r="K352" s="47"/>
    </row>
    <row r="353" spans="11:11" x14ac:dyDescent="0.25">
      <c r="K353" s="47"/>
    </row>
    <row r="354" spans="11:11" x14ac:dyDescent="0.25">
      <c r="K354" s="47"/>
    </row>
    <row r="355" spans="11:11" x14ac:dyDescent="0.25">
      <c r="K355" s="47"/>
    </row>
    <row r="356" spans="11:11" x14ac:dyDescent="0.25">
      <c r="K356" s="47"/>
    </row>
    <row r="357" spans="11:11" x14ac:dyDescent="0.25">
      <c r="K357" s="47"/>
    </row>
    <row r="358" spans="11:11" x14ac:dyDescent="0.25">
      <c r="K358" s="47"/>
    </row>
    <row r="359" spans="11:11" x14ac:dyDescent="0.25">
      <c r="K359" s="47"/>
    </row>
    <row r="360" spans="11:11" x14ac:dyDescent="0.25">
      <c r="K360" s="47"/>
    </row>
    <row r="361" spans="11:11" x14ac:dyDescent="0.25">
      <c r="K361" s="47"/>
    </row>
    <row r="362" spans="11:11" x14ac:dyDescent="0.25">
      <c r="K362" s="47"/>
    </row>
    <row r="363" spans="11:11" x14ac:dyDescent="0.25">
      <c r="K363" s="47"/>
    </row>
    <row r="364" spans="11:11" x14ac:dyDescent="0.25">
      <c r="K364" s="47"/>
    </row>
    <row r="365" spans="11:11" x14ac:dyDescent="0.25">
      <c r="K365" s="47"/>
    </row>
    <row r="366" spans="11:11" x14ac:dyDescent="0.25">
      <c r="K366" s="47"/>
    </row>
    <row r="367" spans="11:11" x14ac:dyDescent="0.25">
      <c r="K367" s="47"/>
    </row>
    <row r="368" spans="11:11" x14ac:dyDescent="0.25">
      <c r="K368" s="47"/>
    </row>
    <row r="369" spans="11:11" x14ac:dyDescent="0.25">
      <c r="K369" s="47"/>
    </row>
    <row r="370" spans="11:11" x14ac:dyDescent="0.25">
      <c r="K370" s="47"/>
    </row>
    <row r="371" spans="11:11" x14ac:dyDescent="0.25">
      <c r="K371" s="47"/>
    </row>
    <row r="372" spans="11:11" x14ac:dyDescent="0.25">
      <c r="K372" s="47"/>
    </row>
    <row r="373" spans="11:11" x14ac:dyDescent="0.25">
      <c r="K373" s="47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  <row r="383" spans="11:11" ht="15.75" x14ac:dyDescent="0.25">
      <c r="K383" s="19"/>
    </row>
    <row r="384" spans="11:11" ht="15.75" x14ac:dyDescent="0.25">
      <c r="K384" s="19"/>
    </row>
    <row r="385" spans="11:11" ht="15.75" x14ac:dyDescent="0.25">
      <c r="K385" s="19"/>
    </row>
    <row r="386" spans="11:11" ht="15.75" x14ac:dyDescent="0.25">
      <c r="K386" s="19"/>
    </row>
    <row r="387" spans="11:11" ht="15.75" x14ac:dyDescent="0.25">
      <c r="K387" s="19"/>
    </row>
    <row r="388" spans="11:11" ht="15.75" x14ac:dyDescent="0.25">
      <c r="K388" s="19"/>
    </row>
    <row r="389" spans="11:11" ht="15.75" x14ac:dyDescent="0.25">
      <c r="K389" s="19"/>
    </row>
    <row r="390" spans="11:11" ht="15.75" x14ac:dyDescent="0.25">
      <c r="K390" s="19"/>
    </row>
    <row r="391" spans="11:11" ht="15.75" x14ac:dyDescent="0.25">
      <c r="K391" s="19"/>
    </row>
    <row r="392" spans="11:11" ht="15.75" x14ac:dyDescent="0.25">
      <c r="K392" s="19"/>
    </row>
    <row r="393" spans="11:11" ht="15.75" x14ac:dyDescent="0.25">
      <c r="K393" s="19"/>
    </row>
    <row r="394" spans="11:11" ht="15.75" x14ac:dyDescent="0.25">
      <c r="K394" s="19"/>
    </row>
    <row r="395" spans="11:11" ht="15.75" x14ac:dyDescent="0.25">
      <c r="K395" s="19"/>
    </row>
    <row r="396" spans="11:11" ht="15.75" x14ac:dyDescent="0.25">
      <c r="K396" s="19"/>
    </row>
    <row r="397" spans="11:11" ht="15.75" x14ac:dyDescent="0.25">
      <c r="K397" s="19"/>
    </row>
    <row r="398" spans="11:11" ht="15.75" x14ac:dyDescent="0.25">
      <c r="K398" s="19"/>
    </row>
    <row r="399" spans="11:11" ht="15.75" x14ac:dyDescent="0.25">
      <c r="K399" s="19"/>
    </row>
    <row r="400" spans="11:11" ht="15.75" x14ac:dyDescent="0.25">
      <c r="K400" s="19"/>
    </row>
    <row r="401" spans="11:11" ht="15.75" x14ac:dyDescent="0.25">
      <c r="K401" s="19"/>
    </row>
    <row r="402" spans="11:11" ht="15.75" x14ac:dyDescent="0.25">
      <c r="K402" s="19"/>
    </row>
    <row r="403" spans="11:11" ht="15.75" x14ac:dyDescent="0.25">
      <c r="K403" s="19"/>
    </row>
    <row r="404" spans="11:11" ht="15.75" x14ac:dyDescent="0.25">
      <c r="K404" s="19"/>
    </row>
    <row r="405" spans="11:11" ht="15.75" x14ac:dyDescent="0.25">
      <c r="K405" s="19"/>
    </row>
    <row r="406" spans="11:11" ht="15.75" x14ac:dyDescent="0.25">
      <c r="K406" s="19"/>
    </row>
    <row r="407" spans="11:11" ht="15.75" x14ac:dyDescent="0.25">
      <c r="K407" s="19"/>
    </row>
    <row r="408" spans="11:11" ht="15.75" x14ac:dyDescent="0.25">
      <c r="K408" s="19"/>
    </row>
    <row r="409" spans="11:11" ht="15.75" x14ac:dyDescent="0.25">
      <c r="K409" s="19"/>
    </row>
    <row r="410" spans="11:11" ht="15.75" x14ac:dyDescent="0.25">
      <c r="K410" s="19"/>
    </row>
    <row r="411" spans="11:11" ht="15.75" x14ac:dyDescent="0.25">
      <c r="K411" s="19"/>
    </row>
    <row r="412" spans="11:11" ht="15.75" x14ac:dyDescent="0.25">
      <c r="K412" s="19"/>
    </row>
    <row r="413" spans="11:11" ht="15.75" x14ac:dyDescent="0.25">
      <c r="K413" s="19"/>
    </row>
    <row r="414" spans="11:11" ht="15.75" x14ac:dyDescent="0.25">
      <c r="K414" s="19"/>
    </row>
    <row r="415" spans="11:11" ht="15.75" x14ac:dyDescent="0.25">
      <c r="K415" s="19"/>
    </row>
    <row r="416" spans="11:11" ht="15.75" x14ac:dyDescent="0.25">
      <c r="K416" s="19"/>
    </row>
    <row r="417" spans="11:11" ht="15.75" x14ac:dyDescent="0.25">
      <c r="K417" s="19"/>
    </row>
    <row r="418" spans="11:11" ht="15.75" x14ac:dyDescent="0.25">
      <c r="K418" s="19"/>
    </row>
    <row r="419" spans="11:11" ht="15.75" x14ac:dyDescent="0.25">
      <c r="K419" s="19"/>
    </row>
    <row r="420" spans="11:11" ht="15.75" x14ac:dyDescent="0.25">
      <c r="K420" s="19"/>
    </row>
    <row r="421" spans="11:11" ht="15.75" x14ac:dyDescent="0.25">
      <c r="K421" s="19"/>
    </row>
    <row r="422" spans="11:11" ht="15.75" x14ac:dyDescent="0.25">
      <c r="K422" s="19"/>
    </row>
    <row r="423" spans="11:11" x14ac:dyDescent="0.25">
      <c r="K423" s="44"/>
    </row>
    <row r="424" spans="11:11" ht="15.75" x14ac:dyDescent="0.25">
      <c r="K424" s="19"/>
    </row>
    <row r="425" spans="11:11" ht="15.75" x14ac:dyDescent="0.25">
      <c r="K425" s="19"/>
    </row>
    <row r="426" spans="11:11" ht="15.75" x14ac:dyDescent="0.25">
      <c r="K426" s="19"/>
    </row>
    <row r="427" spans="11:11" ht="15.75" x14ac:dyDescent="0.25">
      <c r="K427" s="19"/>
    </row>
    <row r="428" spans="11:11" ht="15.75" x14ac:dyDescent="0.25">
      <c r="K428" s="19"/>
    </row>
    <row r="429" spans="11:11" ht="15.75" x14ac:dyDescent="0.25">
      <c r="K429" s="19"/>
    </row>
    <row r="430" spans="11:11" ht="15.75" x14ac:dyDescent="0.25">
      <c r="K430" s="19"/>
    </row>
    <row r="431" spans="11:11" ht="15.75" x14ac:dyDescent="0.25">
      <c r="K431" s="19"/>
    </row>
    <row r="432" spans="11:11" ht="15.75" x14ac:dyDescent="0.25">
      <c r="K432" s="19"/>
    </row>
    <row r="433" spans="11:11" ht="15.75" x14ac:dyDescent="0.25">
      <c r="K433" s="19"/>
    </row>
    <row r="434" spans="11:11" ht="15.75" x14ac:dyDescent="0.25">
      <c r="K434" s="19"/>
    </row>
    <row r="435" spans="11:11" ht="15.75" x14ac:dyDescent="0.25">
      <c r="K435" s="19"/>
    </row>
    <row r="436" spans="11:11" ht="15.75" x14ac:dyDescent="0.25">
      <c r="K436" s="19"/>
    </row>
    <row r="437" spans="11:11" ht="15.75" x14ac:dyDescent="0.25">
      <c r="K437" s="19"/>
    </row>
    <row r="438" spans="11:11" ht="15.75" x14ac:dyDescent="0.25">
      <c r="K438" s="19"/>
    </row>
    <row r="439" spans="11:11" ht="15.75" x14ac:dyDescent="0.25">
      <c r="K439" s="19"/>
    </row>
    <row r="440" spans="11:11" ht="15.75" x14ac:dyDescent="0.25">
      <c r="K440" s="19"/>
    </row>
    <row r="441" spans="11:11" ht="15.75" x14ac:dyDescent="0.25">
      <c r="K441" s="19"/>
    </row>
    <row r="442" spans="11:11" ht="15.75" x14ac:dyDescent="0.25">
      <c r="K442" s="19"/>
    </row>
    <row r="443" spans="11:11" ht="15.75" x14ac:dyDescent="0.25">
      <c r="K443" s="19"/>
    </row>
    <row r="444" spans="11:11" ht="15.75" x14ac:dyDescent="0.25">
      <c r="K444" s="19"/>
    </row>
    <row r="445" spans="11:11" ht="15.75" x14ac:dyDescent="0.25">
      <c r="K445" s="19"/>
    </row>
    <row r="446" spans="11:11" ht="15.75" x14ac:dyDescent="0.25">
      <c r="K446" s="19"/>
    </row>
    <row r="447" spans="11:11" ht="15.75" x14ac:dyDescent="0.25">
      <c r="K447" s="19"/>
    </row>
    <row r="448" spans="11:11" ht="15.75" x14ac:dyDescent="0.25">
      <c r="K448" s="19"/>
    </row>
    <row r="449" spans="11:11" ht="15.75" x14ac:dyDescent="0.25">
      <c r="K449" s="19"/>
    </row>
    <row r="450" spans="11:11" ht="15.75" x14ac:dyDescent="0.25">
      <c r="K450" s="19"/>
    </row>
    <row r="451" spans="11:11" ht="15.75" x14ac:dyDescent="0.25">
      <c r="K451" s="19"/>
    </row>
    <row r="452" spans="11:11" ht="15.75" x14ac:dyDescent="0.25">
      <c r="K452" s="19"/>
    </row>
    <row r="453" spans="11:11" ht="15.75" x14ac:dyDescent="0.25">
      <c r="K453" s="19"/>
    </row>
    <row r="454" spans="11:11" ht="15.75" x14ac:dyDescent="0.25">
      <c r="K454" s="19"/>
    </row>
    <row r="455" spans="11:11" ht="15.75" x14ac:dyDescent="0.25">
      <c r="K455" s="19"/>
    </row>
    <row r="456" spans="11:11" ht="15.75" x14ac:dyDescent="0.25">
      <c r="K456" s="19"/>
    </row>
    <row r="457" spans="11:11" ht="15.75" x14ac:dyDescent="0.25">
      <c r="K457" s="19"/>
    </row>
    <row r="458" spans="11:11" ht="15.75" x14ac:dyDescent="0.25">
      <c r="K458" s="19"/>
    </row>
    <row r="459" spans="11:11" ht="15.75" x14ac:dyDescent="0.25">
      <c r="K459" s="19"/>
    </row>
    <row r="460" spans="11:11" ht="15.75" x14ac:dyDescent="0.25">
      <c r="K460" s="19"/>
    </row>
    <row r="461" spans="11:11" ht="15.75" x14ac:dyDescent="0.25">
      <c r="K461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G221:J222 I221:I224 A222:A231 L222:R244 H223:J223 H224 J224 H225:J226 H227:H229 I227:J238 F230:H230 H231 A232:H232 A233 H233:H234 A234:B234 A235:H237 H238 A238:A241 G239:J244 A242:B242 A243 A244:B244 H245:R245 A245:A283 B246:J249 L246:R251 D247:D253 G247:G253 D248:F254 H250:J250 G251:J253 K252:R252 H254:J254 D255:D257 G255:J257 G255:G259 K256:R256 L256:L264 H258:J258 J259:J263 H259:I265 M262:R262 L263:R263 J264:R264 J265:J266 H266:J283 K284:K373 L265:R283 L257:R261 L253:R255">
    <cfRule type="expression" dxfId="7" priority="4">
      <formula>CELL("row")=ROW()</formula>
    </cfRule>
  </conditionalFormatting>
  <conditionalFormatting sqref="B250:C257 E250:F257 B258:G268">
    <cfRule type="expression" dxfId="6" priority="2">
      <formula>CELL("row")=ROW()</formula>
    </cfRule>
  </conditionalFormatting>
  <conditionalFormatting sqref="G267">
    <cfRule type="expression" dxfId="5" priority="1">
      <formula>CELL("row")=ROW()</formula>
    </cfRule>
  </conditionalFormatting>
  <conditionalFormatting sqref="K220:K268">
    <cfRule type="expression" dxfId="4" priority="3">
      <formula>CELL("row")=ROW()</formula>
    </cfRule>
  </conditionalFormatting>
  <conditionalFormatting sqref="K285:O295 L284:O284">
    <cfRule type="expression" dxfId="3" priority="13">
      <formula>ROW(M93)=HighlightRow</formula>
    </cfRule>
  </conditionalFormatting>
  <conditionalFormatting sqref="P284:Q295">
    <cfRule type="expression" dxfId="2" priority="17">
      <formula>ROW(S93)=HighlightRow</formula>
    </cfRule>
  </conditionalFormatting>
  <conditionalFormatting sqref="S105:XFD105">
    <cfRule type="expression" dxfId="1" priority="18">
      <formula>ROW(T94)=HighlightRow</formula>
    </cfRule>
  </conditionalFormatting>
  <conditionalFormatting sqref="S106:XFD114">
    <cfRule type="expression" dxfId="0" priority="15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 H190:H191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L1217" zoomScaleNormal="100" workbookViewId="0">
      <selection activeCell="R1206" sqref="R1206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7464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33"/>
  <sheetViews>
    <sheetView topLeftCell="A93" zoomScale="85" zoomScaleNormal="85" workbookViewId="0">
      <selection activeCell="F110" activeCellId="1" sqref="F100:F101 F11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5" t="s">
        <v>6654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124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7424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7425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7426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7438</v>
      </c>
      <c r="C90" s="43">
        <v>9906998728</v>
      </c>
      <c r="D90" s="43" t="s">
        <v>7443</v>
      </c>
      <c r="E90" s="43" t="s">
        <v>7442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7441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7440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7550</v>
      </c>
      <c r="C93" s="43">
        <v>7889605207</v>
      </c>
      <c r="D93" s="43" t="s">
        <v>7551</v>
      </c>
      <c r="E93" s="43" t="s">
        <v>7347</v>
      </c>
      <c r="F93" s="21">
        <v>46016</v>
      </c>
      <c r="G93" s="21" t="s">
        <v>341</v>
      </c>
      <c r="H93" s="19" t="s">
        <v>6665</v>
      </c>
    </row>
    <row r="94" spans="1:13" ht="15.75" x14ac:dyDescent="0.25">
      <c r="A94" s="19">
        <f t="shared" si="2"/>
        <v>92</v>
      </c>
      <c r="B94" s="43" t="s">
        <v>7346</v>
      </c>
      <c r="C94" s="43">
        <v>7006565342</v>
      </c>
      <c r="D94" s="43" t="s">
        <v>7552</v>
      </c>
      <c r="E94" s="43" t="s">
        <v>7348</v>
      </c>
      <c r="F94" s="21">
        <v>46016</v>
      </c>
      <c r="G94" s="21" t="s">
        <v>341</v>
      </c>
      <c r="H94" s="19" t="s">
        <v>6665</v>
      </c>
    </row>
    <row r="95" spans="1:13" ht="15.75" x14ac:dyDescent="0.25">
      <c r="A95" s="19">
        <f t="shared" si="2"/>
        <v>93</v>
      </c>
      <c r="B95" s="43" t="s">
        <v>7467</v>
      </c>
      <c r="C95" s="43">
        <v>9018754974</v>
      </c>
      <c r="D95" s="43" t="s">
        <v>7553</v>
      </c>
      <c r="E95" s="43" t="s">
        <v>7493</v>
      </c>
      <c r="F95" s="21">
        <v>46016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7472</v>
      </c>
      <c r="C96" s="43">
        <v>9541622336</v>
      </c>
      <c r="D96" s="43" t="s">
        <v>7554</v>
      </c>
      <c r="E96" s="43" t="s">
        <v>7498</v>
      </c>
      <c r="F96" s="21">
        <v>46016</v>
      </c>
      <c r="G96" s="21" t="s">
        <v>341</v>
      </c>
      <c r="H96" s="19" t="s">
        <v>6665</v>
      </c>
      <c r="I96" s="34" t="s">
        <v>7423</v>
      </c>
      <c r="J96" s="34" t="s">
        <v>7423</v>
      </c>
      <c r="K96" s="34" t="s">
        <v>7455</v>
      </c>
      <c r="L96" s="34" t="s">
        <v>7423</v>
      </c>
      <c r="M96" s="34" t="s">
        <v>7456</v>
      </c>
    </row>
    <row r="97" spans="1:13" ht="15.75" x14ac:dyDescent="0.25">
      <c r="A97" s="19">
        <f t="shared" si="2"/>
        <v>95</v>
      </c>
      <c r="B97" s="43" t="s">
        <v>7468</v>
      </c>
      <c r="C97" s="43">
        <v>7889383674</v>
      </c>
      <c r="D97" s="43" t="s">
        <v>7555</v>
      </c>
      <c r="E97" s="43" t="s">
        <v>7494</v>
      </c>
      <c r="F97" s="21">
        <v>46016</v>
      </c>
      <c r="G97" s="21" t="s">
        <v>341</v>
      </c>
      <c r="H97" s="19" t="s">
        <v>6665</v>
      </c>
      <c r="I97" s="33"/>
      <c r="J97" s="33"/>
      <c r="K97" s="33"/>
      <c r="L97" s="33"/>
      <c r="M97" s="33"/>
    </row>
    <row r="98" spans="1:13" ht="15.75" x14ac:dyDescent="0.25">
      <c r="A98" s="19">
        <f t="shared" si="2"/>
        <v>96</v>
      </c>
      <c r="B98" s="43" t="s">
        <v>7507</v>
      </c>
      <c r="C98" s="43">
        <v>6005068829</v>
      </c>
      <c r="D98" s="43" t="s">
        <v>7556</v>
      </c>
      <c r="E98" s="43" t="s">
        <v>7521</v>
      </c>
      <c r="F98" s="21">
        <v>46016</v>
      </c>
      <c r="G98" s="21" t="s">
        <v>341</v>
      </c>
      <c r="H98" s="19" t="s">
        <v>6665</v>
      </c>
    </row>
    <row r="99" spans="1:13" ht="15.75" x14ac:dyDescent="0.25">
      <c r="A99" s="19">
        <f t="shared" si="2"/>
        <v>97</v>
      </c>
      <c r="B99" s="43" t="s">
        <v>7247</v>
      </c>
      <c r="C99" s="43">
        <v>7889801873</v>
      </c>
      <c r="D99" s="43" t="s">
        <v>7557</v>
      </c>
      <c r="E99" s="43" t="s">
        <v>7261</v>
      </c>
      <c r="F99" s="21">
        <v>46016</v>
      </c>
      <c r="G99" s="21" t="s">
        <v>341</v>
      </c>
      <c r="H99" s="19" t="s">
        <v>6665</v>
      </c>
    </row>
    <row r="100" spans="1:13" ht="15.75" x14ac:dyDescent="0.25">
      <c r="A100" s="19">
        <f t="shared" si="2"/>
        <v>98</v>
      </c>
      <c r="B100" s="43" t="s">
        <v>7433</v>
      </c>
      <c r="C100" s="43">
        <v>7889474847</v>
      </c>
      <c r="D100" s="43" t="s">
        <v>7454</v>
      </c>
      <c r="E100" s="43" t="s">
        <v>7376</v>
      </c>
      <c r="F100" s="21">
        <v>46015</v>
      </c>
      <c r="G100" s="21" t="s">
        <v>341</v>
      </c>
      <c r="H100" s="19" t="s">
        <v>6665</v>
      </c>
    </row>
    <row r="101" spans="1:13" ht="15.75" x14ac:dyDescent="0.25">
      <c r="A101" s="19">
        <f t="shared" si="2"/>
        <v>99</v>
      </c>
      <c r="B101" s="43" t="s">
        <v>7357</v>
      </c>
      <c r="C101" s="43">
        <v>8491929306</v>
      </c>
      <c r="D101" s="43" t="s">
        <v>7457</v>
      </c>
      <c r="E101" s="43" t="s">
        <v>7439</v>
      </c>
      <c r="F101" s="21">
        <v>46015</v>
      </c>
      <c r="G101" s="21" t="s">
        <v>341</v>
      </c>
      <c r="H101" s="19" t="s">
        <v>6665</v>
      </c>
    </row>
    <row r="102" spans="1:13" ht="15.75" x14ac:dyDescent="0.25">
      <c r="A102" s="19">
        <f t="shared" si="2"/>
        <v>100</v>
      </c>
      <c r="B102" s="56"/>
      <c r="C102" s="56"/>
      <c r="D102" s="56"/>
      <c r="E102" s="56"/>
      <c r="F102" s="21"/>
      <c r="G102" s="21"/>
      <c r="H102" s="19"/>
    </row>
    <row r="103" spans="1:13" ht="15.75" x14ac:dyDescent="0.25">
      <c r="A103" s="19">
        <f t="shared" si="2"/>
        <v>101</v>
      </c>
      <c r="B103" s="56"/>
      <c r="C103" s="56"/>
      <c r="D103" s="56"/>
      <c r="E103" s="56"/>
      <c r="F103" s="21"/>
      <c r="G103" s="21"/>
      <c r="H103" s="19"/>
    </row>
    <row r="104" spans="1:13" ht="15.75" x14ac:dyDescent="0.25">
      <c r="A104" s="19">
        <f t="shared" si="2"/>
        <v>102</v>
      </c>
      <c r="B104" s="56"/>
      <c r="C104" s="56"/>
      <c r="D104" s="56"/>
      <c r="E104" s="56"/>
      <c r="F104" s="21"/>
      <c r="G104" s="21"/>
      <c r="H104" s="19"/>
    </row>
    <row r="105" spans="1:13" ht="15.75" x14ac:dyDescent="0.25">
      <c r="A105" s="19">
        <f t="shared" si="2"/>
        <v>103</v>
      </c>
      <c r="B105" s="56"/>
      <c r="C105" s="56"/>
      <c r="D105" s="56"/>
      <c r="E105" s="56"/>
      <c r="F105" s="21"/>
      <c r="G105" s="21"/>
      <c r="H105" s="19"/>
    </row>
    <row r="106" spans="1:13" ht="15.75" x14ac:dyDescent="0.25">
      <c r="A106" s="19">
        <f t="shared" si="2"/>
        <v>104</v>
      </c>
      <c r="B106" s="56"/>
      <c r="C106" s="56"/>
      <c r="D106" s="56"/>
      <c r="E106" s="56"/>
      <c r="F106" s="21"/>
      <c r="G106" s="21"/>
      <c r="H106" s="19"/>
    </row>
    <row r="107" spans="1:13" ht="15.75" x14ac:dyDescent="0.25">
      <c r="A107" s="19">
        <f t="shared" si="2"/>
        <v>105</v>
      </c>
      <c r="B107" s="56"/>
      <c r="C107" s="56"/>
      <c r="D107" s="56"/>
      <c r="E107" s="56"/>
      <c r="F107" s="21"/>
      <c r="G107" s="21"/>
      <c r="H107" s="19"/>
    </row>
    <row r="108" spans="1:13" ht="15.75" x14ac:dyDescent="0.25">
      <c r="A108" s="19">
        <f t="shared" si="2"/>
        <v>106</v>
      </c>
      <c r="B108" s="56"/>
      <c r="C108" s="56"/>
      <c r="D108" s="56"/>
      <c r="E108" s="56"/>
      <c r="F108" s="21"/>
      <c r="G108" s="21"/>
      <c r="H108" s="19"/>
    </row>
    <row r="109" spans="1:13" ht="15.75" x14ac:dyDescent="0.25">
      <c r="A109" s="19">
        <f t="shared" si="2"/>
        <v>107</v>
      </c>
      <c r="B109" s="56"/>
      <c r="C109" s="56"/>
      <c r="D109" s="56"/>
      <c r="E109" s="56"/>
      <c r="F109" s="21"/>
      <c r="G109" s="21"/>
      <c r="H109" s="19"/>
    </row>
    <row r="110" spans="1:13" ht="15.75" x14ac:dyDescent="0.25">
      <c r="A110" s="19">
        <f t="shared" si="2"/>
        <v>108</v>
      </c>
      <c r="B110" s="56"/>
      <c r="C110" s="56"/>
      <c r="D110" s="56"/>
      <c r="E110" s="56"/>
      <c r="F110" s="21"/>
      <c r="G110" s="21"/>
      <c r="H110" s="19"/>
    </row>
    <row r="111" spans="1:13" ht="15.75" x14ac:dyDescent="0.25">
      <c r="A111" s="19">
        <f t="shared" si="2"/>
        <v>109</v>
      </c>
      <c r="B111" s="56"/>
      <c r="C111" s="56"/>
      <c r="D111" s="56"/>
      <c r="E111" s="56"/>
      <c r="F111" s="21"/>
      <c r="G111" s="21"/>
      <c r="H111" s="19"/>
    </row>
    <row r="112" spans="1:13" ht="15.75" x14ac:dyDescent="0.25">
      <c r="A112" s="19">
        <f t="shared" si="2"/>
        <v>110</v>
      </c>
      <c r="B112" s="56"/>
      <c r="C112" s="56"/>
      <c r="D112" s="56"/>
      <c r="E112" s="56"/>
      <c r="F112" s="21"/>
      <c r="G112" s="21"/>
      <c r="H112" s="19"/>
    </row>
    <row r="113" spans="1:8" ht="15.75" x14ac:dyDescent="0.25">
      <c r="A113" s="19">
        <f t="shared" si="2"/>
        <v>111</v>
      </c>
      <c r="B113" s="56"/>
      <c r="C113" s="56"/>
      <c r="D113" s="56"/>
      <c r="E113" s="56"/>
      <c r="F113" s="21"/>
      <c r="G113" s="21"/>
      <c r="H113" s="19"/>
    </row>
    <row r="114" spans="1:8" ht="15.75" x14ac:dyDescent="0.25">
      <c r="A114" s="19">
        <f t="shared" si="2"/>
        <v>112</v>
      </c>
      <c r="B114" s="56"/>
      <c r="C114" s="56"/>
      <c r="D114" s="56"/>
      <c r="E114" s="56"/>
      <c r="F114" s="21"/>
      <c r="G114" s="21"/>
      <c r="H114" s="19"/>
    </row>
    <row r="115" spans="1:8" ht="15.75" x14ac:dyDescent="0.25">
      <c r="A115" s="19">
        <f t="shared" si="2"/>
        <v>113</v>
      </c>
      <c r="B115" s="56"/>
      <c r="C115" s="56"/>
      <c r="D115" s="56"/>
      <c r="E115" s="56"/>
      <c r="F115" s="21"/>
      <c r="G115" s="21"/>
      <c r="H115" s="19"/>
    </row>
    <row r="116" spans="1:8" ht="15.75" x14ac:dyDescent="0.25">
      <c r="A116" s="19">
        <f t="shared" si="2"/>
        <v>114</v>
      </c>
      <c r="B116" s="56"/>
      <c r="C116" s="56"/>
      <c r="D116" s="56"/>
      <c r="E116" s="56"/>
      <c r="F116" s="21"/>
      <c r="G116" s="21"/>
      <c r="H116" s="19"/>
    </row>
    <row r="117" spans="1:8" ht="15.75" x14ac:dyDescent="0.25">
      <c r="A117" s="19">
        <f t="shared" si="2"/>
        <v>115</v>
      </c>
      <c r="B117" s="56"/>
      <c r="C117" s="56"/>
      <c r="D117" s="56"/>
      <c r="E117" s="56"/>
      <c r="F117" s="21"/>
      <c r="G117" s="21"/>
      <c r="H117" s="19"/>
    </row>
    <row r="118" spans="1:8" ht="15.75" x14ac:dyDescent="0.25">
      <c r="A118" s="19">
        <f t="shared" si="2"/>
        <v>116</v>
      </c>
      <c r="B118" s="56"/>
      <c r="C118" s="56"/>
      <c r="D118" s="56"/>
      <c r="E118" s="56"/>
      <c r="F118" s="21"/>
      <c r="G118" s="21"/>
      <c r="H118" s="19"/>
    </row>
    <row r="119" spans="1:8" ht="15.75" x14ac:dyDescent="0.25">
      <c r="A119" s="19">
        <f t="shared" si="2"/>
        <v>117</v>
      </c>
      <c r="B119" s="56"/>
      <c r="C119" s="56"/>
      <c r="D119" s="56"/>
      <c r="E119" s="56"/>
      <c r="F119" s="21"/>
      <c r="G119" s="21"/>
      <c r="H119" s="19"/>
    </row>
    <row r="120" spans="1:8" ht="15.75" x14ac:dyDescent="0.25">
      <c r="A120" s="19">
        <f t="shared" si="2"/>
        <v>118</v>
      </c>
      <c r="B120" s="56"/>
      <c r="C120" s="56"/>
      <c r="D120" s="56"/>
      <c r="E120" s="56"/>
      <c r="F120" s="21"/>
      <c r="G120" s="21"/>
      <c r="H120" s="19"/>
    </row>
    <row r="121" spans="1:8" ht="15.75" x14ac:dyDescent="0.25">
      <c r="A121" s="19">
        <f t="shared" si="2"/>
        <v>119</v>
      </c>
      <c r="B121" s="56"/>
      <c r="C121" s="56"/>
      <c r="D121" s="56"/>
      <c r="E121" s="56"/>
      <c r="F121" s="21"/>
      <c r="G121" s="21"/>
      <c r="H121" s="19"/>
    </row>
    <row r="122" spans="1:8" ht="15.75" x14ac:dyDescent="0.25">
      <c r="A122" s="19">
        <f t="shared" si="2"/>
        <v>120</v>
      </c>
      <c r="B122" s="56"/>
      <c r="C122" s="56"/>
      <c r="D122" s="56"/>
      <c r="E122" s="56"/>
      <c r="F122" s="21"/>
      <c r="G122" s="21"/>
      <c r="H122" s="19"/>
    </row>
    <row r="123" spans="1:8" ht="15.75" x14ac:dyDescent="0.25">
      <c r="A123" s="19">
        <f t="shared" si="2"/>
        <v>121</v>
      </c>
      <c r="B123" s="56"/>
      <c r="C123" s="56"/>
      <c r="D123" s="56"/>
      <c r="E123" s="56"/>
      <c r="F123" s="21"/>
      <c r="G123" s="21"/>
      <c r="H123" s="19"/>
    </row>
    <row r="124" spans="1:8" ht="15.75" x14ac:dyDescent="0.25">
      <c r="A124" s="19">
        <f t="shared" si="2"/>
        <v>122</v>
      </c>
      <c r="B124" s="56"/>
      <c r="C124" s="56"/>
      <c r="D124" s="56"/>
      <c r="E124" s="56"/>
      <c r="F124" s="21"/>
      <c r="G124" s="21"/>
      <c r="H124" s="19"/>
    </row>
    <row r="125" spans="1:8" x14ac:dyDescent="0.25">
      <c r="D125" s="46" t="s">
        <v>6665</v>
      </c>
      <c r="F125" s="45" t="s">
        <v>7423</v>
      </c>
    </row>
    <row r="127" spans="1:8" x14ac:dyDescent="0.25">
      <c r="D127" s="34" t="s">
        <v>7453</v>
      </c>
      <c r="F127" s="34" t="s">
        <v>7423</v>
      </c>
      <c r="G127" s="34" t="s">
        <v>7376</v>
      </c>
      <c r="H127" s="34" t="s">
        <v>7423</v>
      </c>
    </row>
    <row r="128" spans="1:8" x14ac:dyDescent="0.25">
      <c r="B128" s="45"/>
      <c r="E128" s="46" t="s">
        <v>6665</v>
      </c>
      <c r="G128" s="45" t="s">
        <v>7423</v>
      </c>
    </row>
    <row r="133" spans="6:8" x14ac:dyDescent="0.25">
      <c r="F133" s="34"/>
      <c r="H133" s="34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2025-12-25T11:56:18Z</dcterms:modified>
</cp:coreProperties>
</file>