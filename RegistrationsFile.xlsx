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CF2E9DF-622E-4ADB-9EB4-7B9D66ED5AA4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31" i="7" l="1"/>
  <c r="A632" i="7"/>
  <c r="A633" i="7"/>
  <c r="A634" i="7"/>
  <c r="A635" i="7"/>
  <c r="A636" i="7"/>
  <c r="A637" i="7"/>
  <c r="A638" i="7"/>
  <c r="H937" i="4"/>
  <c r="H938" i="4"/>
  <c r="H939" i="4"/>
  <c r="H940" i="4"/>
  <c r="H941" i="4"/>
  <c r="H942" i="4"/>
  <c r="H943" i="4"/>
  <c r="H944" i="4"/>
  <c r="A937" i="4"/>
  <c r="A938" i="4"/>
  <c r="A939" i="4"/>
  <c r="A940" i="4"/>
  <c r="A941" i="4"/>
  <c r="A942" i="4"/>
  <c r="A943" i="4"/>
  <c r="A944" i="4"/>
  <c r="A627" i="7" l="1"/>
  <c r="A628" i="7"/>
  <c r="A629" i="7"/>
  <c r="A630" i="7"/>
  <c r="H900" i="4"/>
  <c r="H901" i="4"/>
  <c r="H930" i="4"/>
  <c r="H931" i="4"/>
  <c r="H932" i="4"/>
  <c r="H933" i="4"/>
  <c r="H934" i="4"/>
  <c r="H935" i="4"/>
  <c r="H936" i="4"/>
  <c r="A930" i="4"/>
  <c r="A931" i="4"/>
  <c r="A932" i="4"/>
  <c r="A933" i="4"/>
  <c r="A934" i="4"/>
  <c r="A935" i="4"/>
  <c r="A936" i="4"/>
  <c r="A624" i="7"/>
  <c r="A625" i="7"/>
  <c r="A626" i="7"/>
  <c r="A622" i="7"/>
  <c r="A623" i="7"/>
  <c r="H926" i="4"/>
  <c r="H927" i="4"/>
  <c r="H928" i="4"/>
  <c r="H929" i="4"/>
  <c r="A926" i="4"/>
  <c r="A927" i="4"/>
  <c r="A928" i="4"/>
  <c r="A929" i="4"/>
  <c r="A618" i="7" l="1"/>
  <c r="A619" i="7"/>
  <c r="A620" i="7"/>
  <c r="A621" i="7"/>
  <c r="H922" i="4"/>
  <c r="H923" i="4"/>
  <c r="H924" i="4"/>
  <c r="H925" i="4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H914" i="4"/>
  <c r="H915" i="4"/>
  <c r="H917" i="4"/>
  <c r="H916" i="4"/>
  <c r="H918" i="4"/>
  <c r="H919" i="4"/>
  <c r="H920" i="4"/>
  <c r="H921" i="4"/>
  <c r="A914" i="4"/>
  <c r="A915" i="4"/>
  <c r="A917" i="4"/>
  <c r="A916" i="4"/>
  <c r="A918" i="4"/>
  <c r="A919" i="4"/>
  <c r="A920" i="4"/>
  <c r="A921" i="4"/>
  <c r="H907" i="4" l="1"/>
  <c r="A600" i="7" l="1"/>
  <c r="A601" i="7"/>
  <c r="A602" i="7"/>
  <c r="A603" i="7"/>
  <c r="A604" i="7"/>
  <c r="A605" i="7"/>
  <c r="A606" i="7"/>
  <c r="H905" i="4"/>
  <c r="H906" i="4"/>
  <c r="H910" i="4"/>
  <c r="H908" i="4"/>
  <c r="H909" i="4"/>
  <c r="H912" i="4"/>
  <c r="H913" i="4"/>
  <c r="A905" i="4"/>
  <c r="A906" i="4"/>
  <c r="A910" i="4"/>
  <c r="A907" i="4"/>
  <c r="A908" i="4"/>
  <c r="A909" i="4"/>
  <c r="A912" i="4"/>
  <c r="A913" i="4"/>
  <c r="H893" i="4"/>
  <c r="A591" i="7" l="1"/>
  <c r="A592" i="7"/>
  <c r="A593" i="7"/>
  <c r="A594" i="7"/>
  <c r="A595" i="7"/>
  <c r="A596" i="7"/>
  <c r="A597" i="7"/>
  <c r="A598" i="7"/>
  <c r="A599" i="7"/>
  <c r="H894" i="4"/>
  <c r="H895" i="4"/>
  <c r="H896" i="4"/>
  <c r="H897" i="4"/>
  <c r="H898" i="4"/>
  <c r="H899" i="4"/>
  <c r="H902" i="4"/>
  <c r="H903" i="4"/>
  <c r="H904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H888" i="4" l="1"/>
  <c r="H889" i="4"/>
  <c r="H890" i="4"/>
  <c r="H891" i="4"/>
  <c r="H892" i="4"/>
  <c r="A888" i="4"/>
  <c r="A889" i="4"/>
  <c r="A890" i="4"/>
  <c r="A891" i="4"/>
  <c r="A892" i="4"/>
  <c r="H883" i="4" l="1"/>
  <c r="H882" i="4" l="1"/>
  <c r="H884" i="4"/>
  <c r="H885" i="4"/>
  <c r="H887" i="4"/>
  <c r="A882" i="4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5" i="4" l="1"/>
  <c r="H877" i="4"/>
  <c r="H876" i="4"/>
  <c r="H878" i="4"/>
  <c r="H879" i="4"/>
  <c r="H880" i="4"/>
  <c r="H881" i="4"/>
  <c r="A875" i="4"/>
  <c r="A877" i="4"/>
  <c r="A876" i="4"/>
  <c r="A878" i="4"/>
  <c r="A879" i="4"/>
  <c r="A880" i="4"/>
  <c r="A881" i="4"/>
  <c r="H869" i="4" l="1"/>
  <c r="H870" i="4"/>
  <c r="H871" i="4"/>
  <c r="H872" i="4"/>
  <c r="H873" i="4"/>
  <c r="H874" i="4"/>
  <c r="H886" i="4"/>
  <c r="A869" i="4"/>
  <c r="A870" i="4"/>
  <c r="A871" i="4"/>
  <c r="A872" i="4"/>
  <c r="A873" i="4"/>
  <c r="A874" i="4"/>
  <c r="A886" i="4"/>
  <c r="A10" i="8"/>
  <c r="A11" i="8"/>
  <c r="A12" i="8"/>
  <c r="A13" i="8"/>
  <c r="A14" i="8"/>
  <c r="A15" i="8"/>
  <c r="H864" i="4"/>
  <c r="H867" i="4"/>
  <c r="H868" i="4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H860" i="4"/>
  <c r="H861" i="4"/>
  <c r="H862" i="4"/>
  <c r="H863" i="4"/>
  <c r="H866" i="4"/>
  <c r="H865" i="4"/>
  <c r="A860" i="4"/>
  <c r="A861" i="4"/>
  <c r="A862" i="4"/>
  <c r="A863" i="4"/>
  <c r="A866" i="4"/>
  <c r="A865" i="4"/>
  <c r="A561" i="7" l="1"/>
  <c r="A562" i="7"/>
  <c r="A563" i="7"/>
  <c r="A564" i="7"/>
  <c r="H854" i="4"/>
  <c r="H855" i="4"/>
  <c r="H856" i="4"/>
  <c r="H859" i="4"/>
  <c r="H858" i="4"/>
  <c r="H857" i="4"/>
  <c r="A854" i="4"/>
  <c r="A855" i="4"/>
  <c r="A856" i="4"/>
  <c r="A859" i="4"/>
  <c r="A858" i="4"/>
  <c r="A857" i="4"/>
  <c r="H851" i="4" l="1"/>
  <c r="H852" i="4"/>
  <c r="H853" i="4"/>
  <c r="A851" i="4"/>
  <c r="A852" i="4"/>
  <c r="A853" i="4"/>
  <c r="H847" i="4"/>
  <c r="H848" i="4"/>
  <c r="H911" i="4"/>
  <c r="H849" i="4"/>
  <c r="H850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<sst xmlns="http://schemas.openxmlformats.org/spreadsheetml/2006/main" count="29271" uniqueCount="11792">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</sst>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44" totalsRowShown="0" headerRowDxfId="89" dataDxfId="88">
  <autoFilter ref="A1:R944" xr:uid="{97E63F84-BDFB-4C38-B1FD-28318E0D1D3F}"/>
  <tableColumns count="18">
    <tableColumn id="1" xr3:uid="{DEBB3640-E433-4779-93BC-95B8FB492623}" name="S.NO" dataDxfId="87">
      <calculatedColumnFormula>ROW()-1</calculatedColumnFormula>
    </tableColumn>
    <tableColumn id="13" xr3:uid="{86C56767-9BFE-4154-9FC1-CEA7C183815E}" name="APPLICATION NO." dataDxfId="86"/>
    <tableColumn id="2" xr3:uid="{6ABB4EDF-0F58-40D7-979C-D37D8D91A6BC}" name="CHASSIS" dataDxfId="85"/>
    <tableColumn id="17" xr3:uid="{0BBF5E4D-B8B0-4055-8D5F-3A6BB4D4A4DA}" name="ENGINE NO." dataDxfId="84"/>
    <tableColumn id="3" xr3:uid="{285CC4F4-4CD1-4FFC-A101-ED051DA40438}" name="NAME" dataDxfId="83"/>
    <tableColumn id="4" xr3:uid="{28DC8B59-EFA0-4502-86B0-033B0B60D615}" name="MODEL" dataDxfId="82"/>
    <tableColumn id="14" xr3:uid="{B25F5A6A-3B72-4772-B75C-D86670F35131}" name="COLOR" dataDxfId="81"/>
    <tableColumn id="15" xr3:uid="{22F5E9AE-FC4E-4EBD-ADBF-5C93F85B331F}" name="RTO" dataDxfId="80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9"/>
    <tableColumn id="6" xr3:uid="{9942893D-0703-456F-8072-CD136C7B4052}" name="DATE OF REG" dataDxfId="78"/>
    <tableColumn id="12" xr3:uid="{CC83ADC7-1924-4CE0-83FB-B2DFBEF7A193}" name="CONTACT" dataDxfId="77"/>
    <tableColumn id="7" xr3:uid="{3AD2B0D9-D7A5-46E0-B596-F6B7F1CDDEA6}" name="DSE" dataDxfId="76"/>
    <tableColumn id="8" xr3:uid="{475221AE-3FDC-4CED-B76C-4DA1DD4F8AD9}" name="RC RECEIVED BY" dataDxfId="75"/>
    <tableColumn id="9" xr3:uid="{F594ED7D-6966-47AC-A5C3-25754B73A3CC}" name="DATE" dataDxfId="74"/>
    <tableColumn id="10" xr3:uid="{452E3ECD-E927-4EC7-A8A2-4A866233750E}" name="FASTTAG" dataDxfId="73"/>
    <tableColumn id="11" xr3:uid="{CFEE5573-D700-4B26-B382-BCA8210C54C2}" name="DATED" dataDxfId="72"/>
    <tableColumn id="16" xr3:uid="{07363D0C-2FBE-403B-A617-BDB5768FAC43}" name="FT STATUS" dataDxfId="71"/>
    <tableColumn id="19" xr3:uid="{9456CF5E-F4D1-41FB-BAEA-332735A8583D}" name="REMARKS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9" dataDxfId="67" headerRowBorderDxfId="68" tableBorderDxfId="66">
  <autoFilter ref="A1:U1475" xr:uid="{D370B51C-D08F-47BE-AAB1-EC19B1CB5D0A}"/>
  <tableColumns count="21">
    <tableColumn id="1" xr3:uid="{F2AB5776-2910-4922-8F7A-A29B241AFBFB}" name="S.NO" dataDxfId="65"/>
    <tableColumn id="2" xr3:uid="{BD6FD91D-E737-4D6A-B00A-D80EC1A61CA8}" name="DATE" dataDxfId="64"/>
    <tableColumn id="3" xr3:uid="{523BFE7D-9361-4DD0-92B3-69A6F8F0C3E9}" name="CUSTOMER NAME" dataDxfId="63"/>
    <tableColumn id="4" xr3:uid="{D470DE80-5E84-419F-ABF9-6269311CD45E}" name="MARUTI" dataDxfId="62"/>
    <tableColumn id="5" xr3:uid="{89C10B6F-C9EE-4AD2-A610-262BFCF29B4E}" name="MODEL OR VARIANT" dataDxfId="61"/>
    <tableColumn id="6" xr3:uid="{9CB69D3E-706F-4EED-A315-D5399BE00D5C}" name="RTO" dataDxfId="60"/>
    <tableColumn id="7" xr3:uid="{2FB81954-C8D6-43B3-92E2-574B07BBFCCB}" name="VEHICLE CLASS" dataDxfId="59"/>
    <tableColumn id="8" xr3:uid="{1892A735-1187-4E6C-8786-9B173567AAD2}" name="REG. NO" dataDxfId="58"/>
    <tableColumn id="9" xr3:uid="{AFB37B1C-50E7-42BE-BC49-27B4D7E4E829}" name="VIN" dataDxfId="57"/>
    <tableColumn id="10" xr3:uid="{A3569458-1056-4E90-B079-94E3430A5743}" name="APPLICATION NO." dataDxfId="56"/>
    <tableColumn id="11" xr3:uid="{E25E7D92-4EC4-485D-93B8-A15B0538604A}" name="RTO AMMOUNT " dataDxfId="55"/>
    <tableColumn id="12" xr3:uid="{DB89535A-8F36-4EF8-B62C-86ABB378F51F}" name="HSRP" dataDxfId="54"/>
    <tableColumn id="13" xr3:uid="{6BD25826-954F-49C4-BE9E-24422B1B85BE}" name="ACCOUNT" dataDxfId="53"/>
    <tableColumn id="14" xr3:uid="{974951AE-D99C-487A-9DB5-065DA8DD25D4}" name="RM NAME" dataDxfId="52"/>
    <tableColumn id="15" xr3:uid="{FA4014CD-BE60-4554-9D6D-C0CC54B2CA05}" name="PAYMENT MODE" dataDxfId="51"/>
    <tableColumn id="16" xr3:uid="{84C48B22-72C9-4BD7-86AD-D8ECD87C3A64}" name="FILE PUNCHED BY" dataDxfId="50"/>
    <tableColumn id="17" xr3:uid="{87E46E14-6F6C-41D4-BBF8-CEAFAFE4CA8F}" name="PAYMENT ID" dataDxfId="49"/>
    <tableColumn id="18" xr3:uid="{0F2CD467-C868-4769-B436-AE2A25413B52}" name="RC STATUS" dataDxfId="48"/>
    <tableColumn id="19" xr3:uid="{0A9FDBF9-6418-4F2B-8B46-BE05C8150A04}" name="RC GIVEN DATE" dataDxfId="47"/>
    <tableColumn id="20" xr3:uid="{3A50F2B6-47D6-4A09-AA43-188FC568EA57}" name="FASTTAG ISSUE" dataDxfId="46"/>
    <tableColumn id="21" xr3:uid="{E4802D5D-D65F-42D3-B57E-E27729185964}" name="FASTTAG ISSUE DATE 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44" dataDxfId="43">
  <autoFilter ref="A2:I15" xr:uid="{74ED0DA7-B29F-4043-B63E-2DC322D6021E}"/>
  <tableColumns count="9">
    <tableColumn id="1" xr3:uid="{245016D5-DEB3-4F3E-B449-3096C2EF947B}" name="S.No." dataDxfId="42">
      <calculatedColumnFormula>ROW()-2</calculatedColumnFormula>
    </tableColumn>
    <tableColumn id="2" xr3:uid="{77ED4F47-8FDC-4F18-AB35-3830D899313B}" name="Dated" dataDxfId="41"/>
    <tableColumn id="3" xr3:uid="{67393A8B-58A2-4A4E-AA68-362B9B4F4E28}" name="Vehicle Num." dataDxfId="40"/>
    <tableColumn id="4" xr3:uid="{2C031EFD-E44B-468B-BEF0-3C97412F5E2E}" name="Name" dataDxfId="39"/>
    <tableColumn id="5" xr3:uid="{73873638-799E-44F5-B857-93DAE5E0F2FF}" name="Payment Mode" dataDxfId="38"/>
    <tableColumn id="6" xr3:uid="{BFB6E8F7-43C7-4B39-8FF0-E41A5EA5B2D3}" name="Trans Id." dataDxfId="37"/>
    <tableColumn id="8" xr3:uid="{3B1BF0B9-13BC-4A4E-B215-A3056576D199}" name="Trans. Date" dataDxfId="36"/>
    <tableColumn id="9" xr3:uid="{F64CF3FC-8352-46AE-80D1-01DDCE0247AC}" name="Amount" dataDxfId="35"/>
    <tableColumn id="7" xr3:uid="{22AF1F96-D5EA-48BA-A958-A42C203B5287}" name="Remarks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38" totalsRowShown="0" headerRowDxfId="33" dataDxfId="32">
  <autoFilter ref="A2:H63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1"/>
    <tableColumn id="11" xr3:uid="{7AA66E15-5D81-45A6-A480-BC2F7EFDEB4C}" name="Name" dataDxfId="30"/>
    <tableColumn id="10" xr3:uid="{DA1D923C-25B3-4F76-823C-435E6464FF55}" name="Contact" dataDxfId="29"/>
    <tableColumn id="2" xr3:uid="{5FEBD558-5EB7-4421-BA25-DCAC1134B168}" name="Barcode No." dataDxfId="28"/>
    <tableColumn id="12" xr3:uid="{77758C8B-F2C8-47C0-B104-570729F9693B}" name="Reg Num" dataDxfId="27"/>
    <tableColumn id="5" xr3:uid="{9AC97A3F-3009-4A59-ACCF-A178780E6F61}" name="Date" dataDxfId="26"/>
    <tableColumn id="7" xr3:uid="{82C8F4C5-8489-4228-83CC-0B9666328CDD}" name="CHANNEL" dataDxfId="25"/>
    <tableColumn id="8" xr3:uid="{DDF1FC61-A0D6-46E9-9515-6DDC5AB1E932}" name="Status" dataDxf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12"/>
  <sheetViews>
    <sheetView tabSelected="1" topLeftCell="G903" zoomScaleNormal="100" workbookViewId="0">
      <selection activeCell="N916" sqref="N91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11694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11401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11402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11403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11400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11693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11422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 t="s">
        <v>9913</v>
      </c>
      <c r="N768" s="22">
        <v>46160</v>
      </c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 t="s">
        <v>8152</v>
      </c>
      <c r="N771" s="22">
        <v>46204</v>
      </c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 t="s">
        <v>9913</v>
      </c>
      <c r="N776" s="22">
        <v>46203</v>
      </c>
      <c r="O776" s="21" t="s">
        <v>23</v>
      </c>
      <c r="P776" s="24">
        <v>46203</v>
      </c>
      <c r="Q776" s="21" t="s">
        <v>10853</v>
      </c>
      <c r="R776" s="21" t="s">
        <v>11661</v>
      </c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 t="s">
        <v>11515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 t="s">
        <v>11695</v>
      </c>
      <c r="N782" s="22">
        <v>46205</v>
      </c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 t="s">
        <v>11704</v>
      </c>
      <c r="N814" s="22">
        <v>46113</v>
      </c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 t="s">
        <v>9913</v>
      </c>
      <c r="N823" s="22">
        <v>46203</v>
      </c>
      <c r="O823" s="21" t="s">
        <v>23</v>
      </c>
      <c r="P823" s="24">
        <v>46203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 t="s">
        <v>519</v>
      </c>
      <c r="N829" s="22">
        <v>46209</v>
      </c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11426</v>
      </c>
    </row>
    <row r="834" spans="1:18" x14ac:dyDescent="0.25">
      <c r="A834" s="21">
        <f t="shared" ref="A834:A911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8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>IF(LEFT(R836,4)="JK13","PULWAMA",IF(LEFT(R836,4)="JK01","SRINAGAR",IF(LEFT(R836,4)="JK04","BUDGAM",IF(LEFT(R836,4)="JK03","ANANTNAG",IF(LEFT(R836,4)="LA01","KARGIL",IF(LEFT(R836,4)="JK05","BARAMULLA",IF(LEFT(R836,4)="26BH","BHARAT",IF(LEFT(R836,4)="25BH","BHARAT",IF(LEFT(R836,4)="JK12","POONCH",IF(LEFT(R836,4)="JK16","GANDERBAL",IF(LEFT(R836,4)="JK18","KULGAM",IF(LEFT(R836,4)="JK22","SHOPIAN",IF(LEFT(R836,4)="JK02","JAMMU",IF(LEFT(R836,4)="JK09","KUPWARA",IF(LEFT(R836,4)="JK15","BANDIPORA",IF(LEFT(R836,4)="JK17","KISHTWAR",IF(LEFT(R836,4)="LA01","KARGIL",IF(LEFT(R836,1)="T","TEMP","NEW"))))))))))))))))))</f>
        <v>TEMP</v>
      </c>
      <c r="I836" s="21" t="s">
        <v>11582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11126</v>
      </c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 t="s">
        <v>11469</v>
      </c>
      <c r="M843" s="23" t="s">
        <v>11166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11420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11219</v>
      </c>
      <c r="C851" s="21" t="s">
        <v>11216</v>
      </c>
      <c r="D851" s="21" t="s">
        <v>11217</v>
      </c>
      <c r="E851" s="21" t="s">
        <v>11218</v>
      </c>
      <c r="F851" s="21" t="s">
        <v>98</v>
      </c>
      <c r="G851" s="21" t="s">
        <v>197</v>
      </c>
      <c r="H851" s="21" t="str">
        <f t="shared" si="27"/>
        <v>SRINAGAR</v>
      </c>
      <c r="I851" s="21" t="s">
        <v>11235</v>
      </c>
      <c r="J851" s="22">
        <v>46184</v>
      </c>
      <c r="K851" s="21">
        <v>7006966825</v>
      </c>
      <c r="L851" s="21" t="s">
        <v>2168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11221</v>
      </c>
      <c r="C852" s="21" t="s">
        <v>11222</v>
      </c>
      <c r="D852" s="21" t="s">
        <v>11223</v>
      </c>
      <c r="E852" s="21" t="s">
        <v>11224</v>
      </c>
      <c r="F852" s="21" t="s">
        <v>12</v>
      </c>
      <c r="G852" s="21" t="s">
        <v>197</v>
      </c>
      <c r="H852" s="21" t="str">
        <f t="shared" si="27"/>
        <v>BARAMULLA</v>
      </c>
      <c r="I852" s="21" t="s">
        <v>11236</v>
      </c>
      <c r="J852" s="22">
        <v>46185</v>
      </c>
      <c r="K852" s="21">
        <v>7006510242</v>
      </c>
      <c r="L852" s="21" t="s">
        <v>6823</v>
      </c>
      <c r="M852" s="23" t="s">
        <v>9116</v>
      </c>
      <c r="N852" s="22">
        <v>46188</v>
      </c>
      <c r="O852" s="21" t="s">
        <v>23</v>
      </c>
      <c r="P852" s="24">
        <v>46185</v>
      </c>
      <c r="Q852" s="21" t="s">
        <v>6454</v>
      </c>
      <c r="R852" s="21"/>
    </row>
    <row r="853" spans="1:18" x14ac:dyDescent="0.25">
      <c r="A853" s="21">
        <f t="shared" si="26"/>
        <v>852</v>
      </c>
      <c r="B853" s="21" t="s">
        <v>11229</v>
      </c>
      <c r="C853" s="21" t="s">
        <v>11225</v>
      </c>
      <c r="D853" s="21" t="s">
        <v>11226</v>
      </c>
      <c r="E853" s="21" t="s">
        <v>11227</v>
      </c>
      <c r="F853" s="21" t="s">
        <v>11228</v>
      </c>
      <c r="G853" s="21" t="s">
        <v>196</v>
      </c>
      <c r="H853" s="21" t="str">
        <f t="shared" si="27"/>
        <v>SRINAGAR</v>
      </c>
      <c r="I853" s="21" t="s">
        <v>11234</v>
      </c>
      <c r="J853" s="22">
        <v>46185</v>
      </c>
      <c r="K853" s="21">
        <v>9419009819</v>
      </c>
      <c r="L853" s="21" t="s">
        <v>18</v>
      </c>
      <c r="M853" s="23" t="s">
        <v>7604</v>
      </c>
      <c r="N853" s="22">
        <v>46190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11230</v>
      </c>
      <c r="C854" s="21" t="s">
        <v>11231</v>
      </c>
      <c r="D854" s="21" t="s">
        <v>11232</v>
      </c>
      <c r="E854" s="21" t="s">
        <v>11233</v>
      </c>
      <c r="F854" s="21" t="s">
        <v>98</v>
      </c>
      <c r="G854" s="21" t="s">
        <v>197</v>
      </c>
      <c r="H854" s="21" t="str">
        <f t="shared" si="27"/>
        <v>SRINAGAR</v>
      </c>
      <c r="I854" s="21" t="s">
        <v>11237</v>
      </c>
      <c r="J854" s="22">
        <v>46185</v>
      </c>
      <c r="K854" s="21">
        <v>7006783199</v>
      </c>
      <c r="L854" s="21" t="s">
        <v>10242</v>
      </c>
      <c r="M854" s="23" t="s">
        <v>11168</v>
      </c>
      <c r="N854" s="22">
        <v>46189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11238</v>
      </c>
      <c r="C855" s="21" t="s">
        <v>11239</v>
      </c>
      <c r="D855" s="21" t="s">
        <v>11240</v>
      </c>
      <c r="E855" s="21" t="s">
        <v>11241</v>
      </c>
      <c r="F855" s="21" t="s">
        <v>12</v>
      </c>
      <c r="G855" s="21" t="s">
        <v>178</v>
      </c>
      <c r="H855" s="21" t="str">
        <f t="shared" si="27"/>
        <v>SRINAGAR</v>
      </c>
      <c r="I855" s="21" t="s">
        <v>11246</v>
      </c>
      <c r="J855" s="22">
        <v>46185</v>
      </c>
      <c r="K855" s="21">
        <v>7006819755</v>
      </c>
      <c r="L855" s="21" t="s">
        <v>303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11242</v>
      </c>
      <c r="C856" s="21" t="s">
        <v>11243</v>
      </c>
      <c r="D856" s="21" t="s">
        <v>11244</v>
      </c>
      <c r="E856" s="21" t="s">
        <v>11245</v>
      </c>
      <c r="F856" s="21" t="s">
        <v>5</v>
      </c>
      <c r="G856" s="21" t="s">
        <v>197</v>
      </c>
      <c r="H856" s="21" t="str">
        <f t="shared" si="27"/>
        <v>SHOPIAN</v>
      </c>
      <c r="I856" s="21" t="s">
        <v>11247</v>
      </c>
      <c r="J856" s="22">
        <v>46185</v>
      </c>
      <c r="K856" s="21">
        <v>9906265335</v>
      </c>
      <c r="L856" s="21" t="s">
        <v>6534</v>
      </c>
      <c r="M856" s="23" t="s">
        <v>11331</v>
      </c>
      <c r="N856" s="22">
        <v>46190</v>
      </c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11263</v>
      </c>
      <c r="C857" s="21" t="s">
        <v>11264</v>
      </c>
      <c r="D857" s="21" t="s">
        <v>11265</v>
      </c>
      <c r="E857" s="21" t="s">
        <v>11266</v>
      </c>
      <c r="F857" s="21" t="s">
        <v>5</v>
      </c>
      <c r="G857" s="21" t="s">
        <v>197</v>
      </c>
      <c r="H857" s="21" t="str">
        <f t="shared" si="27"/>
        <v>PULWAMA</v>
      </c>
      <c r="I857" s="21" t="s">
        <v>11272</v>
      </c>
      <c r="J857" s="22">
        <v>46186</v>
      </c>
      <c r="K857" s="21">
        <v>7006542138</v>
      </c>
      <c r="L857" s="21" t="s">
        <v>9902</v>
      </c>
      <c r="M857" s="23" t="s">
        <v>7705</v>
      </c>
      <c r="N857" s="22">
        <v>46190</v>
      </c>
      <c r="O857" s="21"/>
      <c r="P857" s="24"/>
      <c r="Q857" s="21"/>
      <c r="R857" s="21"/>
    </row>
    <row r="858" spans="1:18" x14ac:dyDescent="0.25">
      <c r="A858" s="21">
        <f t="shared" si="26"/>
        <v>857</v>
      </c>
      <c r="B858" s="21" t="s">
        <v>11259</v>
      </c>
      <c r="C858" s="21" t="s">
        <v>11260</v>
      </c>
      <c r="D858" s="21" t="s">
        <v>11261</v>
      </c>
      <c r="E858" s="21" t="s">
        <v>11262</v>
      </c>
      <c r="F858" s="21" t="s">
        <v>36</v>
      </c>
      <c r="G858" s="21" t="s">
        <v>196</v>
      </c>
      <c r="H858" s="21" t="str">
        <f t="shared" si="27"/>
        <v>PULWAMA</v>
      </c>
      <c r="I858" s="21" t="s">
        <v>11273</v>
      </c>
      <c r="J858" s="22">
        <v>46186</v>
      </c>
      <c r="K858" s="21">
        <v>7006053981</v>
      </c>
      <c r="L858" s="21" t="s">
        <v>7228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11258</v>
      </c>
      <c r="C859" s="21" t="s">
        <v>11256</v>
      </c>
      <c r="D859" s="21" t="s">
        <v>11257</v>
      </c>
      <c r="E859" s="21" t="s">
        <v>3436</v>
      </c>
      <c r="F859" s="21" t="s">
        <v>65</v>
      </c>
      <c r="G859" s="21" t="s">
        <v>196</v>
      </c>
      <c r="H859" s="21" t="str">
        <f t="shared" si="27"/>
        <v>SRINAGAR</v>
      </c>
      <c r="I859" s="21" t="s">
        <v>11271</v>
      </c>
      <c r="J859" s="22">
        <v>46186</v>
      </c>
      <c r="K859" s="21">
        <v>7006265699</v>
      </c>
      <c r="L859" s="21" t="s">
        <v>1122</v>
      </c>
      <c r="M859" s="23" t="s">
        <v>7690</v>
      </c>
      <c r="N859" s="22">
        <v>46188</v>
      </c>
      <c r="O859" s="21" t="s">
        <v>23</v>
      </c>
      <c r="P859" s="24">
        <v>46186</v>
      </c>
      <c r="Q859" s="21" t="s">
        <v>6454</v>
      </c>
      <c r="R859" s="21"/>
    </row>
    <row r="860" spans="1:18" x14ac:dyDescent="0.25">
      <c r="A860" s="21">
        <f t="shared" si="26"/>
        <v>859</v>
      </c>
      <c r="B860" s="21" t="s">
        <v>11267</v>
      </c>
      <c r="C860" s="21" t="s">
        <v>11268</v>
      </c>
      <c r="D860" s="21" t="s">
        <v>11269</v>
      </c>
      <c r="E860" s="21" t="s">
        <v>11270</v>
      </c>
      <c r="F860" s="21" t="s">
        <v>98</v>
      </c>
      <c r="G860" s="21" t="s">
        <v>178</v>
      </c>
      <c r="H860" s="21" t="str">
        <f t="shared" si="27"/>
        <v>SRINAGAR</v>
      </c>
      <c r="I860" s="21" t="s">
        <v>11279</v>
      </c>
      <c r="J860" s="22">
        <v>46186</v>
      </c>
      <c r="K860" s="21">
        <v>7889741742</v>
      </c>
      <c r="L860" s="21" t="s">
        <v>6446</v>
      </c>
      <c r="M860" s="23" t="s">
        <v>11693</v>
      </c>
      <c r="N860" s="22">
        <v>46202</v>
      </c>
      <c r="O860" s="21"/>
      <c r="P860" s="24"/>
      <c r="Q860" s="21"/>
      <c r="R860" s="21"/>
    </row>
    <row r="861" spans="1:18" x14ac:dyDescent="0.25">
      <c r="A861" s="21">
        <f t="shared" si="26"/>
        <v>860</v>
      </c>
      <c r="B861" s="21" t="s">
        <v>11274</v>
      </c>
      <c r="C861" s="21" t="s">
        <v>11275</v>
      </c>
      <c r="D861" s="21" t="s">
        <v>11276</v>
      </c>
      <c r="E861" s="21" t="s">
        <v>11277</v>
      </c>
      <c r="F861" s="21" t="s">
        <v>6540</v>
      </c>
      <c r="G861" s="21" t="s">
        <v>6469</v>
      </c>
      <c r="H861" s="21" t="str">
        <f t="shared" si="27"/>
        <v>SRINAGAR</v>
      </c>
      <c r="I861" s="21" t="s">
        <v>11278</v>
      </c>
      <c r="J861" s="22">
        <v>46186</v>
      </c>
      <c r="K861" s="21">
        <v>7006047465</v>
      </c>
      <c r="L861" s="21" t="s">
        <v>8857</v>
      </c>
      <c r="M861" s="23" t="s">
        <v>11285</v>
      </c>
      <c r="N861" s="22">
        <v>46188</v>
      </c>
      <c r="O861" s="21" t="s">
        <v>23</v>
      </c>
      <c r="P861" s="24">
        <v>46186</v>
      </c>
      <c r="Q861" s="21" t="s">
        <v>6454</v>
      </c>
      <c r="R861" s="21"/>
    </row>
    <row r="862" spans="1:18" x14ac:dyDescent="0.25">
      <c r="A862" s="21">
        <f t="shared" si="26"/>
        <v>861</v>
      </c>
      <c r="B862" s="21" t="s">
        <v>11289</v>
      </c>
      <c r="C862" s="21" t="s">
        <v>11286</v>
      </c>
      <c r="D862" s="21" t="s">
        <v>11287</v>
      </c>
      <c r="E862" s="21" t="s">
        <v>11288</v>
      </c>
      <c r="F862" s="21" t="s">
        <v>7701</v>
      </c>
      <c r="G862" s="21" t="s">
        <v>178</v>
      </c>
      <c r="H862" s="21" t="str">
        <f t="shared" si="27"/>
        <v>SRINAGAR</v>
      </c>
      <c r="I862" s="21" t="s">
        <v>11294</v>
      </c>
      <c r="J862" s="22">
        <v>46188</v>
      </c>
      <c r="K862" s="21">
        <v>7006208490</v>
      </c>
      <c r="L862" s="21" t="s">
        <v>11309</v>
      </c>
      <c r="M862" s="23" t="s">
        <v>7445</v>
      </c>
      <c r="N862" s="22">
        <v>46192</v>
      </c>
      <c r="O862" s="21" t="s">
        <v>23</v>
      </c>
      <c r="P862" s="24">
        <v>46188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11293</v>
      </c>
      <c r="C863" s="21" t="s">
        <v>11290</v>
      </c>
      <c r="D863" s="21" t="s">
        <v>11291</v>
      </c>
      <c r="E863" s="21" t="s">
        <v>11292</v>
      </c>
      <c r="F863" s="21" t="s">
        <v>65</v>
      </c>
      <c r="G863" s="21" t="s">
        <v>197</v>
      </c>
      <c r="H863" s="21" t="str">
        <f t="shared" si="27"/>
        <v>SRINAGAR</v>
      </c>
      <c r="I863" s="21" t="s">
        <v>11295</v>
      </c>
      <c r="J863" s="22">
        <v>46188</v>
      </c>
      <c r="K863" s="21">
        <v>9419409046</v>
      </c>
      <c r="L863" s="21" t="s">
        <v>1513</v>
      </c>
      <c r="M863" s="23" t="s">
        <v>7768</v>
      </c>
      <c r="N863" s="22">
        <v>46189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11311</v>
      </c>
      <c r="C864" s="21" t="s">
        <v>11312</v>
      </c>
      <c r="D864" s="21" t="s">
        <v>11313</v>
      </c>
      <c r="E864" s="21" t="s">
        <v>11314</v>
      </c>
      <c r="F864" s="21" t="s">
        <v>12</v>
      </c>
      <c r="G864" s="21" t="s">
        <v>171</v>
      </c>
      <c r="H864" s="21" t="str">
        <f t="shared" si="27"/>
        <v>PULWAMA</v>
      </c>
      <c r="I864" s="21" t="s">
        <v>11316</v>
      </c>
      <c r="J864" s="22">
        <v>46189</v>
      </c>
      <c r="K864" s="21">
        <v>7051890552</v>
      </c>
      <c r="L864" s="21" t="s">
        <v>11315</v>
      </c>
      <c r="M864" s="23" t="s">
        <v>7705</v>
      </c>
      <c r="N864" s="22">
        <v>46199</v>
      </c>
      <c r="O864" s="21"/>
      <c r="P864" s="24"/>
      <c r="Q864" s="21"/>
      <c r="R864" s="21"/>
    </row>
    <row r="865" spans="1:18" x14ac:dyDescent="0.25">
      <c r="A865" s="21">
        <f t="shared" si="26"/>
        <v>864</v>
      </c>
      <c r="B865" s="21" t="s">
        <v>11308</v>
      </c>
      <c r="C865" s="21" t="s">
        <v>11305</v>
      </c>
      <c r="D865" s="21" t="s">
        <v>11306</v>
      </c>
      <c r="E865" s="21" t="s">
        <v>11307</v>
      </c>
      <c r="F865" s="21" t="s">
        <v>65</v>
      </c>
      <c r="G865" s="21" t="s">
        <v>197</v>
      </c>
      <c r="H865" s="21" t="str">
        <f t="shared" si="27"/>
        <v>BARAMULLA</v>
      </c>
      <c r="I865" s="21" t="s">
        <v>11310</v>
      </c>
      <c r="J865" s="22">
        <v>46189</v>
      </c>
      <c r="K865" s="21">
        <v>9596280520</v>
      </c>
      <c r="L865" s="21" t="s">
        <v>191</v>
      </c>
      <c r="M865" s="23"/>
      <c r="N865" s="22"/>
      <c r="O865" s="21" t="s">
        <v>23</v>
      </c>
      <c r="P865" s="24">
        <v>46189</v>
      </c>
      <c r="Q865" s="21" t="s">
        <v>6454</v>
      </c>
      <c r="R865" s="21"/>
    </row>
    <row r="866" spans="1:18" x14ac:dyDescent="0.25">
      <c r="A866" s="21">
        <f t="shared" si="26"/>
        <v>865</v>
      </c>
      <c r="B866" s="21" t="s">
        <v>11299</v>
      </c>
      <c r="C866" s="21" t="s">
        <v>11296</v>
      </c>
      <c r="D866" s="21" t="s">
        <v>11297</v>
      </c>
      <c r="E866" s="21" t="s">
        <v>11298</v>
      </c>
      <c r="F866" s="21" t="s">
        <v>234</v>
      </c>
      <c r="G866" s="21" t="s">
        <v>197</v>
      </c>
      <c r="H866" s="21" t="str">
        <f>IF(LEFT(I866,4)="JK13","PULWAMA",IF(LEFT(I866,4)="JK01","SRINAGAR",IF(LEFT(I866,4)="JK04","BUDGAM",IF(LEFT(I866,4)="JK03","ANANTNAG",IF(LEFT(I866,4)="LA01","KARGIL",IF(LEFT(I866,4)="JK05","BARAMULLA",IF(LEFT(I866,4)="26BH","BHARAT",IF(LEFT(I866,4)="25BH","BHARAT",IF(LEFT(I866,4)="JK12","POONCH",IF(LEFT(I866,4)="JK16","GANDERBAL",IF(LEFT(I866,4)="JK18","KULGAM",IF(LEFT(I866,4)="JK22","SHOPIAN",IF(LEFT(I866,4)="JK02","JAMMU",IF(LEFT(I866,4)="JK09","KUPWARA",IF(LEFT(I866,4)="JK15","BANDIPORA",IF(LEFT(I866,4)="JK17","KISHTWAR",IF(LEFT(I866,4)="LA01","KARGIL",IF(LEFT(I866,1)="T","TEMP","NEW"))))))))))))))))))</f>
        <v>BHARAT</v>
      </c>
      <c r="I866" s="21" t="s">
        <v>11333</v>
      </c>
      <c r="J866" s="22">
        <v>46191</v>
      </c>
      <c r="K866" s="21">
        <v>9797435217</v>
      </c>
      <c r="L866" s="21" t="s">
        <v>73</v>
      </c>
      <c r="M866" s="23" t="s">
        <v>7883</v>
      </c>
      <c r="N866" s="22">
        <v>46192</v>
      </c>
      <c r="O866" s="21"/>
      <c r="P866" s="24"/>
      <c r="Q866" s="21"/>
      <c r="R866" s="21"/>
    </row>
    <row r="867" spans="1:18" x14ac:dyDescent="0.25">
      <c r="A867" s="21">
        <f t="shared" si="26"/>
        <v>866</v>
      </c>
      <c r="B867" s="21" t="s">
        <v>11334</v>
      </c>
      <c r="C867" s="21" t="s">
        <v>11335</v>
      </c>
      <c r="D867" s="21" t="s">
        <v>11336</v>
      </c>
      <c r="E867" s="21" t="s">
        <v>11337</v>
      </c>
      <c r="F867" s="21" t="s">
        <v>2372</v>
      </c>
      <c r="G867" s="21" t="s">
        <v>171</v>
      </c>
      <c r="H867" s="21" t="str">
        <f t="shared" si="27"/>
        <v>SRINAGAR</v>
      </c>
      <c r="I867" s="21" t="s">
        <v>11338</v>
      </c>
      <c r="J867" s="22">
        <v>46191</v>
      </c>
      <c r="K867" s="21">
        <v>9718916222</v>
      </c>
      <c r="L867" s="21" t="s">
        <v>11309</v>
      </c>
      <c r="M867" s="23" t="s">
        <v>7445</v>
      </c>
      <c r="N867" s="22">
        <v>46192</v>
      </c>
      <c r="O867" s="21" t="s">
        <v>23</v>
      </c>
      <c r="P867" s="24">
        <v>46196</v>
      </c>
      <c r="Q867" s="21" t="s">
        <v>6454</v>
      </c>
      <c r="R867" s="21" t="s">
        <v>11454</v>
      </c>
    </row>
    <row r="868" spans="1:18" x14ac:dyDescent="0.25">
      <c r="A868" s="21">
        <f t="shared" si="26"/>
        <v>867</v>
      </c>
      <c r="B868" s="21" t="s">
        <v>11340</v>
      </c>
      <c r="C868" s="21" t="s">
        <v>11341</v>
      </c>
      <c r="D868" s="21" t="s">
        <v>11342</v>
      </c>
      <c r="E868" s="21" t="s">
        <v>11343</v>
      </c>
      <c r="F868" s="21" t="s">
        <v>11344</v>
      </c>
      <c r="G868" s="21" t="s">
        <v>197</v>
      </c>
      <c r="H868" s="21" t="str">
        <f t="shared" si="27"/>
        <v>SRINAGAR</v>
      </c>
      <c r="I868" s="21" t="s">
        <v>11345</v>
      </c>
      <c r="J868" s="22">
        <v>46191</v>
      </c>
      <c r="K868" s="21">
        <v>9541611152</v>
      </c>
      <c r="L868" s="21" t="s">
        <v>26</v>
      </c>
      <c r="M868" s="23" t="s">
        <v>7445</v>
      </c>
      <c r="N868" s="22">
        <v>46192</v>
      </c>
      <c r="O868" s="21" t="s">
        <v>23</v>
      </c>
      <c r="P868" s="24">
        <v>46192</v>
      </c>
      <c r="Q868" s="21" t="s">
        <v>6454</v>
      </c>
      <c r="R868" s="21"/>
    </row>
    <row r="869" spans="1:18" x14ac:dyDescent="0.25">
      <c r="A869" s="21">
        <f t="shared" si="26"/>
        <v>868</v>
      </c>
      <c r="B869" s="21" t="s">
        <v>11349</v>
      </c>
      <c r="C869" s="21" t="s">
        <v>11346</v>
      </c>
      <c r="D869" s="21" t="s">
        <v>11347</v>
      </c>
      <c r="E869" s="21" t="s">
        <v>11348</v>
      </c>
      <c r="F869" s="21" t="s">
        <v>12</v>
      </c>
      <c r="G869" s="21" t="s">
        <v>197</v>
      </c>
      <c r="H869" s="21" t="str">
        <f t="shared" ref="H869:H874" si="28">IF(LEFT(I869,4)="JK13","PULWAMA",IF(LEFT(I869,4)="JK01","SRINAGAR",IF(LEFT(I869,4)="JK04","BUDGAM",IF(LEFT(I869,4)="JK03","ANANTNAG",IF(LEFT(I869,4)="LA01","KARGIL",IF(LEFT(I869,4)="JK05","BARAMULLA",IF(LEFT(I869,4)="26BH","BHARAT",IF(LEFT(I869,4)="25BH","BHARAT",IF(LEFT(I869,4)="JK12","POONCH",IF(LEFT(I869,4)="JK16","GANDERBAL",IF(LEFT(I869,4)="JK18","KULGAM",IF(LEFT(I869,4)="JK22","SHOPIAN",IF(LEFT(I869,4)="JK02","JAMMU",IF(LEFT(I869,4)="JK09","KUPWARA",IF(LEFT(I869,4)="JK15","BANDIPORA",IF(LEFT(I869,4)="JK17","KISHTWAR",IF(LEFT(I869,4)="LA01","KARGIL",IF(LEFT(I869,1)="T","TEMP","NEW"))))))))))))))))))</f>
        <v>JAMMU</v>
      </c>
      <c r="I869" s="21" t="s">
        <v>11370</v>
      </c>
      <c r="J869" s="22">
        <v>46191</v>
      </c>
      <c r="K869" s="21">
        <v>7889983332</v>
      </c>
      <c r="L869" s="21" t="s">
        <v>11192</v>
      </c>
      <c r="M869" s="23" t="s">
        <v>11404</v>
      </c>
      <c r="N869" s="22">
        <v>46193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11351</v>
      </c>
      <c r="D870" s="21" t="s">
        <v>11352</v>
      </c>
      <c r="E870" s="21" t="s">
        <v>11353</v>
      </c>
      <c r="F870" s="21" t="s">
        <v>5</v>
      </c>
      <c r="G870" s="21" t="s">
        <v>197</v>
      </c>
      <c r="H870" s="21" t="str">
        <f t="shared" si="28"/>
        <v>SHOPIAN</v>
      </c>
      <c r="I870" s="21" t="s">
        <v>11371</v>
      </c>
      <c r="J870" s="22">
        <v>46192</v>
      </c>
      <c r="K870" s="21">
        <v>7006689214</v>
      </c>
      <c r="L870" s="21" t="s">
        <v>11354</v>
      </c>
      <c r="M870" s="23" t="s">
        <v>7705</v>
      </c>
      <c r="N870" s="22">
        <v>46199</v>
      </c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11355</v>
      </c>
      <c r="C871" s="21" t="s">
        <v>11356</v>
      </c>
      <c r="D871" s="21" t="s">
        <v>11357</v>
      </c>
      <c r="E871" s="21" t="s">
        <v>11358</v>
      </c>
      <c r="F871" s="21" t="s">
        <v>2697</v>
      </c>
      <c r="G871" s="21" t="s">
        <v>171</v>
      </c>
      <c r="H871" s="21" t="str">
        <f t="shared" si="28"/>
        <v>SRINAGAR</v>
      </c>
      <c r="I871" s="21" t="s">
        <v>11369</v>
      </c>
      <c r="J871" s="22">
        <v>46192</v>
      </c>
      <c r="K871" s="21">
        <v>9811039202</v>
      </c>
      <c r="L871" s="21" t="s">
        <v>73</v>
      </c>
      <c r="M871" s="23" t="s">
        <v>7883</v>
      </c>
      <c r="N871" s="22">
        <v>46192</v>
      </c>
      <c r="O871" s="21" t="s">
        <v>23</v>
      </c>
      <c r="P871" s="24">
        <v>46192</v>
      </c>
      <c r="Q871" s="21" t="s">
        <v>6454</v>
      </c>
      <c r="R871" s="21"/>
    </row>
    <row r="872" spans="1:18" x14ac:dyDescent="0.25">
      <c r="A872" s="21">
        <f t="shared" si="26"/>
        <v>871</v>
      </c>
      <c r="B872" s="21" t="s">
        <v>11362</v>
      </c>
      <c r="C872" s="21" t="s">
        <v>11359</v>
      </c>
      <c r="D872" s="21" t="s">
        <v>11360</v>
      </c>
      <c r="E872" s="21" t="s">
        <v>11361</v>
      </c>
      <c r="F872" s="21" t="s">
        <v>7391</v>
      </c>
      <c r="G872" s="21" t="s">
        <v>197</v>
      </c>
      <c r="H872" s="21" t="str">
        <f t="shared" si="28"/>
        <v>SRINAGAR</v>
      </c>
      <c r="I872" s="21" t="s">
        <v>11367</v>
      </c>
      <c r="J872" s="22">
        <v>46192</v>
      </c>
      <c r="K872" s="21">
        <v>9149654809</v>
      </c>
      <c r="L872" s="21" t="s">
        <v>173</v>
      </c>
      <c r="M872" s="23" t="s">
        <v>7607</v>
      </c>
      <c r="N872" s="22">
        <v>46196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11364</v>
      </c>
      <c r="D873" s="21" t="s">
        <v>11365</v>
      </c>
      <c r="E873" s="21" t="s">
        <v>11366</v>
      </c>
      <c r="F873" s="21" t="s">
        <v>277</v>
      </c>
      <c r="G873" s="21" t="s">
        <v>178</v>
      </c>
      <c r="H873" s="21" t="str">
        <f t="shared" si="28"/>
        <v>SRINAGAR</v>
      </c>
      <c r="I873" s="21" t="s">
        <v>11368</v>
      </c>
      <c r="J873" s="22">
        <v>46192</v>
      </c>
      <c r="K873" s="21">
        <v>9419040502</v>
      </c>
      <c r="L873" s="21" t="s">
        <v>10162</v>
      </c>
      <c r="M873" s="23" t="s">
        <v>11390</v>
      </c>
      <c r="N873" s="22">
        <v>46192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11375</v>
      </c>
      <c r="C874" s="21" t="s">
        <v>11372</v>
      </c>
      <c r="D874" s="21" t="s">
        <v>11373</v>
      </c>
      <c r="E874" s="21" t="s">
        <v>11374</v>
      </c>
      <c r="F874" s="21" t="s">
        <v>12</v>
      </c>
      <c r="G874" s="21" t="s">
        <v>197</v>
      </c>
      <c r="H874" s="21" t="str">
        <f t="shared" si="28"/>
        <v>BUDGAM</v>
      </c>
      <c r="I874" s="21" t="s">
        <v>11379</v>
      </c>
      <c r="J874" s="22">
        <v>46192</v>
      </c>
      <c r="K874" s="21">
        <v>7006079082</v>
      </c>
      <c r="L874" s="21" t="s">
        <v>68</v>
      </c>
      <c r="M874" s="23" t="s">
        <v>7943</v>
      </c>
      <c r="N874" s="22">
        <v>46197</v>
      </c>
      <c r="O874" s="21" t="s">
        <v>23</v>
      </c>
      <c r="P874" s="24">
        <v>46193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11384</v>
      </c>
      <c r="C875" s="21" t="s">
        <v>11381</v>
      </c>
      <c r="D875" s="21" t="s">
        <v>11382</v>
      </c>
      <c r="E875" s="21" t="s">
        <v>11383</v>
      </c>
      <c r="F875" s="21" t="s">
        <v>3126</v>
      </c>
      <c r="G875" s="21" t="s">
        <v>6469</v>
      </c>
      <c r="H875" s="21" t="str">
        <f t="shared" ref="H875:H881" si="29">IF(LEFT(I875,4)="JK13","PULWAMA",IF(LEFT(I875,4)="JK01","SRINAGAR",IF(LEFT(I875,4)="JK04","BUDGAM",IF(LEFT(I875,4)="JK03","ANANTNAG",IF(LEFT(I875,4)="LA01","KARGIL",IF(LEFT(I875,4)="JK05","BARAMULLA",IF(LEFT(I875,4)="26BH","BHARAT",IF(LEFT(I875,4)="25BH","BHARAT",IF(LEFT(I875,4)="JK12","POONCH",IF(LEFT(I875,4)="JK16","GANDERBAL",IF(LEFT(I875,4)="JK18","KULGAM",IF(LEFT(I875,4)="JK22","SHOPIAN",IF(LEFT(I875,4)="JK02","JAMMU",IF(LEFT(I875,4)="JK09","KUPWARA",IF(LEFT(I875,4)="JK15","BANDIPORA",IF(LEFT(I875,4)="JK17","KISHTWAR",IF(LEFT(I875,4)="LA01","KARGIL",IF(LEFT(I875,1)="T","TEMP","NEW"))))))))))))))))))</f>
        <v>JAMMU</v>
      </c>
      <c r="I875" s="21" t="s">
        <v>11385</v>
      </c>
      <c r="J875" s="22">
        <v>46192</v>
      </c>
      <c r="K875" s="21">
        <v>9469765393</v>
      </c>
      <c r="L875" s="21" t="s">
        <v>18</v>
      </c>
      <c r="M875" s="23" t="s">
        <v>7604</v>
      </c>
      <c r="N875" s="22">
        <v>46195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11391</v>
      </c>
      <c r="C876" s="21" t="s">
        <v>11392</v>
      </c>
      <c r="D876" s="21" t="s">
        <v>11393</v>
      </c>
      <c r="E876" s="21" t="s">
        <v>11394</v>
      </c>
      <c r="F876" s="21" t="s">
        <v>98</v>
      </c>
      <c r="G876" s="21" t="s">
        <v>171</v>
      </c>
      <c r="H876" s="21" t="str">
        <f t="shared" si="29"/>
        <v>BARAMULLA</v>
      </c>
      <c r="I876" s="21" t="s">
        <v>11398</v>
      </c>
      <c r="J876" s="22">
        <v>46192</v>
      </c>
      <c r="K876" s="21">
        <v>9622847452</v>
      </c>
      <c r="L876" s="21" t="s">
        <v>7240</v>
      </c>
      <c r="M876" s="23" t="s">
        <v>9913</v>
      </c>
      <c r="N876" s="22">
        <v>46203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11386</v>
      </c>
      <c r="C877" s="21" t="s">
        <v>11387</v>
      </c>
      <c r="D877" s="21" t="s">
        <v>11388</v>
      </c>
      <c r="E877" s="21" t="s">
        <v>11389</v>
      </c>
      <c r="F877" s="21" t="s">
        <v>98</v>
      </c>
      <c r="G877" s="21" t="s">
        <v>197</v>
      </c>
      <c r="H877" s="21" t="str">
        <f>IF(LEFT(I877,4)="JK13","PULWAMA",IF(LEFT(I877,4)="JK01","SRINAGAR",IF(LEFT(I877,4)="JK04","BUDGAM",IF(LEFT(I877,4)="JK03","ANANTNAG",IF(LEFT(I877,4)="LA01","KARGIL",IF(LEFT(I877,4)="JK05","BARAMULLA",IF(LEFT(I877,4)="26BH","BHARAT",IF(LEFT(I877,4)="25BH","BHARAT",IF(LEFT(I877,4)="JK12","POONCH",IF(LEFT(I877,4)="JK16","GANDERBAL",IF(LEFT(I877,4)="JK18","KULGAM",IF(LEFT(I877,4)="JK22","SHOPIAN",IF(LEFT(I877,4)="JK02","JAMMU",IF(LEFT(I877,4)="JK09","KUPWARA",IF(LEFT(I877,4)="JK15","BANDIPORA",IF(LEFT(I877,4)="JK17","KISHTWAR",IF(LEFT(I877,4)="LA01","KARGIL",IF(LEFT(I877,1)="T","TEMP","NEW"))))))))))))))))))</f>
        <v>SRINAGAR</v>
      </c>
      <c r="I877" s="21" t="s">
        <v>11407</v>
      </c>
      <c r="J877" s="22">
        <v>46192</v>
      </c>
      <c r="K877" s="21">
        <v>9906594726</v>
      </c>
      <c r="L877" s="21" t="s">
        <v>68</v>
      </c>
      <c r="M877" s="23" t="s">
        <v>7765</v>
      </c>
      <c r="N877" s="22">
        <v>46203</v>
      </c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11410</v>
      </c>
      <c r="C878" s="21" t="s">
        <v>11411</v>
      </c>
      <c r="D878" s="21" t="s">
        <v>11412</v>
      </c>
      <c r="E878" s="21" t="s">
        <v>11413</v>
      </c>
      <c r="F878" s="21" t="s">
        <v>12</v>
      </c>
      <c r="G878" s="21" t="s">
        <v>178</v>
      </c>
      <c r="H878" s="21" t="str">
        <f t="shared" si="29"/>
        <v>SRINAGAR</v>
      </c>
      <c r="I878" s="21" t="s">
        <v>11414</v>
      </c>
      <c r="J878" s="22">
        <v>46193</v>
      </c>
      <c r="K878" s="21">
        <v>8899566980</v>
      </c>
      <c r="L878" s="21" t="s">
        <v>2244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11423</v>
      </c>
      <c r="C879" s="21" t="s">
        <v>11424</v>
      </c>
      <c r="D879" s="21" t="s">
        <v>11425</v>
      </c>
      <c r="E879" s="21" t="s">
        <v>1137</v>
      </c>
      <c r="F879" s="21" t="s">
        <v>36</v>
      </c>
      <c r="G879" s="21" t="s">
        <v>196</v>
      </c>
      <c r="H879" s="21" t="str">
        <f t="shared" si="29"/>
        <v>PULWAMA</v>
      </c>
      <c r="I879" s="21" t="s">
        <v>11432</v>
      </c>
      <c r="J879" s="22">
        <v>46195</v>
      </c>
      <c r="K879" s="21">
        <v>9596384041</v>
      </c>
      <c r="L879" s="21" t="s">
        <v>8591</v>
      </c>
      <c r="M879" s="23" t="s">
        <v>7705</v>
      </c>
      <c r="N879" s="22">
        <v>46199</v>
      </c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 t="s">
        <v>11428</v>
      </c>
      <c r="C880" s="21" t="s">
        <v>11429</v>
      </c>
      <c r="D880" s="21" t="s">
        <v>11430</v>
      </c>
      <c r="E880" s="21" t="s">
        <v>11431</v>
      </c>
      <c r="F880" s="21" t="s">
        <v>5</v>
      </c>
      <c r="G880" s="21" t="s">
        <v>196</v>
      </c>
      <c r="H880" s="21" t="str">
        <f t="shared" si="29"/>
        <v>PULWAMA</v>
      </c>
      <c r="I880" s="21" t="s">
        <v>11433</v>
      </c>
      <c r="J880" s="22">
        <v>46195</v>
      </c>
      <c r="K880" s="21">
        <v>9622907844</v>
      </c>
      <c r="L880" s="21" t="s">
        <v>7228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11434</v>
      </c>
      <c r="C881" s="21" t="s">
        <v>11435</v>
      </c>
      <c r="D881" s="21" t="s">
        <v>11436</v>
      </c>
      <c r="E881" s="21" t="s">
        <v>11437</v>
      </c>
      <c r="F881" s="21" t="s">
        <v>12</v>
      </c>
      <c r="G881" s="21" t="s">
        <v>178</v>
      </c>
      <c r="H881" s="21" t="str">
        <f t="shared" si="29"/>
        <v>PULWAMA</v>
      </c>
      <c r="I881" s="21" t="s">
        <v>11438</v>
      </c>
      <c r="J881" s="22">
        <v>46195</v>
      </c>
      <c r="K881" s="21">
        <v>7006623287</v>
      </c>
      <c r="L881" s="21" t="s">
        <v>9902</v>
      </c>
      <c r="M881" s="23" t="s">
        <v>11329</v>
      </c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11439</v>
      </c>
      <c r="C882" s="21" t="s">
        <v>11440</v>
      </c>
      <c r="D882" s="21" t="s">
        <v>11441</v>
      </c>
      <c r="E882" s="21" t="s">
        <v>11442</v>
      </c>
      <c r="F882" s="21" t="s">
        <v>36</v>
      </c>
      <c r="G882" s="21" t="s">
        <v>171</v>
      </c>
      <c r="H882" s="21" t="str">
        <f t="shared" ref="H882:H887" si="30">IF(LEFT(I882,4)="JK13","PULWAMA",IF(LEFT(I882,4)="JK01","SRINAGAR",IF(LEFT(I882,4)="JK04","BUDGAM",IF(LEFT(I882,4)="JK03","ANANTNAG",IF(LEFT(I882,4)="LA01","KARGIL",IF(LEFT(I882,4)="JK05","BARAMULLA",IF(LEFT(I882,4)="26BH","BHARAT",IF(LEFT(I882,4)="25BH","BHARAT",IF(LEFT(I882,4)="JK12","POONCH",IF(LEFT(I882,4)="JK16","GANDERBAL",IF(LEFT(I882,4)="JK18","KULGAM",IF(LEFT(I882,4)="JK22","SHOPIAN",IF(LEFT(I882,4)="JK02","JAMMU",IF(LEFT(I882,4)="JK09","KUPWARA",IF(LEFT(I882,4)="JK15","BANDIPORA",IF(LEFT(I882,4)="JK17","KISHTWAR",IF(LEFT(I882,4)="LA01","KARGIL",IF(LEFT(I882,1)="T","TEMP","NEW"))))))))))))))))))</f>
        <v>PULWAMA</v>
      </c>
      <c r="I882" s="21" t="s">
        <v>11453</v>
      </c>
      <c r="J882" s="22">
        <v>46196</v>
      </c>
      <c r="K882" s="21">
        <v>9149740071</v>
      </c>
      <c r="L882" s="21" t="s">
        <v>7689</v>
      </c>
      <c r="M882" s="23" t="s">
        <v>11703</v>
      </c>
      <c r="N882" s="22">
        <v>46206</v>
      </c>
      <c r="O882" s="21" t="s">
        <v>23</v>
      </c>
      <c r="P882" s="24">
        <v>46206</v>
      </c>
      <c r="Q882" s="21" t="s">
        <v>6454</v>
      </c>
      <c r="R882" s="21"/>
    </row>
    <row r="883" spans="1:18" x14ac:dyDescent="0.25">
      <c r="A883" s="21">
        <f t="shared" si="26"/>
        <v>882</v>
      </c>
      <c r="B883" s="21" t="s">
        <v>11446</v>
      </c>
      <c r="C883" s="21" t="s">
        <v>11443</v>
      </c>
      <c r="D883" s="21" t="s">
        <v>11444</v>
      </c>
      <c r="E883" s="21" t="s">
        <v>11445</v>
      </c>
      <c r="F883" s="21" t="s">
        <v>65</v>
      </c>
      <c r="G883" s="21" t="s">
        <v>197</v>
      </c>
      <c r="H883" s="21" t="str">
        <f t="shared" si="30"/>
        <v>KUPWARA</v>
      </c>
      <c r="I883" s="21" t="s">
        <v>11452</v>
      </c>
      <c r="J883" s="22">
        <v>46196</v>
      </c>
      <c r="K883" s="21">
        <v>9797226096</v>
      </c>
      <c r="L883" s="21" t="s">
        <v>26</v>
      </c>
      <c r="M883" s="23"/>
      <c r="N883" s="22"/>
      <c r="O883" s="21" t="s">
        <v>23</v>
      </c>
      <c r="P883" s="24">
        <v>46196</v>
      </c>
      <c r="Q883" s="21" t="s">
        <v>6454</v>
      </c>
      <c r="R883" s="21"/>
    </row>
    <row r="884" spans="1:18" x14ac:dyDescent="0.25">
      <c r="A884" s="21">
        <f t="shared" si="26"/>
        <v>883</v>
      </c>
      <c r="B884" s="21" t="s">
        <v>11450</v>
      </c>
      <c r="C884" s="21" t="s">
        <v>11447</v>
      </c>
      <c r="D884" s="21" t="s">
        <v>11448</v>
      </c>
      <c r="E884" s="21" t="s">
        <v>11449</v>
      </c>
      <c r="F884" s="21" t="s">
        <v>36</v>
      </c>
      <c r="G884" s="21" t="s">
        <v>196</v>
      </c>
      <c r="H884" s="21" t="str">
        <f t="shared" si="30"/>
        <v>ANANTNAG</v>
      </c>
      <c r="I884" s="21" t="s">
        <v>11451</v>
      </c>
      <c r="J884" s="22">
        <v>46196</v>
      </c>
      <c r="K884" s="21">
        <v>9797131308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11457</v>
      </c>
      <c r="C885" s="21" t="s">
        <v>11458</v>
      </c>
      <c r="D885" s="21" t="s">
        <v>11459</v>
      </c>
      <c r="E885" s="21" t="s">
        <v>11460</v>
      </c>
      <c r="F885" s="21" t="s">
        <v>7391</v>
      </c>
      <c r="G885" s="21" t="s">
        <v>178</v>
      </c>
      <c r="H885" s="21" t="str">
        <f t="shared" si="30"/>
        <v>SRINAGAR</v>
      </c>
      <c r="I885" s="21" t="s">
        <v>11461</v>
      </c>
      <c r="J885" s="22">
        <v>46196</v>
      </c>
      <c r="K885" s="21">
        <v>9906522960</v>
      </c>
      <c r="L885" s="21" t="s">
        <v>73</v>
      </c>
      <c r="M885" s="23" t="s">
        <v>7883</v>
      </c>
      <c r="N885" s="22">
        <v>46197</v>
      </c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11378</v>
      </c>
      <c r="C886" s="21" t="s">
        <v>11377</v>
      </c>
      <c r="D886" s="21" t="s">
        <v>11380</v>
      </c>
      <c r="E886" s="21" t="s">
        <v>11376</v>
      </c>
      <c r="F886" s="21" t="s">
        <v>98</v>
      </c>
      <c r="G886" s="21" t="s">
        <v>171</v>
      </c>
      <c r="H886" s="21" t="str">
        <f>IF(LEFT(I886,4)="JK13","PULWAMA",IF(LEFT(I886,4)="JK01","SRINAGAR",IF(LEFT(I886,4)="JK04","BUDGAM",IF(LEFT(I886,4)="JK03","ANANTNAG",IF(LEFT(I886,4)="LA01","KARGIL",IF(LEFT(I886,4)="JK05","BARAMULLA",IF(LEFT(I886,4)="26BH","BHARAT",IF(LEFT(I886,4)="25BH","BHARAT",IF(LEFT(I886,4)="JK12","POONCH",IF(LEFT(I886,4)="JK16","GANDERBAL",IF(LEFT(I886,4)="JK18","KULGAM",IF(LEFT(I886,4)="JK22","SHOPIAN",IF(LEFT(I886,4)="JK02","JAMMU",IF(LEFT(I886,4)="JK09","KUPWARA",IF(LEFT(I886,4)="JK15","BANDIPORA",IF(LEFT(I886,4)="JK17","KISHTWAR",IF(LEFT(I886,4)="LA01","KARGIL",IF(LEFT(I886,1)="T","TEMP","NEW"))))))))))))))))))</f>
        <v>BHARAT</v>
      </c>
      <c r="I886" s="21" t="s">
        <v>11462</v>
      </c>
      <c r="J886" s="22">
        <v>46192</v>
      </c>
      <c r="K886" s="21">
        <v>9978492818</v>
      </c>
      <c r="L886" s="21" t="s">
        <v>26</v>
      </c>
      <c r="M886" s="23" t="s">
        <v>6436</v>
      </c>
      <c r="N886" s="22">
        <v>46205</v>
      </c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 t="s">
        <v>11463</v>
      </c>
      <c r="C887" s="21" t="s">
        <v>11464</v>
      </c>
      <c r="D887" s="21" t="s">
        <v>11465</v>
      </c>
      <c r="E887" s="21" t="s">
        <v>11466</v>
      </c>
      <c r="F887" s="21" t="s">
        <v>98</v>
      </c>
      <c r="G887" s="21" t="s">
        <v>171</v>
      </c>
      <c r="H887" s="21" t="str">
        <f t="shared" si="30"/>
        <v>SHOPIAN</v>
      </c>
      <c r="I887" s="21" t="s">
        <v>11468</v>
      </c>
      <c r="J887" s="22">
        <v>46196</v>
      </c>
      <c r="K887" s="21">
        <v>7006467400</v>
      </c>
      <c r="L887" s="21" t="s">
        <v>11467</v>
      </c>
      <c r="M887" s="23" t="s">
        <v>11602</v>
      </c>
      <c r="N887" s="22">
        <v>46202</v>
      </c>
      <c r="O887" s="21" t="s">
        <v>23</v>
      </c>
      <c r="P887" s="24">
        <v>46196</v>
      </c>
      <c r="Q887" s="21" t="s">
        <v>6454</v>
      </c>
      <c r="R887" s="21"/>
    </row>
    <row r="888" spans="1:18" x14ac:dyDescent="0.25">
      <c r="A888" s="21">
        <f t="shared" si="26"/>
        <v>887</v>
      </c>
      <c r="B888" s="21" t="s">
        <v>11473</v>
      </c>
      <c r="C888" s="21" t="s">
        <v>11470</v>
      </c>
      <c r="D888" s="21" t="s">
        <v>11471</v>
      </c>
      <c r="E888" s="21" t="s">
        <v>11472</v>
      </c>
      <c r="F888" s="21" t="s">
        <v>12</v>
      </c>
      <c r="G888" s="21" t="s">
        <v>197</v>
      </c>
      <c r="H888" s="21" t="str">
        <f t="shared" ref="H888:H893" si="31">IF(LEFT(I888,4)="JK13","PULWAMA",IF(LEFT(I888,4)="JK01","SRINAGAR",IF(LEFT(I888,4)="JK04","BUDGAM",IF(LEFT(I888,4)="JK03","ANANTNAG",IF(LEFT(I888,4)="LA01","KARGIL",IF(LEFT(I888,4)="JK05","BARAMULLA",IF(LEFT(I888,4)="26BH","BHARAT",IF(LEFT(I888,4)="25BH","BHARAT",IF(LEFT(I888,4)="JK12","POONCH",IF(LEFT(I888,4)="JK16","GANDERBAL",IF(LEFT(I888,4)="JK18","KULGAM",IF(LEFT(I888,4)="JK22","SHOPIAN",IF(LEFT(I888,4)="JK02","JAMMU",IF(LEFT(I888,4)="JK09","KUPWARA",IF(LEFT(I888,4)="JK15","BANDIPORA",IF(LEFT(I888,4)="JK17","KISHTWAR",IF(LEFT(I888,4)="LA01","KARGIL",IF(LEFT(I888,1)="T","TEMP","NEW"))))))))))))))))))</f>
        <v>SRINAGAR</v>
      </c>
      <c r="I888" s="21" t="s">
        <v>11488</v>
      </c>
      <c r="J888" s="22">
        <v>46196</v>
      </c>
      <c r="K888" s="21">
        <v>9419944287</v>
      </c>
      <c r="L888" s="21" t="s">
        <v>10162</v>
      </c>
      <c r="M888" s="23" t="s">
        <v>10507</v>
      </c>
      <c r="N888" s="22">
        <v>46197</v>
      </c>
      <c r="O888" s="21" t="s">
        <v>23</v>
      </c>
      <c r="P888" s="24">
        <v>46197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11477</v>
      </c>
      <c r="C889" s="21" t="s">
        <v>11474</v>
      </c>
      <c r="D889" s="21" t="s">
        <v>11475</v>
      </c>
      <c r="E889" s="21" t="s">
        <v>11476</v>
      </c>
      <c r="F889" s="21" t="s">
        <v>12</v>
      </c>
      <c r="G889" s="21" t="s">
        <v>178</v>
      </c>
      <c r="H889" s="21" t="str">
        <f t="shared" si="31"/>
        <v>ANANTNAG</v>
      </c>
      <c r="I889" s="21" t="s">
        <v>11486</v>
      </c>
      <c r="J889" s="22">
        <v>46196</v>
      </c>
      <c r="K889" s="21">
        <v>9070193564</v>
      </c>
      <c r="L889" s="21" t="s">
        <v>11076</v>
      </c>
      <c r="M889" s="21" t="s">
        <v>11076</v>
      </c>
      <c r="N889" s="22">
        <v>46210</v>
      </c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11481</v>
      </c>
      <c r="C890" s="21" t="s">
        <v>11478</v>
      </c>
      <c r="D890" s="21" t="s">
        <v>11479</v>
      </c>
      <c r="E890" s="21" t="s">
        <v>11480</v>
      </c>
      <c r="F890" s="21" t="s">
        <v>12</v>
      </c>
      <c r="G890" s="21" t="s">
        <v>171</v>
      </c>
      <c r="H890" s="21" t="str">
        <f t="shared" si="31"/>
        <v>SRINAGAR</v>
      </c>
      <c r="I890" s="21" t="s">
        <v>11487</v>
      </c>
      <c r="J890" s="22">
        <v>46196</v>
      </c>
      <c r="K890" s="21">
        <v>7006231817</v>
      </c>
      <c r="L890" s="21" t="s">
        <v>191</v>
      </c>
      <c r="M890" s="23" t="s">
        <v>7606</v>
      </c>
      <c r="N890" s="22">
        <v>46197</v>
      </c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11489</v>
      </c>
      <c r="C891" s="21" t="s">
        <v>11490</v>
      </c>
      <c r="D891" s="21" t="s">
        <v>11491</v>
      </c>
      <c r="E891" s="21" t="s">
        <v>11492</v>
      </c>
      <c r="F891" s="21" t="s">
        <v>65</v>
      </c>
      <c r="G891" s="21" t="s">
        <v>196</v>
      </c>
      <c r="H891" s="21" t="str">
        <f t="shared" si="31"/>
        <v>SRINAGAR</v>
      </c>
      <c r="I891" s="21" t="s">
        <v>11501</v>
      </c>
      <c r="J891" s="22">
        <v>46197</v>
      </c>
      <c r="K891" s="21">
        <v>9622647542</v>
      </c>
      <c r="L891" s="21" t="s">
        <v>2168</v>
      </c>
      <c r="M891" s="23" t="s">
        <v>7943</v>
      </c>
      <c r="N891" s="22">
        <v>46202</v>
      </c>
      <c r="O891" s="21" t="s">
        <v>23</v>
      </c>
      <c r="P891" s="24">
        <v>46197</v>
      </c>
      <c r="Q891" s="21" t="s">
        <v>6454</v>
      </c>
      <c r="R891" s="21" t="s">
        <v>11499</v>
      </c>
    </row>
    <row r="892" spans="1:18" x14ac:dyDescent="0.25">
      <c r="A892" s="21">
        <f t="shared" si="26"/>
        <v>891</v>
      </c>
      <c r="B892" s="21" t="s">
        <v>11496</v>
      </c>
      <c r="C892" s="21" t="s">
        <v>11493</v>
      </c>
      <c r="D892" s="21" t="s">
        <v>11494</v>
      </c>
      <c r="E892" s="21" t="s">
        <v>11495</v>
      </c>
      <c r="F892" s="21" t="s">
        <v>234</v>
      </c>
      <c r="G892" s="21" t="s">
        <v>178</v>
      </c>
      <c r="H892" s="21" t="str">
        <f t="shared" si="31"/>
        <v>SRINAGAR</v>
      </c>
      <c r="I892" s="21" t="s">
        <v>11500</v>
      </c>
      <c r="J892" s="22">
        <v>46197</v>
      </c>
      <c r="K892" s="21">
        <v>9419093820</v>
      </c>
      <c r="L892" s="21" t="s">
        <v>1513</v>
      </c>
      <c r="M892" s="23" t="s">
        <v>7768</v>
      </c>
      <c r="N892" s="22">
        <v>46198</v>
      </c>
      <c r="O892" s="21" t="s">
        <v>23</v>
      </c>
      <c r="P892" s="24">
        <v>46197</v>
      </c>
      <c r="Q892" s="21" t="s">
        <v>6454</v>
      </c>
      <c r="R892" s="21"/>
    </row>
    <row r="893" spans="1:18" x14ac:dyDescent="0.25">
      <c r="A893" s="21">
        <f t="shared" si="26"/>
        <v>892</v>
      </c>
      <c r="B893" s="21" t="s">
        <v>11502</v>
      </c>
      <c r="C893" s="21" t="s">
        <v>11503</v>
      </c>
      <c r="D893" s="21" t="s">
        <v>11504</v>
      </c>
      <c r="E893" s="21" t="s">
        <v>1946</v>
      </c>
      <c r="F893" s="21" t="s">
        <v>5</v>
      </c>
      <c r="G893" s="21" t="s">
        <v>197</v>
      </c>
      <c r="H893" s="21" t="str">
        <f t="shared" si="31"/>
        <v>BANDIPORA</v>
      </c>
      <c r="I893" s="21" t="s">
        <v>11509</v>
      </c>
      <c r="J893" s="22">
        <v>46197</v>
      </c>
      <c r="K893" s="21">
        <v>7006689027</v>
      </c>
      <c r="L893" s="21" t="s">
        <v>6823</v>
      </c>
      <c r="M893" s="23" t="s">
        <v>9116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11505</v>
      </c>
      <c r="C894" s="21" t="s">
        <v>11507</v>
      </c>
      <c r="D894" s="21" t="s">
        <v>11508</v>
      </c>
      <c r="E894" s="21" t="s">
        <v>11506</v>
      </c>
      <c r="F894" s="21" t="s">
        <v>12</v>
      </c>
      <c r="G894" s="21" t="s">
        <v>178</v>
      </c>
      <c r="H894" s="21" t="str">
        <f t="shared" ref="H894:H904" si="32">IF(LEFT(I894,4)="JK13","PULWAMA",IF(LEFT(I894,4)="JK01","SRINAGAR",IF(LEFT(I894,4)="JK04","BUDGAM",IF(LEFT(I894,4)="JK03","ANANTNAG",IF(LEFT(I894,4)="LA01","KARGIL",IF(LEFT(I894,4)="JK05","BARAMULLA",IF(LEFT(I894,4)="26BH","BHARAT",IF(LEFT(I894,4)="25BH","BHARAT",IF(LEFT(I894,4)="JK12","POONCH",IF(LEFT(I894,4)="JK16","GANDERBAL",IF(LEFT(I894,4)="JK18","KULGAM",IF(LEFT(I894,4)="JK22","SHOPIAN",IF(LEFT(I894,4)="JK02","JAMMU",IF(LEFT(I894,4)="JK09","KUPWARA",IF(LEFT(I894,4)="JK15","BANDIPORA",IF(LEFT(I894,4)="JK17","KISHTWAR",IF(LEFT(I894,4)="LA01","KARGIL",IF(LEFT(I894,1)="T","TEMP","NEW"))))))))))))))))))</f>
        <v>BANDIPORA</v>
      </c>
      <c r="I894" s="21" t="s">
        <v>11510</v>
      </c>
      <c r="J894" s="22">
        <v>46197</v>
      </c>
      <c r="K894" s="21">
        <v>7889883897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11513</v>
      </c>
      <c r="C895" s="21" t="s">
        <v>11511</v>
      </c>
      <c r="D895" s="21" t="s">
        <v>11512</v>
      </c>
      <c r="E895" s="21" t="s">
        <v>683</v>
      </c>
      <c r="F895" s="21" t="s">
        <v>3126</v>
      </c>
      <c r="G895" s="21" t="s">
        <v>197</v>
      </c>
      <c r="H895" s="21" t="str">
        <f t="shared" si="32"/>
        <v>BUDGAM</v>
      </c>
      <c r="I895" s="21" t="s">
        <v>11520</v>
      </c>
      <c r="J895" s="22">
        <v>46197</v>
      </c>
      <c r="K895" s="21">
        <v>7006246665</v>
      </c>
      <c r="L895" s="21" t="s">
        <v>8857</v>
      </c>
      <c r="M895" s="23" t="s">
        <v>7706</v>
      </c>
      <c r="N895" s="22">
        <v>46200</v>
      </c>
      <c r="O895" s="21" t="s">
        <v>23</v>
      </c>
      <c r="P895" s="24">
        <v>46202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11523</v>
      </c>
      <c r="C896" s="21" t="s">
        <v>11524</v>
      </c>
      <c r="D896" s="21" t="s">
        <v>11526</v>
      </c>
      <c r="E896" s="21" t="s">
        <v>11525</v>
      </c>
      <c r="F896" s="21" t="s">
        <v>12</v>
      </c>
      <c r="G896" s="21" t="s">
        <v>197</v>
      </c>
      <c r="H896" s="21" t="str">
        <f t="shared" si="32"/>
        <v>PULWAMA</v>
      </c>
      <c r="I896" s="21" t="s">
        <v>11527</v>
      </c>
      <c r="J896" s="22">
        <v>46198</v>
      </c>
      <c r="K896" s="21">
        <v>7889628489</v>
      </c>
      <c r="L896" s="21" t="s">
        <v>6515</v>
      </c>
      <c r="M896" s="23" t="s">
        <v>6436</v>
      </c>
      <c r="N896" s="22">
        <v>46209</v>
      </c>
      <c r="O896" s="21"/>
      <c r="P896" s="24"/>
      <c r="Q896" s="21"/>
      <c r="R896" s="21"/>
    </row>
    <row r="897" spans="1:18" x14ac:dyDescent="0.25">
      <c r="A897" s="21">
        <f t="shared" ref="A897:A944" si="33">ROW()-1</f>
        <v>896</v>
      </c>
      <c r="B897" s="21" t="s">
        <v>11532</v>
      </c>
      <c r="C897" s="21" t="s">
        <v>11530</v>
      </c>
      <c r="D897" s="21" t="s">
        <v>11531</v>
      </c>
      <c r="E897" s="21" t="s">
        <v>11529</v>
      </c>
      <c r="F897" s="21" t="s">
        <v>12</v>
      </c>
      <c r="G897" s="21" t="s">
        <v>197</v>
      </c>
      <c r="H897" s="21" t="str">
        <f t="shared" si="32"/>
        <v>BUDGAM</v>
      </c>
      <c r="I897" s="21" t="s">
        <v>11528</v>
      </c>
      <c r="J897" s="22">
        <v>46198</v>
      </c>
      <c r="K897" s="21">
        <v>6006350073</v>
      </c>
      <c r="L897" s="21" t="s">
        <v>303</v>
      </c>
      <c r="M897" s="23" t="s">
        <v>8081</v>
      </c>
      <c r="N897" s="22">
        <v>46198</v>
      </c>
      <c r="O897" s="21" t="s">
        <v>23</v>
      </c>
      <c r="P897" s="24">
        <v>46199</v>
      </c>
      <c r="Q897" s="21" t="s">
        <v>6454</v>
      </c>
      <c r="R897" s="21"/>
    </row>
    <row r="898" spans="1:18" x14ac:dyDescent="0.25">
      <c r="A898" s="21">
        <f t="shared" si="33"/>
        <v>897</v>
      </c>
      <c r="B898" s="21" t="s">
        <v>11536</v>
      </c>
      <c r="C898" s="21" t="s">
        <v>11533</v>
      </c>
      <c r="D898" s="21" t="s">
        <v>11534</v>
      </c>
      <c r="E898" s="21" t="s">
        <v>11535</v>
      </c>
      <c r="F898" s="21" t="s">
        <v>65</v>
      </c>
      <c r="G898" s="21" t="s">
        <v>196</v>
      </c>
      <c r="H898" s="21" t="str">
        <f t="shared" si="32"/>
        <v>BUDGAM</v>
      </c>
      <c r="I898" s="21" t="s">
        <v>11537</v>
      </c>
      <c r="J898" s="22">
        <v>46198</v>
      </c>
      <c r="K898" s="21">
        <v>8899098549</v>
      </c>
      <c r="L898" s="21" t="s">
        <v>11568</v>
      </c>
      <c r="M898" s="23" t="s">
        <v>11748</v>
      </c>
      <c r="N898" s="22">
        <v>46207</v>
      </c>
      <c r="O898" s="21" t="s">
        <v>23</v>
      </c>
      <c r="P898" s="24">
        <v>46200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11542</v>
      </c>
      <c r="C899" s="21" t="s">
        <v>11540</v>
      </c>
      <c r="D899" s="21" t="s">
        <v>11541</v>
      </c>
      <c r="E899" s="21" t="s">
        <v>11539</v>
      </c>
      <c r="F899" s="21" t="s">
        <v>12</v>
      </c>
      <c r="G899" s="21" t="s">
        <v>197</v>
      </c>
      <c r="H899" s="21" t="str">
        <f t="shared" si="32"/>
        <v>SRINAGAR</v>
      </c>
      <c r="I899" s="21" t="s">
        <v>11538</v>
      </c>
      <c r="J899" s="22">
        <v>46198</v>
      </c>
      <c r="K899" s="21">
        <v>7006598384</v>
      </c>
      <c r="L899" s="21" t="s">
        <v>10242</v>
      </c>
      <c r="M899" s="23" t="s">
        <v>11168</v>
      </c>
      <c r="N899" s="22">
        <v>46204</v>
      </c>
      <c r="O899" s="21" t="s">
        <v>23</v>
      </c>
      <c r="P899" s="24">
        <v>46204</v>
      </c>
      <c r="Q899" s="21" t="s">
        <v>6454</v>
      </c>
      <c r="R899" s="21"/>
    </row>
    <row r="900" spans="1:18" ht="15.75" x14ac:dyDescent="0.25">
      <c r="A900" s="21">
        <f t="shared" si="33"/>
        <v>899</v>
      </c>
      <c r="B900" s="21" t="s">
        <v>11546</v>
      </c>
      <c r="C900" s="21" t="s">
        <v>11543</v>
      </c>
      <c r="D900" s="21" t="s">
        <v>11544</v>
      </c>
      <c r="E900" s="21" t="s">
        <v>11545</v>
      </c>
      <c r="F900" s="21" t="s">
        <v>277</v>
      </c>
      <c r="G900" s="21" t="s">
        <v>196</v>
      </c>
      <c r="H900" s="21" t="str">
        <f t="shared" si="32"/>
        <v>NEW</v>
      </c>
      <c r="I900" s="21" t="s">
        <v>11732</v>
      </c>
      <c r="J900" s="22">
        <v>46198</v>
      </c>
      <c r="K900" s="21">
        <v>7889410951</v>
      </c>
      <c r="L900" s="21" t="s">
        <v>11560</v>
      </c>
      <c r="M900" s="23"/>
      <c r="N900" s="22"/>
      <c r="O900" s="21"/>
      <c r="P900" s="24"/>
      <c r="Q900" s="21"/>
      <c r="R900" s="21" t="s">
        <v>11776</v>
      </c>
    </row>
    <row r="901" spans="1:18" x14ac:dyDescent="0.25">
      <c r="A901" s="21">
        <f t="shared" si="33"/>
        <v>900</v>
      </c>
      <c r="B901" s="21" t="s">
        <v>11547</v>
      </c>
      <c r="C901" s="21" t="s">
        <v>11554</v>
      </c>
      <c r="D901" s="21" t="s">
        <v>11555</v>
      </c>
      <c r="E901" s="21" t="s">
        <v>11553</v>
      </c>
      <c r="F901" s="21" t="s">
        <v>5</v>
      </c>
      <c r="G901" s="21" t="s">
        <v>196</v>
      </c>
      <c r="H901" s="21" t="str">
        <f t="shared" si="32"/>
        <v>TEMP</v>
      </c>
      <c r="I901" s="21" t="s">
        <v>11552</v>
      </c>
      <c r="J901" s="22">
        <v>46199</v>
      </c>
      <c r="K901" s="21">
        <v>8082335039</v>
      </c>
      <c r="L901" s="21" t="s">
        <v>26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11551</v>
      </c>
      <c r="C902" s="21" t="s">
        <v>11549</v>
      </c>
      <c r="D902" s="21" t="s">
        <v>11548</v>
      </c>
      <c r="E902" s="21" t="s">
        <v>11550</v>
      </c>
      <c r="F902" s="21" t="s">
        <v>5</v>
      </c>
      <c r="G902" s="21" t="s">
        <v>196</v>
      </c>
      <c r="H902" s="21" t="str">
        <f t="shared" si="32"/>
        <v>SRINAGAR</v>
      </c>
      <c r="I902" s="21" t="s">
        <v>11567</v>
      </c>
      <c r="J902" s="22">
        <v>46199</v>
      </c>
      <c r="K902" s="21">
        <v>7006321067</v>
      </c>
      <c r="L902" s="21" t="s">
        <v>18</v>
      </c>
      <c r="M902" s="23" t="s">
        <v>7604</v>
      </c>
      <c r="N902" s="22">
        <v>46202</v>
      </c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11557</v>
      </c>
      <c r="C903" s="21" t="s">
        <v>11558</v>
      </c>
      <c r="D903" s="21" t="s">
        <v>11559</v>
      </c>
      <c r="E903" s="21" t="s">
        <v>2595</v>
      </c>
      <c r="F903" s="21" t="s">
        <v>940</v>
      </c>
      <c r="G903" s="21" t="s">
        <v>171</v>
      </c>
      <c r="H903" s="21" t="str">
        <f t="shared" si="32"/>
        <v>SRINAGAR</v>
      </c>
      <c r="I903" s="21" t="s">
        <v>11565</v>
      </c>
      <c r="J903" s="22">
        <v>46199</v>
      </c>
      <c r="K903" s="21">
        <v>9419023705</v>
      </c>
      <c r="L903" s="21" t="s">
        <v>26</v>
      </c>
      <c r="M903" s="23" t="s">
        <v>7606</v>
      </c>
      <c r="N903" s="22">
        <v>46202</v>
      </c>
      <c r="O903" s="21" t="s">
        <v>23</v>
      </c>
      <c r="P903" s="24">
        <v>46200</v>
      </c>
      <c r="Q903" s="21" t="s">
        <v>6454</v>
      </c>
      <c r="R903" s="21"/>
    </row>
    <row r="904" spans="1:18" x14ac:dyDescent="0.25">
      <c r="A904" s="21">
        <f t="shared" si="33"/>
        <v>903</v>
      </c>
      <c r="B904" s="21" t="s">
        <v>11564</v>
      </c>
      <c r="C904" s="21" t="s">
        <v>11561</v>
      </c>
      <c r="D904" s="21" t="s">
        <v>11562</v>
      </c>
      <c r="E904" s="21" t="s">
        <v>11563</v>
      </c>
      <c r="F904" s="21" t="s">
        <v>3126</v>
      </c>
      <c r="G904" s="21" t="s">
        <v>6469</v>
      </c>
      <c r="H904" s="21" t="str">
        <f t="shared" si="32"/>
        <v>SRINAGAR</v>
      </c>
      <c r="I904" s="21" t="s">
        <v>11566</v>
      </c>
      <c r="J904" s="22">
        <v>46199</v>
      </c>
      <c r="K904" s="21">
        <v>9596191449</v>
      </c>
      <c r="L904" s="21" t="s">
        <v>547</v>
      </c>
      <c r="M904" s="23" t="s">
        <v>11696</v>
      </c>
      <c r="N904" s="22">
        <v>46206</v>
      </c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11572</v>
      </c>
      <c r="C905" s="21" t="s">
        <v>11573</v>
      </c>
      <c r="D905" s="21" t="s">
        <v>11574</v>
      </c>
      <c r="E905" s="21" t="s">
        <v>11575</v>
      </c>
      <c r="F905" s="21" t="s">
        <v>5</v>
      </c>
      <c r="G905" s="21" t="s">
        <v>196</v>
      </c>
      <c r="H905" s="21" t="str">
        <f t="shared" ref="H905:H913" si="34">IF(LEFT(I905,4)="JK13","PULWAMA",IF(LEFT(I905,4)="JK01","SRINAGAR",IF(LEFT(I905,4)="JK04","BUDGAM",IF(LEFT(I905,4)="JK03","ANANTNAG",IF(LEFT(I905,4)="LA01","KARGIL",IF(LEFT(I905,4)="JK05","BARAMULLA",IF(LEFT(I905,4)="26BH","BHARAT",IF(LEFT(I905,4)="25BH","BHARAT",IF(LEFT(I905,4)="JK12","POONCH",IF(LEFT(I905,4)="JK16","GANDERBAL",IF(LEFT(I905,4)="JK18","KULGAM",IF(LEFT(I905,4)="JK22","SHOPIAN",IF(LEFT(I905,4)="JK02","JAMMU",IF(LEFT(I905,4)="JK09","KUPWARA",IF(LEFT(I905,4)="JK15","BANDIPORA",IF(LEFT(I905,4)="JK17","KISHTWAR",IF(LEFT(I905,4)="LA01","KARGIL",IF(LEFT(I905,1)="T","TEMP","NEW"))))))))))))))))))</f>
        <v>GANDERBAL</v>
      </c>
      <c r="I905" s="21" t="s">
        <v>11580</v>
      </c>
      <c r="J905" s="22">
        <v>46202</v>
      </c>
      <c r="K905" s="21">
        <v>9622773989</v>
      </c>
      <c r="L905" s="21" t="s">
        <v>6534</v>
      </c>
      <c r="M905" s="23"/>
      <c r="N905" s="22"/>
      <c r="O905" s="21" t="s">
        <v>23</v>
      </c>
      <c r="P905" s="24">
        <v>46202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 t="s">
        <v>11579</v>
      </c>
      <c r="C906" s="21" t="s">
        <v>11576</v>
      </c>
      <c r="D906" s="21" t="s">
        <v>11577</v>
      </c>
      <c r="E906" s="21" t="s">
        <v>11578</v>
      </c>
      <c r="F906" s="21" t="s">
        <v>12</v>
      </c>
      <c r="G906" s="21" t="s">
        <v>197</v>
      </c>
      <c r="H906" s="21" t="str">
        <f t="shared" si="34"/>
        <v>SRINAGAR</v>
      </c>
      <c r="I906" s="21" t="s">
        <v>11581</v>
      </c>
      <c r="J906" s="22">
        <v>46202</v>
      </c>
      <c r="K906" s="21">
        <v>7006560058</v>
      </c>
      <c r="L906" s="21" t="s">
        <v>26</v>
      </c>
      <c r="M906" s="23" t="s">
        <v>11578</v>
      </c>
      <c r="N906" s="22">
        <v>46210</v>
      </c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33"/>
        <v>906</v>
      </c>
      <c r="B907" s="21" t="s">
        <v>11593</v>
      </c>
      <c r="C907" s="21" t="s">
        <v>11594</v>
      </c>
      <c r="D907" s="21" t="s">
        <v>11595</v>
      </c>
      <c r="E907" s="21" t="s">
        <v>11596</v>
      </c>
      <c r="F907" s="21" t="s">
        <v>98</v>
      </c>
      <c r="G907" s="21" t="s">
        <v>171</v>
      </c>
      <c r="H907" s="21" t="str">
        <f t="shared" si="34"/>
        <v>BUDGAM</v>
      </c>
      <c r="I907" s="21" t="s">
        <v>11597</v>
      </c>
      <c r="J907" s="22">
        <v>46202</v>
      </c>
      <c r="K907" s="21">
        <v>9086419987</v>
      </c>
      <c r="L907" s="21" t="s">
        <v>173</v>
      </c>
      <c r="M907" s="23" t="s">
        <v>173</v>
      </c>
      <c r="N907" s="22">
        <v>46205</v>
      </c>
      <c r="O907" s="21" t="s">
        <v>23</v>
      </c>
      <c r="P907" s="24">
        <v>46203</v>
      </c>
      <c r="Q907" s="21" t="s">
        <v>6454</v>
      </c>
      <c r="R907" s="21"/>
    </row>
    <row r="908" spans="1:18" x14ac:dyDescent="0.25">
      <c r="A908" s="21">
        <f t="shared" si="33"/>
        <v>907</v>
      </c>
      <c r="B908" s="21" t="s">
        <v>11601</v>
      </c>
      <c r="C908" s="21" t="s">
        <v>11598</v>
      </c>
      <c r="D908" s="21" t="s">
        <v>11599</v>
      </c>
      <c r="E908" s="21" t="s">
        <v>11600</v>
      </c>
      <c r="F908" s="21" t="s">
        <v>5</v>
      </c>
      <c r="G908" s="21" t="s">
        <v>196</v>
      </c>
      <c r="H908" s="21" t="str">
        <f t="shared" si="34"/>
        <v>KUPWARA</v>
      </c>
      <c r="I908" s="21" t="s">
        <v>11608</v>
      </c>
      <c r="J908" s="22">
        <v>46202</v>
      </c>
      <c r="K908" s="21">
        <v>7006438844</v>
      </c>
      <c r="L908" s="21" t="s">
        <v>10242</v>
      </c>
      <c r="M908" s="23" t="s">
        <v>11168</v>
      </c>
      <c r="N908" s="22">
        <v>46204</v>
      </c>
      <c r="O908" s="21" t="s">
        <v>23</v>
      </c>
      <c r="P908" s="24">
        <v>46203</v>
      </c>
      <c r="Q908" s="21" t="s">
        <v>6454</v>
      </c>
      <c r="R908" s="21"/>
    </row>
    <row r="909" spans="1:18" x14ac:dyDescent="0.25">
      <c r="A909" s="21">
        <f t="shared" si="33"/>
        <v>908</v>
      </c>
      <c r="B909" s="21" t="s">
        <v>11606</v>
      </c>
      <c r="C909" s="21" t="s">
        <v>11603</v>
      </c>
      <c r="D909" s="21" t="s">
        <v>11604</v>
      </c>
      <c r="E909" s="21" t="s">
        <v>11605</v>
      </c>
      <c r="F909" s="21" t="s">
        <v>36</v>
      </c>
      <c r="G909" s="21" t="s">
        <v>196</v>
      </c>
      <c r="H909" s="21" t="str">
        <f t="shared" si="34"/>
        <v>BARAMULLA</v>
      </c>
      <c r="I909" s="21" t="s">
        <v>11607</v>
      </c>
      <c r="J909" s="22">
        <v>46202</v>
      </c>
      <c r="K909" s="21">
        <v>8491965615</v>
      </c>
      <c r="L909" s="21" t="s">
        <v>11309</v>
      </c>
      <c r="M909" s="23" t="s">
        <v>11723</v>
      </c>
      <c r="N909" s="22">
        <v>46207</v>
      </c>
      <c r="O909" s="21" t="s">
        <v>23</v>
      </c>
      <c r="P909" s="24">
        <v>46203</v>
      </c>
      <c r="Q909" s="21" t="s">
        <v>6454</v>
      </c>
      <c r="R909" s="21"/>
    </row>
    <row r="910" spans="1:18" x14ac:dyDescent="0.25">
      <c r="A910" s="21">
        <f t="shared" si="33"/>
        <v>909</v>
      </c>
      <c r="B910" s="21" t="s">
        <v>11585</v>
      </c>
      <c r="C910" s="21" t="s">
        <v>11586</v>
      </c>
      <c r="D910" s="21" t="s">
        <v>11588</v>
      </c>
      <c r="E910" s="21" t="s">
        <v>11587</v>
      </c>
      <c r="F910" s="21" t="s">
        <v>5</v>
      </c>
      <c r="G910" s="21" t="s">
        <v>196</v>
      </c>
      <c r="H910" s="21" t="str">
        <f>IF(LEFT(I910,4)="JK13","PULWAMA",IF(LEFT(I910,4)="JK01","SRINAGAR",IF(LEFT(I910,4)="JK04","BUDGAM",IF(LEFT(I910,4)="JK03","ANANTNAG",IF(LEFT(I910,4)="LA01","KARGIL",IF(LEFT(I910,4)="JK05","BARAMULLA",IF(LEFT(I910,4)="26BH","BHARAT",IF(LEFT(I910,4)="25BH","BHARAT",IF(LEFT(I910,4)="JK12","POONCH",IF(LEFT(I910,4)="JK16","GANDERBAL",IF(LEFT(I910,4)="JK18","KULGAM",IF(LEFT(I910,4)="JK22","SHOPIAN",IF(LEFT(I910,4)="JK02","JAMMU",IF(LEFT(I910,4)="JK09","KUPWARA",IF(LEFT(I910,4)="JK15","BANDIPORA",IF(LEFT(I910,4)="JK17","KISHTWAR",IF(LEFT(I910,4)="LA01","KARGIL",IF(LEFT(I910,1)="T","TEMP","NEW"))))))))))))))))))</f>
        <v>KUPWARA</v>
      </c>
      <c r="I910" s="21" t="s">
        <v>11609</v>
      </c>
      <c r="J910" s="22">
        <v>46202</v>
      </c>
      <c r="K910" s="21">
        <v>8899914722</v>
      </c>
      <c r="L910" s="21" t="s">
        <v>6823</v>
      </c>
      <c r="M910" s="23" t="s">
        <v>6823</v>
      </c>
      <c r="N910" s="22">
        <v>46205</v>
      </c>
      <c r="O910" s="21" t="s">
        <v>23</v>
      </c>
      <c r="P910" s="24">
        <v>46205</v>
      </c>
      <c r="Q910" s="21" t="s">
        <v>6454</v>
      </c>
      <c r="R910" s="21"/>
    </row>
    <row r="911" spans="1:18" x14ac:dyDescent="0.25">
      <c r="A911" s="21">
        <f t="shared" si="26"/>
        <v>910</v>
      </c>
      <c r="B911" s="21" t="s">
        <v>11199</v>
      </c>
      <c r="C911" s="21" t="s">
        <v>11197</v>
      </c>
      <c r="D911" s="21" t="s">
        <v>11198</v>
      </c>
      <c r="E911" s="21" t="s">
        <v>11196</v>
      </c>
      <c r="F911" s="21" t="s">
        <v>12</v>
      </c>
      <c r="G911" s="21" t="s">
        <v>178</v>
      </c>
      <c r="H911" s="21" t="str">
        <f>IF(LEFT(I911,4)="JK13","PULWAMA",IF(LEFT(I911,4)="JK01","SRINAGAR",IF(LEFT(I911,4)="JK04","BUDGAM",IF(LEFT(I911,4)="JK03","ANANTNAG",IF(LEFT(I911,4)="LA01","KARGIL",IF(LEFT(I911,4)="JK05","BARAMULLA",IF(LEFT(I911,4)="26BH","BHARAT",IF(LEFT(I911,4)="25BH","BHARAT",IF(LEFT(I911,4)="JK12","POONCH",IF(LEFT(I911,4)="JK16","GANDERBAL",IF(LEFT(I911,4)="JK18","KULGAM",IF(LEFT(I911,4)="JK22","SHOPIAN",IF(LEFT(I911,4)="JK02","JAMMU",IF(LEFT(I911,4)="JK09","KUPWARA",IF(LEFT(I911,4)="JK15","BANDIPORA",IF(LEFT(I911,4)="JK17","KISHTWAR",IF(LEFT(I911,4)="LA01","KARGIL",IF(LEFT(I911,1)="T","TEMP","NEW"))))))))))))))))))</f>
        <v>BARAMULLA</v>
      </c>
      <c r="I911" s="21" t="s">
        <v>11615</v>
      </c>
      <c r="J911" s="22">
        <v>46203</v>
      </c>
      <c r="K911" s="21">
        <v>7006588862</v>
      </c>
      <c r="L911" s="21" t="s">
        <v>7240</v>
      </c>
      <c r="M911" s="23"/>
      <c r="N911" s="22"/>
      <c r="O911" s="21" t="s">
        <v>23</v>
      </c>
      <c r="P911" s="24">
        <v>46203</v>
      </c>
      <c r="Q911" s="21" t="s">
        <v>6454</v>
      </c>
      <c r="R911" s="21"/>
    </row>
    <row r="912" spans="1:18" x14ac:dyDescent="0.25">
      <c r="A912" s="21">
        <f t="shared" si="33"/>
        <v>911</v>
      </c>
      <c r="B912" s="21" t="s">
        <v>11614</v>
      </c>
      <c r="C912" s="21" t="s">
        <v>11610</v>
      </c>
      <c r="D912" s="21" t="s">
        <v>11611</v>
      </c>
      <c r="E912" s="21" t="s">
        <v>11612</v>
      </c>
      <c r="F912" s="21" t="s">
        <v>100</v>
      </c>
      <c r="G912" s="21" t="s">
        <v>196</v>
      </c>
      <c r="H912" s="21" t="str">
        <f>IF(LEFT(I912,4)="JK13","PULWAMA",IF(LEFT(I912,4)="JK01","SRINAGAR",IF(LEFT(I912,4)="JK04","BUDGAM",IF(LEFT(I912,4)="JK03","ANANTNAG",IF(LEFT(I912,4)="LA01","KARGIL",IF(LEFT(I912,4)="JK05","BARAMULLA",IF(LEFT(I912,4)="26BH","BHARAT",IF(LEFT(I912,4)="25BH","BHARAT",IF(LEFT(I912,4)="JK12","POONCH",IF(LEFT(I912,4)="JK16","GANDERBAL",IF(LEFT(I912,4)="JK18","KULGAM",IF(LEFT(I912,4)="JK22","SHOPIAN",IF(LEFT(I912,4)="JK02","JAMMU",IF(LEFT(I912,4)="JK09","KUPWARA",IF(LEFT(I912,4)="JK15","BANDIPORA",IF(LEFT(I912,4)="JK17","KISHTWAR",IF(LEFT(I912,4)="LA01","KARGIL",IF(LEFT(I912,1)="T","TEMP","NEW"))))))))))))))))))</f>
        <v>BHARAT</v>
      </c>
      <c r="I912" s="21" t="s">
        <v>11630</v>
      </c>
      <c r="J912" s="22">
        <v>46203</v>
      </c>
      <c r="K912" s="21">
        <v>9599281803</v>
      </c>
      <c r="L912" s="21" t="s">
        <v>11613</v>
      </c>
      <c r="M912" s="23" t="s">
        <v>11722</v>
      </c>
      <c r="N912" s="22">
        <v>46207</v>
      </c>
      <c r="O912" s="21" t="s">
        <v>23</v>
      </c>
      <c r="P912" s="24">
        <v>46207</v>
      </c>
      <c r="Q912" s="21" t="s">
        <v>6454</v>
      </c>
      <c r="R912" s="21"/>
    </row>
    <row r="913" spans="1:18" x14ac:dyDescent="0.25">
      <c r="A913" s="21">
        <f t="shared" si="33"/>
        <v>912</v>
      </c>
      <c r="B913" s="21" t="s">
        <v>11622</v>
      </c>
      <c r="C913" s="21" t="s">
        <v>11623</v>
      </c>
      <c r="D913" s="21" t="s">
        <v>11624</v>
      </c>
      <c r="E913" s="21" t="s">
        <v>11625</v>
      </c>
      <c r="F913" s="21" t="s">
        <v>5</v>
      </c>
      <c r="G913" s="21" t="s">
        <v>196</v>
      </c>
      <c r="H913" s="21" t="str">
        <f t="shared" si="34"/>
        <v>BUDGAM</v>
      </c>
      <c r="I913" s="21" t="s">
        <v>11644</v>
      </c>
      <c r="J913" s="22">
        <v>46203</v>
      </c>
      <c r="K913" s="21">
        <v>7780830410</v>
      </c>
      <c r="L913" s="21" t="s">
        <v>8857</v>
      </c>
      <c r="M913" s="23" t="s">
        <v>2168</v>
      </c>
      <c r="N913" s="22">
        <v>46206</v>
      </c>
      <c r="O913" s="21" t="s">
        <v>23</v>
      </c>
      <c r="P913" s="24">
        <v>46203</v>
      </c>
      <c r="Q913" s="21" t="s">
        <v>6454</v>
      </c>
      <c r="R913" s="21"/>
    </row>
    <row r="914" spans="1:18" x14ac:dyDescent="0.25">
      <c r="A914" s="21">
        <f t="shared" si="33"/>
        <v>913</v>
      </c>
      <c r="B914" s="21" t="s">
        <v>11629</v>
      </c>
      <c r="C914" s="21" t="s">
        <v>11627</v>
      </c>
      <c r="D914" s="21" t="s">
        <v>11628</v>
      </c>
      <c r="E914" s="21" t="s">
        <v>11626</v>
      </c>
      <c r="F914" s="21" t="s">
        <v>98</v>
      </c>
      <c r="G914" s="21" t="s">
        <v>171</v>
      </c>
      <c r="H914" s="21" t="str">
        <f t="shared" ref="H914:H921" si="35">IF(LEFT(I914,4)="JK13","PULWAMA",IF(LEFT(I914,4)="JK01","SRINAGAR",IF(LEFT(I914,4)="JK04","BUDGAM",IF(LEFT(I914,4)="JK03","ANANTNAG",IF(LEFT(I914,4)="LA01","KARGIL",IF(LEFT(I914,4)="JK05","BARAMULLA",IF(LEFT(I914,4)="26BH","BHARAT",IF(LEFT(I914,4)="25BH","BHARAT",IF(LEFT(I914,4)="JK12","POONCH",IF(LEFT(I914,4)="JK16","GANDERBAL",IF(LEFT(I914,4)="JK18","KULGAM",IF(LEFT(I914,4)="JK22","SHOPIAN",IF(LEFT(I914,4)="JK02","JAMMU",IF(LEFT(I914,4)="JK09","KUPWARA",IF(LEFT(I914,4)="JK15","BANDIPORA",IF(LEFT(I914,4)="JK17","KISHTWAR",IF(LEFT(I914,4)="LA01","KARGIL",IF(LEFT(I914,1)="T","TEMP","NEW"))))))))))))))))))</f>
        <v>BUDGAM</v>
      </c>
      <c r="I914" s="21" t="s">
        <v>11643</v>
      </c>
      <c r="J914" s="22">
        <v>46203</v>
      </c>
      <c r="K914" s="21">
        <v>9596170967</v>
      </c>
      <c r="L914" s="21" t="s">
        <v>2168</v>
      </c>
      <c r="M914" s="23" t="s">
        <v>2168</v>
      </c>
      <c r="N914" s="22">
        <v>46206</v>
      </c>
      <c r="O914" s="21" t="s">
        <v>23</v>
      </c>
      <c r="P914" s="24">
        <v>46203</v>
      </c>
      <c r="Q914" s="21" t="s">
        <v>6454</v>
      </c>
      <c r="R914" s="21"/>
    </row>
    <row r="915" spans="1:18" x14ac:dyDescent="0.25">
      <c r="A915" s="21">
        <f t="shared" si="33"/>
        <v>914</v>
      </c>
      <c r="B915" s="21" t="s">
        <v>11631</v>
      </c>
      <c r="C915" s="21" t="s">
        <v>11632</v>
      </c>
      <c r="D915" s="21" t="s">
        <v>11633</v>
      </c>
      <c r="E915" s="21" t="s">
        <v>11634</v>
      </c>
      <c r="F915" s="21" t="s">
        <v>5</v>
      </c>
      <c r="G915" s="21" t="s">
        <v>196</v>
      </c>
      <c r="H915" s="21" t="str">
        <f t="shared" si="35"/>
        <v>NEW</v>
      </c>
      <c r="I915" s="21" t="s">
        <v>11645</v>
      </c>
      <c r="J915" s="22">
        <v>46203</v>
      </c>
      <c r="K915" s="21">
        <v>7006713773</v>
      </c>
      <c r="L915" s="21" t="s">
        <v>1513</v>
      </c>
      <c r="M915" s="23" t="s">
        <v>4575</v>
      </c>
      <c r="N915" s="22">
        <v>46205</v>
      </c>
      <c r="O915" s="21" t="s">
        <v>23</v>
      </c>
      <c r="P915" s="22">
        <v>46203</v>
      </c>
      <c r="Q915" s="21" t="s">
        <v>6454</v>
      </c>
      <c r="R915" s="21"/>
    </row>
    <row r="916" spans="1:18" x14ac:dyDescent="0.25">
      <c r="A916" s="21">
        <f t="shared" si="33"/>
        <v>915</v>
      </c>
      <c r="B916" s="21" t="s">
        <v>11639</v>
      </c>
      <c r="C916" s="21" t="s">
        <v>11640</v>
      </c>
      <c r="D916" s="21" t="s">
        <v>11641</v>
      </c>
      <c r="E916" s="21" t="s">
        <v>11642</v>
      </c>
      <c r="F916" s="21" t="s">
        <v>65</v>
      </c>
      <c r="G916" s="21" t="s">
        <v>197</v>
      </c>
      <c r="H916" s="21" t="str">
        <f t="shared" si="35"/>
        <v>PULWAMA</v>
      </c>
      <c r="I916" s="21" t="s">
        <v>11646</v>
      </c>
      <c r="J916" s="22">
        <v>46203</v>
      </c>
      <c r="K916" s="21">
        <v>8899111905</v>
      </c>
      <c r="L916" s="21" t="s">
        <v>68</v>
      </c>
      <c r="M916" s="23" t="s">
        <v>11400</v>
      </c>
      <c r="N916" s="22">
        <v>46210</v>
      </c>
      <c r="O916" s="21" t="s">
        <v>23</v>
      </c>
      <c r="P916" s="22">
        <v>46204</v>
      </c>
      <c r="Q916" s="21" t="s">
        <v>6454</v>
      </c>
      <c r="R916" s="21"/>
    </row>
    <row r="917" spans="1:18" x14ac:dyDescent="0.25">
      <c r="A917" s="21">
        <f t="shared" si="33"/>
        <v>916</v>
      </c>
      <c r="B917" s="21" t="s">
        <v>11635</v>
      </c>
      <c r="C917" s="21" t="s">
        <v>11636</v>
      </c>
      <c r="D917" s="21" t="s">
        <v>11637</v>
      </c>
      <c r="E917" s="21" t="s">
        <v>11638</v>
      </c>
      <c r="F917" s="21" t="s">
        <v>36</v>
      </c>
      <c r="G917" s="21" t="s">
        <v>197</v>
      </c>
      <c r="H917" s="21" t="str">
        <f>IF(LEFT(I917,4)="JK13","PULWAMA",IF(LEFT(I917,4)="JK01","SRINAGAR",IF(LEFT(I917,4)="JK04","BUDGAM",IF(LEFT(I917,4)="JK03","ANANTNAG",IF(LEFT(I917,4)="LA01","KARGIL",IF(LEFT(I917,4)="JK05","BARAMULLA",IF(LEFT(I917,4)="26BH","BHARAT",IF(LEFT(I917,4)="25BH","BHARAT",IF(LEFT(I917,4)="JK12","POONCH",IF(LEFT(I917,4)="JK16","GANDERBAL",IF(LEFT(I917,4)="JK18","KULGAM",IF(LEFT(I917,4)="JK22","SHOPIAN",IF(LEFT(I917,4)="JK02","JAMMU",IF(LEFT(I917,4)="JK09","KUPWARA",IF(LEFT(I917,4)="JK15","BANDIPORA",IF(LEFT(I917,4)="JK17","KISHTWAR",IF(LEFT(I917,4)="LA01","KARGIL",IF(LEFT(I917,1)="T","TEMP","NEW"))))))))))))))))))</f>
        <v>SRINAGAR</v>
      </c>
      <c r="I917" s="21" t="s">
        <v>11647</v>
      </c>
      <c r="J917" s="22">
        <v>46203</v>
      </c>
      <c r="K917" s="21">
        <v>9419067489</v>
      </c>
      <c r="L917" s="21" t="s">
        <v>10242</v>
      </c>
      <c r="M917" s="23"/>
      <c r="N917" s="22"/>
      <c r="O917" s="21"/>
      <c r="P917" s="22"/>
      <c r="Q917" s="21"/>
      <c r="R917" s="21"/>
    </row>
    <row r="918" spans="1:18" x14ac:dyDescent="0.25">
      <c r="A918" s="21">
        <f t="shared" si="33"/>
        <v>917</v>
      </c>
      <c r="B918" s="21" t="s">
        <v>11648</v>
      </c>
      <c r="C918" s="21" t="s">
        <v>11649</v>
      </c>
      <c r="D918" s="21" t="s">
        <v>11650</v>
      </c>
      <c r="E918" s="21" t="s">
        <v>11651</v>
      </c>
      <c r="F918" s="21" t="s">
        <v>65</v>
      </c>
      <c r="G918" s="21" t="s">
        <v>197</v>
      </c>
      <c r="H918" s="21" t="str">
        <f t="shared" si="35"/>
        <v>SRINAGAR</v>
      </c>
      <c r="I918" s="21" t="s">
        <v>11658</v>
      </c>
      <c r="J918" s="22">
        <v>46203</v>
      </c>
      <c r="K918" s="21">
        <v>9682641134</v>
      </c>
      <c r="L918" s="21" t="s">
        <v>303</v>
      </c>
      <c r="M918" s="23" t="s">
        <v>11688</v>
      </c>
      <c r="N918" s="22">
        <v>46205</v>
      </c>
      <c r="O918" s="21" t="s">
        <v>23</v>
      </c>
      <c r="P918" s="22">
        <v>46205</v>
      </c>
      <c r="Q918" s="21" t="s">
        <v>6454</v>
      </c>
      <c r="R918" s="21"/>
    </row>
    <row r="919" spans="1:18" x14ac:dyDescent="0.25">
      <c r="A919" s="21">
        <f t="shared" si="33"/>
        <v>918</v>
      </c>
      <c r="B919" s="21" t="s">
        <v>11655</v>
      </c>
      <c r="C919" s="21" t="s">
        <v>11652</v>
      </c>
      <c r="D919" s="21" t="s">
        <v>11653</v>
      </c>
      <c r="E919" s="21" t="s">
        <v>11654</v>
      </c>
      <c r="F919" s="21" t="s">
        <v>5</v>
      </c>
      <c r="G919" s="21" t="s">
        <v>196</v>
      </c>
      <c r="H919" s="21" t="str">
        <f t="shared" si="35"/>
        <v>SHOPIAN</v>
      </c>
      <c r="I919" s="21" t="s">
        <v>11657</v>
      </c>
      <c r="J919" s="22">
        <v>46203</v>
      </c>
      <c r="K919" s="21">
        <v>9797036215</v>
      </c>
      <c r="L919" s="21" t="s">
        <v>6446</v>
      </c>
      <c r="M919" s="23"/>
      <c r="N919" s="22"/>
      <c r="O919" s="21"/>
      <c r="P919" s="22"/>
      <c r="Q919" s="21"/>
      <c r="R919" s="21"/>
    </row>
    <row r="920" spans="1:18" x14ac:dyDescent="0.25">
      <c r="A920" s="21">
        <f t="shared" si="33"/>
        <v>919</v>
      </c>
      <c r="B920" s="21" t="s">
        <v>11666</v>
      </c>
      <c r="C920" s="21" t="s">
        <v>11667</v>
      </c>
      <c r="D920" s="21" t="s">
        <v>11668</v>
      </c>
      <c r="E920" s="21" t="s">
        <v>11669</v>
      </c>
      <c r="F920" s="21" t="s">
        <v>98</v>
      </c>
      <c r="G920" s="21" t="s">
        <v>223</v>
      </c>
      <c r="H920" s="21" t="str">
        <f t="shared" si="35"/>
        <v>SRINAGAR</v>
      </c>
      <c r="I920" s="21" t="s">
        <v>11670</v>
      </c>
      <c r="J920" s="22">
        <v>46204</v>
      </c>
      <c r="K920" s="21">
        <v>9541868630</v>
      </c>
      <c r="L920" s="21" t="s">
        <v>18</v>
      </c>
      <c r="M920" s="23"/>
      <c r="N920" s="22"/>
      <c r="O920" s="21" t="s">
        <v>23</v>
      </c>
      <c r="P920" s="22">
        <v>46204</v>
      </c>
      <c r="Q920" s="21" t="s">
        <v>6454</v>
      </c>
      <c r="R920" s="21"/>
    </row>
    <row r="921" spans="1:18" x14ac:dyDescent="0.25">
      <c r="A921" s="21">
        <f t="shared" si="33"/>
        <v>920</v>
      </c>
      <c r="B921" s="21" t="s">
        <v>11674</v>
      </c>
      <c r="C921" s="21" t="s">
        <v>11671</v>
      </c>
      <c r="D921" s="21" t="s">
        <v>11672</v>
      </c>
      <c r="E921" s="21" t="s">
        <v>11673</v>
      </c>
      <c r="F921" s="21" t="s">
        <v>5</v>
      </c>
      <c r="G921" s="21" t="s">
        <v>171</v>
      </c>
      <c r="H921" s="21" t="str">
        <f t="shared" si="35"/>
        <v>PULWAMA</v>
      </c>
      <c r="I921" s="21" t="s">
        <v>11675</v>
      </c>
      <c r="J921" s="22">
        <v>46204</v>
      </c>
      <c r="K921" s="21">
        <v>9906022076</v>
      </c>
      <c r="L921" s="21" t="s">
        <v>9902</v>
      </c>
      <c r="M921" s="23"/>
      <c r="N921" s="22"/>
      <c r="O921" s="21"/>
      <c r="P921" s="22"/>
      <c r="Q921" s="21"/>
      <c r="R921" s="21"/>
    </row>
    <row r="922" spans="1:18" x14ac:dyDescent="0.25">
      <c r="A922" s="21">
        <f t="shared" si="33"/>
        <v>921</v>
      </c>
      <c r="B922" s="21" t="s">
        <v>11677</v>
      </c>
      <c r="C922" s="21" t="s">
        <v>11681</v>
      </c>
      <c r="D922" s="21" t="s">
        <v>11678</v>
      </c>
      <c r="E922" s="21" t="s">
        <v>11679</v>
      </c>
      <c r="F922" s="21" t="s">
        <v>12</v>
      </c>
      <c r="G922" s="21" t="s">
        <v>178</v>
      </c>
      <c r="H922" s="21" t="str">
        <f t="shared" ref="H922:H925" si="36">IF(LEFT(I922,4)="JK13","PULWAMA",IF(LEFT(I922,4)="JK01","SRINAGAR",IF(LEFT(I922,4)="JK04","BUDGAM",IF(LEFT(I922,4)="JK03","ANANTNAG",IF(LEFT(I922,4)="LA01","KARGIL",IF(LEFT(I922,4)="JK05","BARAMULLA",IF(LEFT(I922,4)="26BH","BHARAT",IF(LEFT(I922,4)="25BH","BHARAT",IF(LEFT(I922,4)="JK12","POONCH",IF(LEFT(I922,4)="JK16","GANDERBAL",IF(LEFT(I922,4)="JK18","KULGAM",IF(LEFT(I922,4)="JK22","SHOPIAN",IF(LEFT(I922,4)="JK02","JAMMU",IF(LEFT(I922,4)="JK09","KUPWARA",IF(LEFT(I922,4)="JK15","BANDIPORA",IF(LEFT(I922,4)="JK17","KISHTWAR",IF(LEFT(I922,4)="LA01","KARGIL",IF(LEFT(I922,1)="T","TEMP","NEW"))))))))))))))))))</f>
        <v>SHOPIAN</v>
      </c>
      <c r="I922" s="21" t="s">
        <v>11680</v>
      </c>
      <c r="J922" s="22">
        <v>46205</v>
      </c>
      <c r="K922" s="21">
        <v>9596080368</v>
      </c>
      <c r="L922" s="21" t="s">
        <v>9241</v>
      </c>
      <c r="M922" s="23" t="s">
        <v>11703</v>
      </c>
      <c r="N922" s="22">
        <v>46206</v>
      </c>
      <c r="O922" s="21" t="s">
        <v>23</v>
      </c>
      <c r="P922" s="22">
        <v>46206</v>
      </c>
      <c r="Q922" s="21" t="s">
        <v>6454</v>
      </c>
      <c r="R922" s="21"/>
    </row>
    <row r="923" spans="1:18" x14ac:dyDescent="0.25">
      <c r="A923" s="21">
        <f t="shared" si="33"/>
        <v>922</v>
      </c>
      <c r="B923" s="21" t="s">
        <v>11683</v>
      </c>
      <c r="C923" s="21" t="s">
        <v>11684</v>
      </c>
      <c r="D923" s="21" t="s">
        <v>11685</v>
      </c>
      <c r="E923" s="21" t="s">
        <v>11686</v>
      </c>
      <c r="F923" s="21" t="s">
        <v>98</v>
      </c>
      <c r="G923" s="21" t="s">
        <v>178</v>
      </c>
      <c r="H923" s="21" t="str">
        <f t="shared" si="36"/>
        <v>BUDGAM</v>
      </c>
      <c r="I923" s="21" t="s">
        <v>11687</v>
      </c>
      <c r="J923" s="22">
        <v>46205</v>
      </c>
      <c r="K923" s="21">
        <v>9906667265</v>
      </c>
      <c r="L923" s="21" t="s">
        <v>1122</v>
      </c>
      <c r="M923" s="23" t="s">
        <v>11697</v>
      </c>
      <c r="N923" s="22">
        <v>46206</v>
      </c>
      <c r="O923" s="21" t="s">
        <v>23</v>
      </c>
      <c r="P923" s="22">
        <v>46205</v>
      </c>
      <c r="Q923" s="21" t="s">
        <v>6454</v>
      </c>
      <c r="R923" s="21"/>
    </row>
    <row r="924" spans="1:18" x14ac:dyDescent="0.25">
      <c r="A924" s="21">
        <f t="shared" si="33"/>
        <v>923</v>
      </c>
      <c r="B924" s="21" t="s">
        <v>11698</v>
      </c>
      <c r="C924" s="21" t="s">
        <v>11700</v>
      </c>
      <c r="D924" s="21" t="s">
        <v>11701</v>
      </c>
      <c r="E924" s="21" t="s">
        <v>11702</v>
      </c>
      <c r="F924" s="21" t="s">
        <v>98</v>
      </c>
      <c r="G924" s="21" t="s">
        <v>178</v>
      </c>
      <c r="H924" s="21" t="str">
        <f t="shared" si="36"/>
        <v>BARAMULLA</v>
      </c>
      <c r="I924" s="21" t="s">
        <v>11699</v>
      </c>
      <c r="J924" s="22">
        <v>46206</v>
      </c>
      <c r="K924" s="21">
        <v>6005807002</v>
      </c>
      <c r="L924" s="21" t="s">
        <v>303</v>
      </c>
      <c r="M924" s="23" t="s">
        <v>303</v>
      </c>
      <c r="N924" s="22">
        <v>46206</v>
      </c>
      <c r="O924" s="21" t="s">
        <v>23</v>
      </c>
      <c r="P924" s="22">
        <v>46206</v>
      </c>
      <c r="Q924" s="21" t="s">
        <v>6454</v>
      </c>
      <c r="R924" s="21"/>
    </row>
    <row r="925" spans="1:18" x14ac:dyDescent="0.25">
      <c r="A925" s="21">
        <f t="shared" si="33"/>
        <v>924</v>
      </c>
      <c r="B925" s="21" t="s">
        <v>11705</v>
      </c>
      <c r="C925" s="21" t="s">
        <v>11706</v>
      </c>
      <c r="D925" s="21" t="s">
        <v>11707</v>
      </c>
      <c r="E925" s="21" t="s">
        <v>11708</v>
      </c>
      <c r="F925" s="21" t="s">
        <v>98</v>
      </c>
      <c r="G925" s="21" t="s">
        <v>197</v>
      </c>
      <c r="H925" s="21" t="str">
        <f t="shared" si="36"/>
        <v>SRINAGAR</v>
      </c>
      <c r="I925" s="21" t="s">
        <v>11721</v>
      </c>
      <c r="J925" s="22">
        <v>46206</v>
      </c>
      <c r="K925" s="21">
        <v>9541816171</v>
      </c>
      <c r="L925" s="21" t="s">
        <v>6446</v>
      </c>
      <c r="M925" s="23"/>
      <c r="N925" s="22"/>
      <c r="O925" s="21"/>
      <c r="P925" s="22"/>
      <c r="Q925" s="21"/>
      <c r="R925" s="21"/>
    </row>
    <row r="926" spans="1:18" x14ac:dyDescent="0.25">
      <c r="A926" s="21">
        <f t="shared" si="33"/>
        <v>925</v>
      </c>
      <c r="B926" s="21" t="s">
        <v>11709</v>
      </c>
      <c r="C926" s="21" t="s">
        <v>11711</v>
      </c>
      <c r="D926" s="21" t="s">
        <v>11712</v>
      </c>
      <c r="E926" s="21" t="s">
        <v>11710</v>
      </c>
      <c r="F926" s="21" t="s">
        <v>98</v>
      </c>
      <c r="G926" s="21" t="s">
        <v>197</v>
      </c>
      <c r="H926" s="21" t="str">
        <f t="shared" ref="H926:H929" si="37">IF(LEFT(I926,4)="JK13","PULWAMA",IF(LEFT(I926,4)="JK01","SRINAGAR",IF(LEFT(I926,4)="JK04","BUDGAM",IF(LEFT(I926,4)="JK03","ANANTNAG",IF(LEFT(I926,4)="LA01","KARGIL",IF(LEFT(I926,4)="JK05","BARAMULLA",IF(LEFT(I926,4)="26BH","BHARAT",IF(LEFT(I926,4)="25BH","BHARAT",IF(LEFT(I926,4)="JK12","POONCH",IF(LEFT(I926,4)="JK16","GANDERBAL",IF(LEFT(I926,4)="JK18","KULGAM",IF(LEFT(I926,4)="JK22","SHOPIAN",IF(LEFT(I926,4)="JK02","JAMMU",IF(LEFT(I926,4)="JK09","KUPWARA",IF(LEFT(I926,4)="JK15","BANDIPORA",IF(LEFT(I926,4)="JK17","KISHTWAR",IF(LEFT(I926,4)="LA01","KARGIL",IF(LEFT(I926,1)="T","TEMP","NEW"))))))))))))))))))</f>
        <v>SRINAGAR</v>
      </c>
      <c r="I926" s="21" t="s">
        <v>11720</v>
      </c>
      <c r="J926" s="22">
        <v>46206</v>
      </c>
      <c r="K926" s="21">
        <v>7006171701</v>
      </c>
      <c r="L926" s="21" t="s">
        <v>191</v>
      </c>
      <c r="M926" s="23" t="s">
        <v>191</v>
      </c>
      <c r="N926" s="22">
        <v>46209</v>
      </c>
      <c r="O926" s="21" t="s">
        <v>23</v>
      </c>
      <c r="P926" s="22">
        <v>46209</v>
      </c>
      <c r="Q926" s="21" t="s">
        <v>6454</v>
      </c>
      <c r="R926" s="21"/>
    </row>
    <row r="927" spans="1:18" x14ac:dyDescent="0.25">
      <c r="A927" s="21">
        <f t="shared" si="33"/>
        <v>926</v>
      </c>
      <c r="B927" s="21" t="s">
        <v>11724</v>
      </c>
      <c r="C927" s="21" t="s">
        <v>11725</v>
      </c>
      <c r="D927" s="21" t="s">
        <v>11726</v>
      </c>
      <c r="E927" s="21" t="s">
        <v>11727</v>
      </c>
      <c r="F927" s="21" t="s">
        <v>12</v>
      </c>
      <c r="G927" s="21" t="s">
        <v>197</v>
      </c>
      <c r="H927" s="21" t="str">
        <f t="shared" si="37"/>
        <v>SRINAGAR</v>
      </c>
      <c r="I927" s="21" t="s">
        <v>11734</v>
      </c>
      <c r="J927" s="22">
        <v>46207</v>
      </c>
      <c r="K927" s="21">
        <v>6006424311</v>
      </c>
      <c r="L927" s="21" t="s">
        <v>2168</v>
      </c>
      <c r="M927" s="23" t="s">
        <v>2168</v>
      </c>
      <c r="N927" s="22">
        <v>46209</v>
      </c>
      <c r="O927" s="21" t="s">
        <v>23</v>
      </c>
      <c r="P927" s="22">
        <v>46207</v>
      </c>
      <c r="Q927" s="21" t="s">
        <v>6454</v>
      </c>
      <c r="R927" s="21"/>
    </row>
    <row r="928" spans="1:18" x14ac:dyDescent="0.25">
      <c r="A928" s="21">
        <f t="shared" si="33"/>
        <v>927</v>
      </c>
      <c r="B928" s="21" t="s">
        <v>11731</v>
      </c>
      <c r="C928" s="21" t="s">
        <v>11728</v>
      </c>
      <c r="D928" s="21" t="s">
        <v>11729</v>
      </c>
      <c r="E928" s="21" t="s">
        <v>11730</v>
      </c>
      <c r="F928" s="21" t="s">
        <v>98</v>
      </c>
      <c r="G928" s="21" t="s">
        <v>171</v>
      </c>
      <c r="H928" s="21" t="str">
        <f t="shared" si="37"/>
        <v>SRINAGAR</v>
      </c>
      <c r="I928" s="21" t="s">
        <v>11733</v>
      </c>
      <c r="J928" s="22">
        <v>46207</v>
      </c>
      <c r="K928" s="21">
        <v>9086494459</v>
      </c>
      <c r="L928" s="21" t="s">
        <v>42</v>
      </c>
      <c r="M928" s="23"/>
      <c r="N928" s="22"/>
      <c r="O928" s="21" t="s">
        <v>23</v>
      </c>
      <c r="P928" s="22">
        <v>46207</v>
      </c>
      <c r="Q928" s="21" t="s">
        <v>6454</v>
      </c>
      <c r="R928" s="21"/>
    </row>
    <row r="929" spans="1:18" x14ac:dyDescent="0.25">
      <c r="A929" s="21">
        <f t="shared" si="33"/>
        <v>928</v>
      </c>
      <c r="B929" s="21" t="s">
        <v>11735</v>
      </c>
      <c r="C929" s="21" t="s">
        <v>11736</v>
      </c>
      <c r="D929" s="21" t="s">
        <v>11737</v>
      </c>
      <c r="E929" s="21" t="s">
        <v>11738</v>
      </c>
      <c r="F929" s="21" t="s">
        <v>98</v>
      </c>
      <c r="G929" s="21" t="s">
        <v>197</v>
      </c>
      <c r="H929" s="21" t="str">
        <f t="shared" si="37"/>
        <v>POONCH</v>
      </c>
      <c r="I929" s="21" t="s">
        <v>11747</v>
      </c>
      <c r="J929" s="22">
        <v>46207</v>
      </c>
      <c r="K929" s="21">
        <v>7006421617</v>
      </c>
      <c r="L929" s="21" t="s">
        <v>192</v>
      </c>
      <c r="M929" s="23" t="s">
        <v>192</v>
      </c>
      <c r="N929" s="22">
        <v>46207</v>
      </c>
      <c r="O929" s="21" t="s">
        <v>23</v>
      </c>
      <c r="P929" s="22">
        <v>46207</v>
      </c>
      <c r="Q929" s="21" t="s">
        <v>6454</v>
      </c>
      <c r="R929" s="21"/>
    </row>
    <row r="930" spans="1:18" x14ac:dyDescent="0.25">
      <c r="A930" s="21">
        <f t="shared" si="33"/>
        <v>929</v>
      </c>
      <c r="B930" s="21" t="s">
        <v>11742</v>
      </c>
      <c r="C930" s="21" t="s">
        <v>11740</v>
      </c>
      <c r="D930" s="21" t="s">
        <v>11741</v>
      </c>
      <c r="E930" s="21" t="s">
        <v>11739</v>
      </c>
      <c r="F930" s="21" t="s">
        <v>5</v>
      </c>
      <c r="G930" s="21" t="s">
        <v>197</v>
      </c>
      <c r="H930" s="21" t="str">
        <f t="shared" ref="H930:H936" si="38">IF(LEFT(I930,4)="JK13","PULWAMA",IF(LEFT(I930,4)="JK01","SRINAGAR",IF(LEFT(I930,4)="JK04","BUDGAM",IF(LEFT(I930,4)="JK03","ANANTNAG",IF(LEFT(I930,4)="LA01","KARGIL",IF(LEFT(I930,4)="JK05","BARAMULLA",IF(LEFT(I930,4)="26BH","BHARAT",IF(LEFT(I930,4)="25BH","BHARAT",IF(LEFT(I930,4)="JK12","POONCH",IF(LEFT(I930,4)="JK16","GANDERBAL",IF(LEFT(I930,4)="JK18","KULGAM",IF(LEFT(I930,4)="JK22","SHOPIAN",IF(LEFT(I930,4)="JK02","JAMMU",IF(LEFT(I930,4)="JK09","KUPWARA",IF(LEFT(I930,4)="JK15","BANDIPORA",IF(LEFT(I930,4)="JK17","KISHTWAR",IF(LEFT(I930,4)="LA01","KARGIL",IF(LEFT(I930,1)="T","TEMP","NEW"))))))))))))))))))</f>
        <v>TEMP</v>
      </c>
      <c r="I930" s="21" t="s">
        <v>11743</v>
      </c>
      <c r="J930" s="22">
        <v>46207</v>
      </c>
      <c r="K930" s="21">
        <v>6005346937</v>
      </c>
      <c r="L930" s="21" t="s">
        <v>11309</v>
      </c>
      <c r="M930" s="23"/>
      <c r="N930" s="22"/>
      <c r="O930" s="21"/>
      <c r="P930" s="22"/>
      <c r="Q930" s="21"/>
      <c r="R930" s="21"/>
    </row>
    <row r="931" spans="1:18" x14ac:dyDescent="0.25">
      <c r="A931" s="21">
        <f t="shared" si="33"/>
        <v>930</v>
      </c>
      <c r="B931" s="21" t="s">
        <v>11753</v>
      </c>
      <c r="C931" s="21" t="s">
        <v>11750</v>
      </c>
      <c r="D931" s="21" t="s">
        <v>11751</v>
      </c>
      <c r="E931" s="21" t="s">
        <v>11752</v>
      </c>
      <c r="F931" s="21" t="s">
        <v>36</v>
      </c>
      <c r="G931" s="21" t="s">
        <v>223</v>
      </c>
      <c r="H931" s="21" t="str">
        <f t="shared" si="38"/>
        <v>KULGAM</v>
      </c>
      <c r="I931" s="21" t="s">
        <v>11756</v>
      </c>
      <c r="J931" s="22">
        <v>46209</v>
      </c>
      <c r="K931" s="21">
        <v>9682595915</v>
      </c>
      <c r="L931" s="21" t="s">
        <v>11076</v>
      </c>
      <c r="M931" s="21" t="s">
        <v>11076</v>
      </c>
      <c r="N931" s="22">
        <v>46210</v>
      </c>
      <c r="O931" s="21" t="s">
        <v>23</v>
      </c>
      <c r="P931" s="22">
        <v>46210</v>
      </c>
      <c r="Q931" s="21" t="s">
        <v>6454</v>
      </c>
      <c r="R931" s="21"/>
    </row>
    <row r="932" spans="1:18" x14ac:dyDescent="0.25">
      <c r="A932" s="21">
        <f t="shared" si="33"/>
        <v>931</v>
      </c>
      <c r="B932" s="21" t="s">
        <v>11759</v>
      </c>
      <c r="C932" s="21" t="s">
        <v>11757</v>
      </c>
      <c r="D932" s="21" t="s">
        <v>11758</v>
      </c>
      <c r="E932" s="21" t="s">
        <v>6428</v>
      </c>
      <c r="F932" s="21" t="s">
        <v>65</v>
      </c>
      <c r="G932" s="21" t="s">
        <v>196</v>
      </c>
      <c r="H932" s="21" t="str">
        <f t="shared" si="38"/>
        <v>SRINAGAR</v>
      </c>
      <c r="I932" s="21" t="s">
        <v>11768</v>
      </c>
      <c r="J932" s="22">
        <v>46209</v>
      </c>
      <c r="K932" s="21">
        <v>9906773886</v>
      </c>
      <c r="L932" s="21" t="s">
        <v>303</v>
      </c>
      <c r="M932" s="23" t="s">
        <v>303</v>
      </c>
      <c r="N932" s="22">
        <v>46210</v>
      </c>
      <c r="O932" s="21" t="s">
        <v>23</v>
      </c>
      <c r="P932" s="22">
        <v>46210</v>
      </c>
      <c r="Q932" s="21" t="s">
        <v>6454</v>
      </c>
      <c r="R932" s="21"/>
    </row>
    <row r="933" spans="1:18" x14ac:dyDescent="0.25">
      <c r="A933" s="21">
        <f t="shared" si="33"/>
        <v>932</v>
      </c>
      <c r="B933" s="21" t="s">
        <v>11763</v>
      </c>
      <c r="C933" s="21" t="s">
        <v>11760</v>
      </c>
      <c r="D933" s="21" t="s">
        <v>11761</v>
      </c>
      <c r="E933" s="21" t="s">
        <v>11762</v>
      </c>
      <c r="F933" s="21" t="s">
        <v>12</v>
      </c>
      <c r="G933" s="21" t="s">
        <v>171</v>
      </c>
      <c r="H933" s="21" t="str">
        <f t="shared" si="38"/>
        <v>SRINAGAR</v>
      </c>
      <c r="I933" s="21" t="s">
        <v>11769</v>
      </c>
      <c r="J933" s="22">
        <v>46209</v>
      </c>
      <c r="K933" s="21">
        <v>9419424931</v>
      </c>
      <c r="L933" s="21" t="s">
        <v>303</v>
      </c>
      <c r="M933" s="23"/>
      <c r="N933" s="22"/>
      <c r="O933" s="21" t="s">
        <v>23</v>
      </c>
      <c r="P933" s="22">
        <v>46210</v>
      </c>
      <c r="Q933" s="21" t="s">
        <v>6454</v>
      </c>
      <c r="R933" s="21"/>
    </row>
    <row r="934" spans="1:18" x14ac:dyDescent="0.25">
      <c r="A934" s="21">
        <f t="shared" si="33"/>
        <v>933</v>
      </c>
      <c r="B934" s="21" t="s">
        <v>11767</v>
      </c>
      <c r="C934" s="21" t="s">
        <v>11764</v>
      </c>
      <c r="D934" s="21" t="s">
        <v>11765</v>
      </c>
      <c r="E934" s="21" t="s">
        <v>11766</v>
      </c>
      <c r="F934" s="21" t="s">
        <v>36</v>
      </c>
      <c r="G934" s="21" t="s">
        <v>197</v>
      </c>
      <c r="H934" s="21" t="str">
        <f t="shared" si="38"/>
        <v>TEMP</v>
      </c>
      <c r="I934" s="21" t="s">
        <v>11770</v>
      </c>
      <c r="J934" s="22">
        <v>46209</v>
      </c>
      <c r="K934" s="21">
        <v>7889837576</v>
      </c>
      <c r="L934" s="21" t="s">
        <v>26</v>
      </c>
      <c r="M934" s="23"/>
      <c r="N934" s="22"/>
      <c r="O934" s="21"/>
      <c r="P934" s="22"/>
      <c r="Q934" s="21"/>
      <c r="R934" s="21"/>
    </row>
    <row r="935" spans="1:18" x14ac:dyDescent="0.25">
      <c r="A935" s="21">
        <f t="shared" si="33"/>
        <v>934</v>
      </c>
      <c r="B935" s="21" t="s">
        <v>11774</v>
      </c>
      <c r="C935" s="21" t="s">
        <v>11771</v>
      </c>
      <c r="D935" s="21" t="s">
        <v>11772</v>
      </c>
      <c r="E935" s="21" t="s">
        <v>11773</v>
      </c>
      <c r="F935" s="21" t="s">
        <v>12</v>
      </c>
      <c r="G935" s="21" t="s">
        <v>197</v>
      </c>
      <c r="H935" s="21" t="str">
        <f t="shared" si="38"/>
        <v>SHOPIAN</v>
      </c>
      <c r="I935" s="21" t="s">
        <v>11775</v>
      </c>
      <c r="J935" s="22">
        <v>46209</v>
      </c>
      <c r="K935" s="21">
        <v>7889497638</v>
      </c>
      <c r="L935" s="21" t="s">
        <v>6574</v>
      </c>
      <c r="M935" s="23"/>
      <c r="N935" s="22"/>
      <c r="O935" s="21"/>
      <c r="P935" s="22"/>
      <c r="Q935" s="21"/>
      <c r="R935" s="21"/>
    </row>
    <row r="936" spans="1:18" x14ac:dyDescent="0.25">
      <c r="A936" s="21">
        <f t="shared" si="33"/>
        <v>935</v>
      </c>
      <c r="B936" s="21" t="s">
        <v>11780</v>
      </c>
      <c r="C936" s="21" t="s">
        <v>11777</v>
      </c>
      <c r="D936" s="21" t="s">
        <v>11778</v>
      </c>
      <c r="E936" s="21" t="s">
        <v>11779</v>
      </c>
      <c r="F936" s="21" t="s">
        <v>98</v>
      </c>
      <c r="G936" s="21" t="s">
        <v>6435</v>
      </c>
      <c r="H936" s="21" t="str">
        <f t="shared" si="38"/>
        <v>SRINAGAR</v>
      </c>
      <c r="I936" s="21" t="s">
        <v>11781</v>
      </c>
      <c r="J936" s="22">
        <v>46210</v>
      </c>
      <c r="K936" s="21">
        <v>9622221606</v>
      </c>
      <c r="L936" s="21" t="s">
        <v>11309</v>
      </c>
      <c r="M936" s="23"/>
      <c r="N936" s="22"/>
      <c r="O936" s="21"/>
      <c r="P936" s="22"/>
      <c r="Q936" s="21"/>
      <c r="R936" s="21"/>
    </row>
    <row r="937" spans="1:18" x14ac:dyDescent="0.25">
      <c r="A937" s="21">
        <f t="shared" si="33"/>
        <v>936</v>
      </c>
      <c r="B937" s="21" t="s">
        <v>11784</v>
      </c>
      <c r="C937" s="21" t="s">
        <v>11785</v>
      </c>
      <c r="D937" s="21" t="s">
        <v>11786</v>
      </c>
      <c r="E937" s="21" t="s">
        <v>11787</v>
      </c>
      <c r="F937" s="21" t="s">
        <v>190</v>
      </c>
      <c r="G937" s="21" t="s">
        <v>197</v>
      </c>
      <c r="H937" s="21" t="str">
        <f t="shared" ref="H937:H944" si="39">IF(LEFT(I937,4)="JK13","PULWAMA",IF(LEFT(I937,4)="JK01","SRINAGAR",IF(LEFT(I937,4)="JK04","BUDGAM",IF(LEFT(I937,4)="JK03","ANANTNAG",IF(LEFT(I937,4)="LA01","KARGIL",IF(LEFT(I937,4)="JK05","BARAMULLA",IF(LEFT(I937,4)="26BH","BHARAT",IF(LEFT(I937,4)="25BH","BHARAT",IF(LEFT(I937,4)="JK12","POONCH",IF(LEFT(I937,4)="JK16","GANDERBAL",IF(LEFT(I937,4)="JK18","KULGAM",IF(LEFT(I937,4)="JK22","SHOPIAN",IF(LEFT(I937,4)="JK02","JAMMU",IF(LEFT(I937,4)="JK09","KUPWARA",IF(LEFT(I937,4)="JK15","BANDIPORA",IF(LEFT(I937,4)="JK17","KISHTWAR",IF(LEFT(I937,4)="LA01","KARGIL",IF(LEFT(I937,1)="T","TEMP","NEW"))))))))))))))))))</f>
        <v>SRINAGAR</v>
      </c>
      <c r="I937" s="21" t="s">
        <v>11788</v>
      </c>
      <c r="J937" s="22">
        <v>46210</v>
      </c>
      <c r="K937" s="21">
        <v>8491929247</v>
      </c>
      <c r="L937" s="21" t="s">
        <v>18</v>
      </c>
      <c r="M937" s="23" t="s">
        <v>11791</v>
      </c>
      <c r="N937" s="22">
        <v>46210</v>
      </c>
      <c r="O937" s="21" t="s">
        <v>23</v>
      </c>
      <c r="P937" s="22">
        <v>46210</v>
      </c>
      <c r="Q937" s="21" t="s">
        <v>6454</v>
      </c>
      <c r="R937" s="21"/>
    </row>
    <row r="938" spans="1:18" x14ac:dyDescent="0.25">
      <c r="A938" s="21">
        <f t="shared" si="33"/>
        <v>937</v>
      </c>
      <c r="B938" s="21"/>
      <c r="C938" s="21"/>
      <c r="D938" s="21"/>
      <c r="E938" s="21"/>
      <c r="F938" s="21"/>
      <c r="G938" s="21"/>
      <c r="H938" s="21" t="str">
        <f t="shared" si="39"/>
        <v>NEW</v>
      </c>
      <c r="I938" s="21"/>
      <c r="J938" s="22"/>
      <c r="K938" s="21"/>
      <c r="L938" s="21"/>
      <c r="M938" s="23"/>
      <c r="N938" s="22"/>
      <c r="O938" s="21"/>
      <c r="P938" s="24"/>
      <c r="Q938" s="21"/>
      <c r="R938" s="21"/>
    </row>
    <row r="939" spans="1:18" x14ac:dyDescent="0.25">
      <c r="A939" s="21">
        <f t="shared" si="33"/>
        <v>938</v>
      </c>
      <c r="B939" s="21"/>
      <c r="C939" s="21"/>
      <c r="D939" s="21"/>
      <c r="E939" s="21"/>
      <c r="F939" s="21"/>
      <c r="G939" s="21"/>
      <c r="H939" s="21" t="str">
        <f t="shared" si="39"/>
        <v>NEW</v>
      </c>
      <c r="I939" s="21"/>
      <c r="J939" s="22"/>
      <c r="K939" s="21"/>
      <c r="L939" s="21"/>
      <c r="M939" s="23"/>
      <c r="N939" s="22"/>
      <c r="O939" s="21"/>
      <c r="P939" s="24"/>
      <c r="Q939" s="21"/>
      <c r="R939" s="21"/>
    </row>
    <row r="940" spans="1:18" x14ac:dyDescent="0.25">
      <c r="A940" s="21">
        <f t="shared" si="33"/>
        <v>939</v>
      </c>
      <c r="B940" s="21"/>
      <c r="C940" s="21"/>
      <c r="D940" s="21"/>
      <c r="E940" s="21"/>
      <c r="F940" s="21"/>
      <c r="G940" s="21"/>
      <c r="H940" s="21" t="str">
        <f t="shared" si="39"/>
        <v>NEW</v>
      </c>
      <c r="I940" s="21"/>
      <c r="J940" s="22"/>
      <c r="K940" s="21"/>
      <c r="L940" s="21"/>
      <c r="M940" s="23"/>
      <c r="N940" s="22"/>
      <c r="O940" s="21"/>
      <c r="P940" s="24"/>
      <c r="Q940" s="21"/>
      <c r="R940" s="21"/>
    </row>
    <row r="941" spans="1:18" x14ac:dyDescent="0.25">
      <c r="A941" s="21">
        <f t="shared" si="33"/>
        <v>940</v>
      </c>
      <c r="B941" s="21"/>
      <c r="C941" s="21"/>
      <c r="D941" s="21"/>
      <c r="E941" s="21"/>
      <c r="F941" s="21"/>
      <c r="G941" s="21"/>
      <c r="H941" s="21" t="str">
        <f t="shared" si="39"/>
        <v>NEW</v>
      </c>
      <c r="I941" s="21"/>
      <c r="J941" s="22"/>
      <c r="K941" s="21"/>
      <c r="L941" s="21"/>
      <c r="M941" s="23"/>
      <c r="N941" s="22"/>
      <c r="O941" s="21"/>
      <c r="P941" s="24"/>
      <c r="Q941" s="21"/>
      <c r="R941" s="21"/>
    </row>
    <row r="942" spans="1:18" x14ac:dyDescent="0.25">
      <c r="A942" s="21">
        <f t="shared" si="33"/>
        <v>941</v>
      </c>
      <c r="B942" s="21"/>
      <c r="C942" s="21"/>
      <c r="D942" s="21"/>
      <c r="E942" s="21"/>
      <c r="F942" s="21"/>
      <c r="G942" s="21"/>
      <c r="H942" s="21" t="str">
        <f t="shared" si="39"/>
        <v>NEW</v>
      </c>
      <c r="I942" s="21"/>
      <c r="J942" s="22"/>
      <c r="K942" s="21"/>
      <c r="L942" s="21"/>
      <c r="M942" s="23"/>
      <c r="N942" s="22"/>
      <c r="O942" s="21"/>
      <c r="P942" s="24"/>
      <c r="Q942" s="21"/>
      <c r="R942" s="21"/>
    </row>
    <row r="943" spans="1:18" x14ac:dyDescent="0.25">
      <c r="A943" s="21">
        <f t="shared" si="33"/>
        <v>942</v>
      </c>
      <c r="B943" s="21"/>
      <c r="C943" s="21"/>
      <c r="D943" s="21"/>
      <c r="E943" s="21"/>
      <c r="F943" s="21"/>
      <c r="G943" s="21"/>
      <c r="H943" s="21" t="str">
        <f t="shared" si="39"/>
        <v>NEW</v>
      </c>
      <c r="I943" s="21"/>
      <c r="J943" s="22"/>
      <c r="K943" s="21"/>
      <c r="L943" s="21"/>
      <c r="M943" s="23"/>
      <c r="N943" s="22"/>
      <c r="O943" s="21"/>
      <c r="P943" s="24"/>
      <c r="Q943" s="21"/>
      <c r="R943" s="21"/>
    </row>
    <row r="944" spans="1:18" x14ac:dyDescent="0.25">
      <c r="A944" s="21">
        <f t="shared" si="33"/>
        <v>943</v>
      </c>
      <c r="B944" s="21"/>
      <c r="C944" s="21"/>
      <c r="D944" s="21"/>
      <c r="E944" s="21"/>
      <c r="F944" s="21"/>
      <c r="G944" s="21"/>
      <c r="H944" s="21" t="str">
        <f t="shared" si="39"/>
        <v>NEW</v>
      </c>
      <c r="I944" s="21"/>
      <c r="J944" s="22"/>
      <c r="K944" s="21"/>
      <c r="L944" s="21"/>
      <c r="M944" s="23"/>
      <c r="N944" s="22"/>
      <c r="O944" s="21"/>
      <c r="P944" s="24"/>
      <c r="Q944" s="21"/>
      <c r="R944" s="21"/>
    </row>
    <row r="945" spans="1:13" ht="15.75" x14ac:dyDescent="0.25">
      <c r="A945" s="21"/>
      <c r="B945" s="21"/>
      <c r="C945" s="21"/>
      <c r="D945" s="21"/>
      <c r="E945" s="21"/>
      <c r="F945" s="21"/>
      <c r="G945" s="21"/>
      <c r="H945" s="21"/>
      <c r="I945" s="21"/>
      <c r="J945" s="12"/>
      <c r="K945" s="21"/>
      <c r="L945" s="21"/>
      <c r="M945" t="s">
        <v>43</v>
      </c>
    </row>
    <row r="946" spans="1:13" ht="15.75" x14ac:dyDescent="0.25">
      <c r="A946" s="21"/>
      <c r="B946" s="21"/>
      <c r="C946" s="21"/>
      <c r="D946" s="21"/>
      <c r="E946" s="21"/>
      <c r="F946" s="21"/>
      <c r="G946" s="21"/>
      <c r="H946" s="1"/>
      <c r="I946" s="13"/>
      <c r="K946" s="21"/>
      <c r="L946" s="21"/>
    </row>
    <row r="947" spans="1:13" x14ac:dyDescent="0.25">
      <c r="K947" s="21"/>
    </row>
    <row r="948" spans="1:13" x14ac:dyDescent="0.25">
      <c r="K948" s="21"/>
    </row>
    <row r="949" spans="1:13" x14ac:dyDescent="0.25">
      <c r="K949" s="21"/>
    </row>
    <row r="950" spans="1:13" x14ac:dyDescent="0.25">
      <c r="K950" s="21"/>
    </row>
    <row r="951" spans="1:13" x14ac:dyDescent="0.25">
      <c r="K951" s="21"/>
    </row>
    <row r="953" spans="1:13" x14ac:dyDescent="0.25">
      <c r="K953" s="21"/>
    </row>
    <row r="954" spans="1:13" x14ac:dyDescent="0.25">
      <c r="K954" s="21"/>
    </row>
    <row r="955" spans="1:13" x14ac:dyDescent="0.25">
      <c r="K955" s="21"/>
    </row>
    <row r="956" spans="1:13" x14ac:dyDescent="0.25">
      <c r="K956" s="21"/>
    </row>
    <row r="957" spans="1:13" x14ac:dyDescent="0.25">
      <c r="K957" s="21"/>
    </row>
    <row r="958" spans="1:13" x14ac:dyDescent="0.25">
      <c r="K958" s="21"/>
    </row>
    <row r="959" spans="1:13" x14ac:dyDescent="0.25">
      <c r="K959" s="21"/>
    </row>
    <row r="960" spans="1:13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x14ac:dyDescent="0.25">
      <c r="K994" s="21"/>
    </row>
    <row r="995" spans="11:11" x14ac:dyDescent="0.25">
      <c r="K995" s="21"/>
    </row>
    <row r="996" spans="11:11" x14ac:dyDescent="0.25">
      <c r="K996" s="21"/>
    </row>
    <row r="997" spans="11:11" x14ac:dyDescent="0.25">
      <c r="K997" s="21"/>
    </row>
    <row r="998" spans="11:11" x14ac:dyDescent="0.25">
      <c r="K998" s="21"/>
    </row>
    <row r="999" spans="11:11" x14ac:dyDescent="0.25">
      <c r="K999" s="21"/>
    </row>
    <row r="1000" spans="11:11" x14ac:dyDescent="0.25">
      <c r="K1000" s="21"/>
    </row>
    <row r="1001" spans="11:11" x14ac:dyDescent="0.25">
      <c r="K1001" s="21"/>
    </row>
    <row r="1002" spans="11:11" x14ac:dyDescent="0.25">
      <c r="K1002" s="21"/>
    </row>
    <row r="1003" spans="11:11" x14ac:dyDescent="0.25">
      <c r="K1003" s="21"/>
    </row>
    <row r="1004" spans="11:11" x14ac:dyDescent="0.25">
      <c r="K1004" s="21"/>
    </row>
    <row r="1005" spans="11:11" x14ac:dyDescent="0.25">
      <c r="K1005" s="21"/>
    </row>
    <row r="1006" spans="11:11" x14ac:dyDescent="0.25">
      <c r="K1006" s="21"/>
    </row>
    <row r="1007" spans="11:11" x14ac:dyDescent="0.25">
      <c r="K1007" s="21"/>
    </row>
    <row r="1008" spans="11:11" x14ac:dyDescent="0.25">
      <c r="K1008" s="21"/>
    </row>
    <row r="1009" spans="11:11" x14ac:dyDescent="0.25">
      <c r="K1009" s="21"/>
    </row>
    <row r="1010" spans="11:11" x14ac:dyDescent="0.25">
      <c r="K1010" s="21"/>
    </row>
    <row r="1011" spans="11:11" x14ac:dyDescent="0.25">
      <c r="K1011" s="21"/>
    </row>
    <row r="1012" spans="11:11" x14ac:dyDescent="0.25">
      <c r="K1012" s="21"/>
    </row>
    <row r="1013" spans="11:11" x14ac:dyDescent="0.25">
      <c r="K1013" s="21"/>
    </row>
    <row r="1014" spans="11:11" x14ac:dyDescent="0.25">
      <c r="K1014" s="21"/>
    </row>
    <row r="1015" spans="11:11" x14ac:dyDescent="0.25">
      <c r="K1015" s="21"/>
    </row>
    <row r="1016" spans="11:11" x14ac:dyDescent="0.25">
      <c r="K1016" s="21"/>
    </row>
    <row r="1017" spans="11:11" x14ac:dyDescent="0.25">
      <c r="K1017" s="21"/>
    </row>
    <row r="1018" spans="11:11" x14ac:dyDescent="0.25">
      <c r="K1018" s="21"/>
    </row>
    <row r="1019" spans="11:11" x14ac:dyDescent="0.25">
      <c r="K1019" s="21"/>
    </row>
    <row r="1020" spans="11:11" x14ac:dyDescent="0.25">
      <c r="K1020" s="21"/>
    </row>
    <row r="1021" spans="11:11" x14ac:dyDescent="0.25">
      <c r="K1021" s="21"/>
    </row>
    <row r="1022" spans="11:11" x14ac:dyDescent="0.25">
      <c r="K1022" s="21"/>
    </row>
    <row r="1023" spans="11:11" x14ac:dyDescent="0.25">
      <c r="K1023" s="21"/>
    </row>
    <row r="1024" spans="11:11" x14ac:dyDescent="0.25">
      <c r="K1024" s="21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x14ac:dyDescent="0.25">
      <c r="K1074" s="20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22 J792:J794 G794:H794 A795:J795 B796:C796 E796:J798 D796:D801 A797:C801 B799:J805 A802:H803 B802:G824 A804:A849 I805:I827 B806:H806 J806:J813 H807:H813 H813:J815 H816:H823 J816:J827 K823:L823 O823:R823 G824:H824 K824:R832 B825:H826 B826:G831 H827 H828:L828 H829:J829 I829:I836 H830 J830:J835 B830:F839 G831:H831 B832:H834 K832:K836 L833:R834 K835:R835 H835:H836 B835:G839 J836:R836 H837:R837 A838:J838 K838:R851 G839:J839 I839:I845 J840:J845 B840:H846 B843:G849 I846:J846 B847:J850 A850:R850 I851:J857 A851:H862 K851:K868 L852:R875 I857:I862 J858:J862 A863:J863 B864:J864 A864:A906 I865:J867 B865:H873 J868 I868:I873 J869:K873 B874:K875 B876:L876 O876:R876 B877:R880 J881:R881 B881:I887 J882:J885 L882:R889 B885:G893 J886:R886 J887 G888:J891 M890:R894 K891:K906 B892:J892 I892:I893 B893:H893 J893:J904 B894:I897 L895:R906 B896:G906 H898:I899 I899:I901 H900:H901 H902:I904 H905:J906 H907:R907 A907:G915 G908:H908 J908:J909 M908:N909 O908:R910 H909:H910 J910:N910 H911:K911 K911:R924 J912:K912 H912:I915 J913:J917 B915:G938 P915:P938 A916:I917 H918:J918 A918:A937 G919:K919 H920:J920 I920:I928 H921 J921 H922:K923 G924:H924 J924:K927 H925:H928 L925:R937 J928 K928:K937 H929:J931 I930:I933 G932:H932 J932:J933 H933 H934:J935 H936:K936 G937:J937 A938:R944 L945:L946">
    <cfRule type="expression" dxfId="23" priority="31">
      <formula>CELL("row")=ROW()</formula>
    </cfRule>
  </conditionalFormatting>
  <conditionalFormatting sqref="B257:G290 B291:B300 C291:G301">
    <cfRule type="expression" dxfId="22" priority="29">
      <formula>CELL("row")=ROW()</formula>
    </cfRule>
  </conditionalFormatting>
  <conditionalFormatting sqref="B772:G772">
    <cfRule type="expression" dxfId="21" priority="12">
      <formula>CELL("row")=ROW()</formula>
    </cfRule>
  </conditionalFormatting>
  <conditionalFormatting sqref="F398">
    <cfRule type="expression" dxfId="20" priority="24">
      <formula>CELL("row")=ROW()</formula>
    </cfRule>
  </conditionalFormatting>
  <conditionalFormatting sqref="F420">
    <cfRule type="expression" dxfId="19" priority="23">
      <formula>CELL("row")=ROW()</formula>
    </cfRule>
  </conditionalFormatting>
  <conditionalFormatting sqref="F326:G326">
    <cfRule type="expression" dxfId="18" priority="26">
      <formula>CELL("row")=ROW()</formula>
    </cfRule>
  </conditionalFormatting>
  <conditionalFormatting sqref="G266">
    <cfRule type="expression" dxfId="17" priority="28">
      <formula>CELL("row")=ROW()</formula>
    </cfRule>
  </conditionalFormatting>
  <conditionalFormatting sqref="I558">
    <cfRule type="expression" dxfId="16" priority="19">
      <formula>CELL("row")=ROW()</formula>
    </cfRule>
  </conditionalFormatting>
  <conditionalFormatting sqref="I908:I910">
    <cfRule type="expression" dxfId="15" priority="5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45:I945 K945:K951 A946:G946 K953:K1024">
    <cfRule type="expression" dxfId="14" priority="17">
      <formula>CELL("row")=ROW()</formula>
    </cfRule>
  </conditionalFormatting>
  <conditionalFormatting sqref="K672:K697 K698:L700 L701">
    <cfRule type="expression" dxfId="13" priority="16">
      <formula>CELL("row")=ROW()</formula>
    </cfRule>
  </conditionalFormatting>
  <conditionalFormatting sqref="K882:K889 K890:L892 L893:L894 K908:L910">
    <cfRule type="expression" dxfId="12" priority="8">
      <formula>CELL("row")=ROW()</formula>
    </cfRule>
  </conditionalFormatting>
  <conditionalFormatting sqref="L532:L535">
    <cfRule type="expression" dxfId="11" priority="21">
      <formula>CELL("row")=ROW()</formula>
    </cfRule>
  </conditionalFormatting>
  <conditionalFormatting sqref="M718 M730 M733 M738:M739">
    <cfRule type="expression" dxfId="10" priority="11">
      <formula>CELL("row")=ROW()</formula>
    </cfRule>
  </conditionalFormatting>
  <conditionalFormatting sqref="M763:M764 M774">
    <cfRule type="expression" dxfId="9" priority="10">
      <formula>CELL("row")=ROW()</formula>
    </cfRule>
  </conditionalFormatting>
  <conditionalFormatting sqref="M823:N823">
    <cfRule type="expression" dxfId="8" priority="4">
      <formula>CELL("row")=ROW()</formula>
    </cfRule>
  </conditionalFormatting>
  <conditionalFormatting sqref="M876:N876">
    <cfRule type="expression" dxfId="7" priority="3">
      <formula>CELL("row")=ROW()</formula>
    </cfRule>
  </conditionalFormatting>
  <conditionalFormatting sqref="M945:O946">
    <cfRule type="expression" dxfId="6" priority="40">
      <formula>ROW(O93)=HighlightRow</formula>
    </cfRule>
  </conditionalFormatting>
  <conditionalFormatting sqref="N698">
    <cfRule type="expression" dxfId="5" priority="14">
      <formula>CELL("row")=ROW()</formula>
    </cfRule>
  </conditionalFormatting>
  <conditionalFormatting sqref="P945:Q946">
    <cfRule type="expression" dxfId="4" priority="44">
      <formula>ROW(S93)=HighlightRow</formula>
    </cfRule>
  </conditionalFormatting>
  <conditionalFormatting sqref="S105:XFD105">
    <cfRule type="expression" dxfId="3" priority="45">
      <formula>ROW(T94)=HighlightRow</formula>
    </cfRule>
  </conditionalFormatting>
  <conditionalFormatting sqref="S106:XFD114">
    <cfRule type="expression" dxfId="2" priority="42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410" zoomScaleNormal="100" workbookViewId="0">
      <selection activeCell="C423" sqref="C42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I17" sqref="I17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ht="28.5" x14ac:dyDescent="0.45">
      <c r="A1" s="51" t="s">
        <v>9462</v>
      </c>
      <c r="B1" s="51"/>
      <c r="C1" s="51"/>
      <c r="D1" s="51"/>
      <c r="E1" s="51"/>
      <c r="F1" s="51"/>
      <c r="G1" s="51"/>
      <c r="H1" s="51"/>
      <c r="I1" s="51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11416</v>
      </c>
      <c r="F8" s="49">
        <v>617194917012</v>
      </c>
      <c r="G8" s="25">
        <v>46193</v>
      </c>
      <c r="H8" s="21">
        <v>280</v>
      </c>
      <c r="I8" s="21" t="s">
        <v>11328</v>
      </c>
    </row>
    <row r="9" spans="1:9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11416</v>
      </c>
      <c r="F9" s="49">
        <v>617194917012</v>
      </c>
      <c r="G9" s="25">
        <v>46193</v>
      </c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11416</v>
      </c>
      <c r="F10" s="49">
        <v>617194917012</v>
      </c>
      <c r="G10" s="25">
        <v>46193</v>
      </c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11416</v>
      </c>
      <c r="F11" s="49">
        <v>617194917012</v>
      </c>
      <c r="G11" s="25">
        <v>46193</v>
      </c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11416</v>
      </c>
      <c r="F12" s="49">
        <v>617194917012</v>
      </c>
      <c r="G12" s="25">
        <v>46193</v>
      </c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11416</v>
      </c>
      <c r="F13" s="49">
        <v>617194917012</v>
      </c>
      <c r="G13" s="25">
        <v>46193</v>
      </c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11416</v>
      </c>
      <c r="F14" s="49">
        <v>617194917012</v>
      </c>
      <c r="G14" s="25">
        <v>46193</v>
      </c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11332</v>
      </c>
      <c r="D15" s="21" t="s">
        <v>337</v>
      </c>
      <c r="E15" s="21" t="s">
        <v>11416</v>
      </c>
      <c r="F15" s="49">
        <v>617194917012</v>
      </c>
      <c r="G15" s="25">
        <v>46193</v>
      </c>
      <c r="H15" s="21">
        <v>543</v>
      </c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38"/>
  <sheetViews>
    <sheetView topLeftCell="A614" zoomScaleNormal="100" workbookViewId="0">
      <selection activeCell="E638" sqref="E638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>
        <v>7006076673</v>
      </c>
      <c r="D572" s="21" t="s">
        <v>11339</v>
      </c>
      <c r="E572" s="21" t="s">
        <v>10464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11361</v>
      </c>
      <c r="C573" s="21">
        <v>9149654809</v>
      </c>
      <c r="D573" s="21" t="s">
        <v>11395</v>
      </c>
      <c r="E573" s="21" t="s">
        <v>11367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11366</v>
      </c>
      <c r="C574" s="21">
        <v>6006939791</v>
      </c>
      <c r="D574" s="21" t="s">
        <v>11396</v>
      </c>
      <c r="E574" s="21" t="s">
        <v>11368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11358</v>
      </c>
      <c r="C575" s="21">
        <v>9811039202</v>
      </c>
      <c r="D575" s="21" t="s">
        <v>11397</v>
      </c>
      <c r="E575" s="21" t="s">
        <v>11369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11343</v>
      </c>
      <c r="C576" s="21">
        <v>8082196159</v>
      </c>
      <c r="D576" s="21" t="s">
        <v>11399</v>
      </c>
      <c r="E576" s="21" t="s">
        <v>11345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11405</v>
      </c>
      <c r="C577" s="21">
        <v>6005461613</v>
      </c>
      <c r="D577" s="21" t="s">
        <v>11406</v>
      </c>
      <c r="E577" s="21" t="s">
        <v>11370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11408</v>
      </c>
      <c r="C578" s="21">
        <v>7006079082</v>
      </c>
      <c r="D578" s="21" t="s">
        <v>11409</v>
      </c>
      <c r="E578" s="21" t="s">
        <v>11379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11383</v>
      </c>
      <c r="C579" s="21">
        <v>9469765393</v>
      </c>
      <c r="D579" s="21" t="s">
        <v>11415</v>
      </c>
      <c r="E579" s="21" t="s">
        <v>11385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11413</v>
      </c>
      <c r="C580" s="21">
        <v>8899566980</v>
      </c>
      <c r="D580" s="21" t="s">
        <v>11417</v>
      </c>
      <c r="E580" s="21" t="s">
        <v>11414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11418</v>
      </c>
      <c r="C581" s="21">
        <v>7006789699</v>
      </c>
      <c r="D581" s="21" t="s">
        <v>11419</v>
      </c>
      <c r="E581" s="21" t="s">
        <v>11407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11394</v>
      </c>
      <c r="C582" s="21">
        <v>9622847452</v>
      </c>
      <c r="D582" s="21" t="s">
        <v>11421</v>
      </c>
      <c r="E582" s="21" t="s">
        <v>11398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11427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38" si="9">ROW()-2</f>
        <v>582</v>
      </c>
      <c r="B584" s="21" t="s">
        <v>11337</v>
      </c>
      <c r="C584" s="21">
        <v>9718916222</v>
      </c>
      <c r="D584" s="21" t="s">
        <v>11455</v>
      </c>
      <c r="E584" s="21" t="s">
        <v>11338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11203</v>
      </c>
      <c r="C585" s="21">
        <v>7889410052</v>
      </c>
      <c r="D585" s="21" t="s">
        <v>11456</v>
      </c>
      <c r="E585" s="21" t="s">
        <v>11200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11466</v>
      </c>
      <c r="C586" s="21">
        <v>7006467400</v>
      </c>
      <c r="D586" s="21" t="s">
        <v>11482</v>
      </c>
      <c r="E586" s="21" t="s">
        <v>11468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11449</v>
      </c>
      <c r="C587" s="21">
        <v>9797131308</v>
      </c>
      <c r="D587" s="21" t="s">
        <v>11483</v>
      </c>
      <c r="E587" s="21" t="s">
        <v>11451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11460</v>
      </c>
      <c r="C588" s="21">
        <v>9906377896</v>
      </c>
      <c r="D588" s="21" t="s">
        <v>11484</v>
      </c>
      <c r="E588" s="21" t="s">
        <v>11461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11445</v>
      </c>
      <c r="C589" s="21">
        <v>9622600868</v>
      </c>
      <c r="D589" s="21" t="s">
        <v>11485</v>
      </c>
      <c r="E589" s="21" t="s">
        <v>11452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11497</v>
      </c>
      <c r="E590" s="21" t="s">
        <v>11498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11476</v>
      </c>
      <c r="C591" s="21">
        <v>8899528913</v>
      </c>
      <c r="D591" s="21" t="s">
        <v>11514</v>
      </c>
      <c r="E591" s="21" t="s">
        <v>11486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11480</v>
      </c>
      <c r="C592" s="21">
        <v>7006231817</v>
      </c>
      <c r="D592" s="21" t="s">
        <v>11516</v>
      </c>
      <c r="E592" s="21" t="s">
        <v>11487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11495</v>
      </c>
      <c r="C593" s="21">
        <v>9419093820</v>
      </c>
      <c r="D593" s="21" t="s">
        <v>11517</v>
      </c>
      <c r="E593" s="21" t="s">
        <v>11500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11518</v>
      </c>
      <c r="E594" s="21" t="s">
        <v>11509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11506</v>
      </c>
      <c r="C595" s="21">
        <v>9622701314</v>
      </c>
      <c r="D595" s="21" t="s">
        <v>11519</v>
      </c>
      <c r="E595" s="21" t="s">
        <v>11510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11492</v>
      </c>
      <c r="C596" s="21">
        <v>9622647542</v>
      </c>
      <c r="D596" s="21" t="s">
        <v>11521</v>
      </c>
      <c r="E596" s="21" t="s">
        <v>11501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11472</v>
      </c>
      <c r="C597" s="21">
        <v>7889705631</v>
      </c>
      <c r="D597" s="21" t="s">
        <v>11522</v>
      </c>
      <c r="E597" s="21" t="s">
        <v>11488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11529</v>
      </c>
      <c r="C598" s="21">
        <v>6006350073</v>
      </c>
      <c r="D598" s="21" t="s">
        <v>11556</v>
      </c>
      <c r="E598" s="21" t="s">
        <v>11528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11535</v>
      </c>
      <c r="C599" s="21">
        <v>8899098549</v>
      </c>
      <c r="D599" s="21" t="s">
        <v>11569</v>
      </c>
      <c r="E599" s="21" t="s">
        <v>11537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11570</v>
      </c>
      <c r="C600" s="21">
        <v>7006246665</v>
      </c>
      <c r="D600" s="21" t="s">
        <v>11571</v>
      </c>
      <c r="E600" s="21" t="s">
        <v>11520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11583</v>
      </c>
      <c r="E601" s="21" t="s">
        <v>11565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11575</v>
      </c>
      <c r="C602" s="21">
        <v>9622773989</v>
      </c>
      <c r="D602" s="21" t="s">
        <v>11584</v>
      </c>
      <c r="E602" s="21" t="s">
        <v>11580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11589</v>
      </c>
      <c r="C603" s="21">
        <v>6006567480</v>
      </c>
      <c r="D603" s="21" t="s">
        <v>11590</v>
      </c>
      <c r="E603" s="21" t="s">
        <v>11591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11578</v>
      </c>
      <c r="C604" s="21">
        <v>7006560058</v>
      </c>
      <c r="D604" s="21" t="s">
        <v>11592</v>
      </c>
      <c r="E604" s="21" t="s">
        <v>11581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 t="s">
        <v>11605</v>
      </c>
      <c r="C605" s="21">
        <v>8082780835</v>
      </c>
      <c r="D605" s="21" t="s">
        <v>11616</v>
      </c>
      <c r="E605" s="21" t="s">
        <v>11607</v>
      </c>
      <c r="F605" s="14">
        <v>46203</v>
      </c>
      <c r="G605" s="14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1" t="s">
        <v>11600</v>
      </c>
      <c r="C606" s="21">
        <v>7006438844</v>
      </c>
      <c r="D606" s="21" t="s">
        <v>11617</v>
      </c>
      <c r="E606" s="21" t="s">
        <v>11608</v>
      </c>
      <c r="F606" s="14">
        <v>46203</v>
      </c>
      <c r="G606" s="14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1" t="s">
        <v>11596</v>
      </c>
      <c r="C607" s="21">
        <v>9086419987</v>
      </c>
      <c r="D607" s="21" t="s">
        <v>11618</v>
      </c>
      <c r="E607" s="21" t="s">
        <v>11597</v>
      </c>
      <c r="F607" s="14">
        <v>46203</v>
      </c>
      <c r="G607" s="14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11196</v>
      </c>
      <c r="C608" s="12">
        <v>7006588862</v>
      </c>
      <c r="D608" s="12" t="s">
        <v>11619</v>
      </c>
      <c r="E608" s="12" t="s">
        <v>11615</v>
      </c>
      <c r="F608" s="14">
        <v>46203</v>
      </c>
      <c r="G608" s="14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11031</v>
      </c>
      <c r="C609" s="12">
        <v>9682138541</v>
      </c>
      <c r="D609" s="12" t="s">
        <v>11620</v>
      </c>
      <c r="E609" s="12" t="s">
        <v>11033</v>
      </c>
      <c r="F609" s="14">
        <v>46203</v>
      </c>
      <c r="G609" s="14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7006172661</v>
      </c>
      <c r="D610" s="12" t="s">
        <v>11621</v>
      </c>
      <c r="E610" s="12" t="s">
        <v>10749</v>
      </c>
      <c r="F610" s="14">
        <v>46203</v>
      </c>
      <c r="G610" s="14" t="s">
        <v>337</v>
      </c>
      <c r="H610" s="12"/>
    </row>
    <row r="611" spans="1:8" ht="15.75" x14ac:dyDescent="0.25">
      <c r="A611" s="12">
        <f t="shared" si="9"/>
        <v>609</v>
      </c>
      <c r="B611" s="12" t="s">
        <v>11682</v>
      </c>
      <c r="C611" s="12">
        <v>7006713773</v>
      </c>
      <c r="D611" s="12" t="s">
        <v>11656</v>
      </c>
      <c r="E611" s="12" t="s">
        <v>11645</v>
      </c>
      <c r="F611" s="14">
        <v>46205</v>
      </c>
      <c r="G611" s="14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11626</v>
      </c>
      <c r="C612" s="12">
        <v>9596170967</v>
      </c>
      <c r="D612" s="12" t="s">
        <v>11659</v>
      </c>
      <c r="E612" s="12" t="s">
        <v>11643</v>
      </c>
      <c r="F612" s="14">
        <v>46204</v>
      </c>
      <c r="G612" s="14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11625</v>
      </c>
      <c r="C613" s="12">
        <v>7780830410</v>
      </c>
      <c r="D613" s="12" t="s">
        <v>11660</v>
      </c>
      <c r="E613" s="12" t="s">
        <v>11644</v>
      </c>
      <c r="F613" s="14">
        <v>46204</v>
      </c>
      <c r="G613" s="14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11539</v>
      </c>
      <c r="C614" s="12">
        <v>7006598384</v>
      </c>
      <c r="D614" s="12" t="s">
        <v>11662</v>
      </c>
      <c r="E614" s="12" t="s">
        <v>11538</v>
      </c>
      <c r="F614" s="14">
        <v>46204</v>
      </c>
      <c r="G614" s="14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11664</v>
      </c>
      <c r="C615" s="12">
        <v>7006125015</v>
      </c>
      <c r="D615" s="12" t="s">
        <v>11663</v>
      </c>
      <c r="E615" s="12" t="s">
        <v>936</v>
      </c>
      <c r="F615" s="14">
        <v>46204</v>
      </c>
      <c r="G615" s="14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11642</v>
      </c>
      <c r="C616" s="12">
        <v>8899111905</v>
      </c>
      <c r="D616" s="12" t="s">
        <v>11665</v>
      </c>
      <c r="E616" s="12" t="s">
        <v>11646</v>
      </c>
      <c r="F616" s="14">
        <v>46204</v>
      </c>
      <c r="G616" s="14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11669</v>
      </c>
      <c r="C617" s="12">
        <v>6006239704</v>
      </c>
      <c r="D617" s="12" t="s">
        <v>11676</v>
      </c>
      <c r="E617" s="12" t="s">
        <v>11670</v>
      </c>
      <c r="F617" s="14">
        <v>46204</v>
      </c>
      <c r="G617" s="14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11651</v>
      </c>
      <c r="C618" s="12">
        <v>7889749147</v>
      </c>
      <c r="D618" s="12" t="s">
        <v>11689</v>
      </c>
      <c r="E618" s="12" t="s">
        <v>11658</v>
      </c>
      <c r="F618" s="14">
        <v>46204</v>
      </c>
      <c r="G618" s="14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11686</v>
      </c>
      <c r="C619" s="12">
        <v>9906667265</v>
      </c>
      <c r="D619" s="12" t="s">
        <v>11690</v>
      </c>
      <c r="E619" s="12" t="s">
        <v>11687</v>
      </c>
      <c r="F619" s="14">
        <v>46204</v>
      </c>
      <c r="G619" s="14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11691</v>
      </c>
      <c r="C620" s="12">
        <v>6005335080</v>
      </c>
      <c r="D620" s="12" t="s">
        <v>11692</v>
      </c>
      <c r="E620" s="12" t="s">
        <v>11609</v>
      </c>
      <c r="F620" s="14">
        <v>46204</v>
      </c>
      <c r="G620" s="14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11679</v>
      </c>
      <c r="C621" s="12">
        <v>9596080368</v>
      </c>
      <c r="D621" s="12" t="s">
        <v>11713</v>
      </c>
      <c r="E621" s="12" t="s">
        <v>11680</v>
      </c>
      <c r="F621" s="14">
        <v>46206</v>
      </c>
      <c r="G621" s="14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11442</v>
      </c>
      <c r="C622" s="12">
        <v>9149740071</v>
      </c>
      <c r="D622" s="12" t="s">
        <v>11714</v>
      </c>
      <c r="E622" s="12" t="s">
        <v>11453</v>
      </c>
      <c r="F622" s="14">
        <v>46206</v>
      </c>
      <c r="G622" s="14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11715</v>
      </c>
      <c r="C623" s="12">
        <v>6005807002</v>
      </c>
      <c r="D623" s="12" t="s">
        <v>11716</v>
      </c>
      <c r="E623" s="12" t="s">
        <v>11699</v>
      </c>
      <c r="F623" s="14">
        <v>46206</v>
      </c>
      <c r="G623" s="14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11717</v>
      </c>
      <c r="C624" s="12">
        <v>7006247464</v>
      </c>
      <c r="D624" s="12" t="s">
        <v>11718</v>
      </c>
      <c r="E624" s="12" t="s">
        <v>11719</v>
      </c>
      <c r="F624" s="14">
        <v>46206</v>
      </c>
      <c r="G624" s="14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11730</v>
      </c>
      <c r="C625" s="12">
        <v>9086494459</v>
      </c>
      <c r="D625" s="12" t="s">
        <v>11744</v>
      </c>
      <c r="E625" s="12" t="s">
        <v>11733</v>
      </c>
      <c r="F625" s="14">
        <v>46207</v>
      </c>
      <c r="G625" s="14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11727</v>
      </c>
      <c r="C626" s="12">
        <v>6006424311</v>
      </c>
      <c r="D626" s="12" t="s">
        <v>11745</v>
      </c>
      <c r="E626" s="12" t="s">
        <v>11734</v>
      </c>
      <c r="F626" s="14">
        <v>46207</v>
      </c>
      <c r="G626" s="14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11612</v>
      </c>
      <c r="C627" s="12">
        <v>9599281803</v>
      </c>
      <c r="D627" s="12" t="s">
        <v>11746</v>
      </c>
      <c r="E627" s="12" t="s">
        <v>11630</v>
      </c>
      <c r="F627" s="14">
        <v>46207</v>
      </c>
      <c r="G627" s="14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11738</v>
      </c>
      <c r="C628" s="12">
        <v>7006421617</v>
      </c>
      <c r="D628" s="12" t="s">
        <v>11749</v>
      </c>
      <c r="E628" s="12" t="s">
        <v>11747</v>
      </c>
      <c r="F628" s="14">
        <v>46207</v>
      </c>
      <c r="G628" s="14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11754</v>
      </c>
      <c r="C629" s="12">
        <v>7006171701</v>
      </c>
      <c r="D629" s="12" t="s">
        <v>11755</v>
      </c>
      <c r="E629" s="12" t="s">
        <v>11720</v>
      </c>
      <c r="F629" s="14">
        <v>46209</v>
      </c>
      <c r="G629" s="14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11782</v>
      </c>
      <c r="E630" s="12" t="s">
        <v>11769</v>
      </c>
      <c r="F630" s="14">
        <v>46210</v>
      </c>
      <c r="G630" s="14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11783</v>
      </c>
      <c r="E631" s="12" t="s">
        <v>11768</v>
      </c>
      <c r="F631" s="14">
        <v>46210</v>
      </c>
      <c r="G631" s="14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11752</v>
      </c>
      <c r="C632" s="12">
        <v>9682595915</v>
      </c>
      <c r="D632" s="12" t="s">
        <v>11789</v>
      </c>
      <c r="E632" s="12" t="s">
        <v>11756</v>
      </c>
      <c r="F632" s="14">
        <v>46210</v>
      </c>
      <c r="G632" s="14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11787</v>
      </c>
      <c r="C633" s="12">
        <v>9596033371</v>
      </c>
      <c r="D633" s="12" t="s">
        <v>11790</v>
      </c>
      <c r="E633" s="12" t="s">
        <v>11788</v>
      </c>
      <c r="F633" s="14">
        <v>46210</v>
      </c>
      <c r="G633" s="14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/>
      <c r="C634" s="12"/>
      <c r="D634" s="12"/>
      <c r="E634" s="12"/>
      <c r="F634" s="14"/>
      <c r="G634" s="14"/>
      <c r="H634" s="12"/>
    </row>
    <row r="635" spans="1:8" ht="15.75" x14ac:dyDescent="0.25">
      <c r="A635" s="12">
        <f t="shared" si="9"/>
        <v>633</v>
      </c>
      <c r="B635" s="12"/>
      <c r="C635" s="12"/>
      <c r="D635" s="12"/>
      <c r="E635" s="12"/>
      <c r="F635" s="14"/>
      <c r="G635" s="14"/>
      <c r="H635" s="12"/>
    </row>
    <row r="636" spans="1:8" ht="15.75" x14ac:dyDescent="0.25">
      <c r="A636" s="12">
        <f t="shared" si="9"/>
        <v>634</v>
      </c>
      <c r="B636" s="12"/>
      <c r="C636" s="12"/>
      <c r="D636" s="12"/>
      <c r="E636" s="12"/>
      <c r="F636" s="14"/>
      <c r="G636" s="14"/>
      <c r="H636" s="12"/>
    </row>
    <row r="637" spans="1:8" ht="15.75" x14ac:dyDescent="0.25">
      <c r="A637" s="12">
        <f t="shared" si="9"/>
        <v>635</v>
      </c>
      <c r="B637" s="12"/>
      <c r="C637" s="12"/>
      <c r="D637" s="12"/>
      <c r="E637" s="12"/>
      <c r="F637" s="14"/>
      <c r="G637" s="14"/>
      <c r="H637" s="12"/>
    </row>
    <row r="638" spans="1:8" ht="15.75" x14ac:dyDescent="0.25">
      <c r="A638" s="12">
        <f t="shared" si="9"/>
        <v>636</v>
      </c>
      <c r="B638" s="12"/>
      <c r="C638" s="12"/>
      <c r="D638" s="12"/>
      <c r="E638" s="12"/>
      <c r="F638" s="14"/>
      <c r="G638" s="14"/>
      <c r="H638" s="12"/>
    </row>
  </sheetData>
  <mergeCells count="1">
    <mergeCell ref="A1:H1"/>
  </mergeCells>
  <phoneticPr fontId="26" type="noConversion"/>
  <conditionalFormatting sqref="B568:E587 C586:E590 B588 B589:E595 E595:E597 B596:D597 B598:E609 D610">
    <cfRule type="expression" dxfId="1" priority="6">
      <formula>CELL("row")=ROW()</formula>
    </cfRule>
  </conditionalFormatting>
  <conditionalFormatting sqref="B612:E634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3" t="s">
        <v>10712</v>
      </c>
      <c r="B1" s="53"/>
      <c r="C1" s="42"/>
      <c r="D1" s="36"/>
    </row>
    <row r="2" spans="1:6" ht="23.25" x14ac:dyDescent="0.35">
      <c r="A2" s="54" t="s">
        <v>10713</v>
      </c>
      <c r="B2" s="54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2026-07-07T12:19:07Z</dcterms:modified>
</cp:coreProperties>
</file>