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2FD0C67-34E8-41DF-8099-AE6A08EEEAF8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61" i="7" l="1"/>
  <c r="A562" i="7"/>
  <c r="A563" i="7"/>
  <c r="A564" i="7"/>
  <c r="H855" i="4"/>
  <c r="H856" i="4"/>
  <c r="H857" i="4"/>
  <c r="H858" i="4"/>
  <c r="H859" i="4"/>
  <c r="H860" i="4"/>
  <c r="A855" i="4"/>
  <c r="A856" i="4"/>
  <c r="A857" i="4"/>
  <c r="A858" i="4"/>
  <c r="A859" i="4"/>
  <c r="A860" i="4"/>
  <c r="H852" i="4" l="1"/>
  <c r="H853" i="4"/>
  <c r="H854" i="4"/>
  <c r="A852" i="4"/>
  <c r="A853" i="4"/>
  <c r="A854" i="4"/>
  <c r="H847" i="4"/>
  <c r="H848" i="4"/>
  <c r="H851" i="4"/>
  <c r="H849" i="4"/>
  <c r="H850" i="4"/>
  <c r="A847" i="4"/>
  <c r="A848" i="4"/>
  <c r="A851" i="4"/>
  <c r="A849" i="4"/>
  <c r="A850" i="4"/>
  <c r="A553" i="7"/>
  <c r="A554" i="7"/>
  <c r="A555" i="7"/>
  <c r="A556" i="7"/>
  <c r="A557" i="7"/>
  <c r="A558" i="7"/>
  <c r="A559" i="7"/>
  <c r="A560" i="7"/>
  <c r="H842" i="4" l="1"/>
  <c r="H843" i="4"/>
  <c r="H844" i="4"/>
  <c r="H845" i="4"/>
  <c r="H846" i="4"/>
  <c r="A842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0" i="4"/>
  <c r="H831" i="4"/>
  <c r="H832" i="4"/>
  <c r="H833" i="4"/>
  <c r="H834" i="4"/>
  <c r="H835" i="4"/>
  <c r="H836" i="4"/>
  <c r="H837" i="4"/>
  <c r="H839" i="4"/>
  <c r="H840" i="4"/>
  <c r="H841" i="4"/>
  <c r="A829" i="4"/>
  <c r="A830" i="4"/>
  <c r="A831" i="4"/>
  <c r="A832" i="4"/>
  <c r="A833" i="4"/>
  <c r="A834" i="4"/>
  <c r="A835" i="4"/>
  <c r="A836" i="4"/>
  <c r="A837" i="4"/>
  <c r="A839" i="4"/>
  <c r="A840" i="4"/>
  <c r="A841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821" i="4"/>
  <c r="H822" i="4"/>
  <c r="H823" i="4"/>
  <c r="H824" i="4"/>
  <c r="A820" i="4"/>
  <c r="A821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07" i="4" l="1"/>
  <c r="H808" i="4"/>
  <c r="H809" i="4"/>
  <c r="H810" i="4"/>
  <c r="H811" i="4"/>
  <c r="H812" i="4"/>
  <c r="H814" i="4"/>
  <c r="H815" i="4"/>
  <c r="H816" i="4"/>
  <c r="H817" i="4"/>
  <c r="H818" i="4"/>
  <c r="H819" i="4"/>
  <c r="A807" i="4"/>
  <c r="A808" i="4"/>
  <c r="A809" i="4"/>
  <c r="A810" i="4"/>
  <c r="A811" i="4"/>
  <c r="A812" i="4"/>
  <c r="A814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792" i="4"/>
  <c r="H793" i="4"/>
  <c r="H794" i="4"/>
  <c r="H795" i="4"/>
  <c r="H796" i="4"/>
  <c r="H797" i="4"/>
  <c r="H800" i="4"/>
  <c r="A791" i="4"/>
  <c r="A792" i="4"/>
  <c r="A793" i="4"/>
  <c r="A794" i="4"/>
  <c r="A795" i="4"/>
  <c r="A796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2" i="4"/>
  <c r="H539" i="4"/>
  <c r="H540" i="4"/>
  <c r="H541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645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4" i="4"/>
  <c r="H735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735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645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2" i="4"/>
  <c r="A540" i="4"/>
  <c r="A541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33" i="4"/>
  <c r="A346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<sst xmlns="http://schemas.openxmlformats.org/spreadsheetml/2006/main" count="27990" uniqueCount="11257">
  <si>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</si>
  <si>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</si>
  <si>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</si>
  <si>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</si>
  <si>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</si>
  <si>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</si>
  <si>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</si>
  <si>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</si>
  <si>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</si>
  <si>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</si>
  <si>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</si>
  <si>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</si>
  <si>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</si>
  <si>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</si>
  <si>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</si>
  <si>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</si>
  <si>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</si>
  <si>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</si>
  <si>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</si>
  <si>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</si>
  <si>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</si>
  <si>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</si>
  <si>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</si>
  <si>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</si>
  <si>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</si>
  <si>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</si>
  <si>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</si>
  <si>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</si>
  <si>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</si>
  <si>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</si>
  <si>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</si>
  <si>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</si>
  <si>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</si>
  <si>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</si>
  <si>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</si>
  <si>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</si>
  <si>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</si>
  <si>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</si>
  <si>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</si>
  <si>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</si>
  <si>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</si>
  <si>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</si>
  <si>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</si>
  <si>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</si>
  <si>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</si>
  <si>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</si>
  <si>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</si>
  <si>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</si>
  <si>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</si>
  <si>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</si>
  <si>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</si>
  <si>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</si>
  <si>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</si>
  <si>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</si>
  <si>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</si>
  <si>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</si>
  <si>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</si>
  <si>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</si>
  <si>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</si>
  <si>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</si>
  <si>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</si>
  <si>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</si>
  <si>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</si>
  <si>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</si>
  <si>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</si>
  <si>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</si>
  <si>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</si>
  <si>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</si>
  <si>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</si>
  <si>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</si>
  <si>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</si>
  <si>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</si>
  <si>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</si>
  <si>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</si>
  <si>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</si>
  <si>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</si>
  <si>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</si>
  <si>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</si>
  <si>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</si>
  <si>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</si>
  <si>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</si>
  <si>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</si>
  <si>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</si>
  <si>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</si>
  <si>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</si>
  <si>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</si>
  <si>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</si>
  <si>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</si>
  <si>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</si>
  <si>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</si>
  <si>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</si>
  <si>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</si>
  <si>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</si>
  <si>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</si>
  <si>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</si>
  <si>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</si>
  <si>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</si>
  <si>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</si>
  <si>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</si>
  <si>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</si>
  <si>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</si>
  <si>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</si>
  <si>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</si>
  <si>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</si>
  <si>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</si>
  <si>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</si>
  <si>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</si>
  <si>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</si>
  <si>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</si>
  <si>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</si>
  <si>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</si>
  <si>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</si>
  <si>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</si>
  <si>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</si>
  <si>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</si>
  <si>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</si>
  <si>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</si>
  <si>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</si>
  <si>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</si>
  <si>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</si>
  <si>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</si>
  <si>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</si>
  <si>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</si>
  <si>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</si>
  <si>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</si>
  <si>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</si>
  <si>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</si>
  <si>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</si>
  <si>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</si>
  <si>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</si>
  <si>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</si>
  <si>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</si>
  <si>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</si>
  <si>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</si>
  <si>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</si>
  <si>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</si>
  <si>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</si>
  <si>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</si>
  <si>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</si>
  <si>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</si>
  <si>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</si>
  <si>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</si>
  <si>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</si>
  <si>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</si>
  <si>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</si>
  <si>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</si>
  <si>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</si>
  <si>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</si>
  <si>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</si>
  <si>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</si>
  <si>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</si>
  <si>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</si>
  <si>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</si>
  <si>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</si>
  <si>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</si>
  <si>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</si>
  <si>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</si>
  <si>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</si>
  <si>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</si>
  <si>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</si>
  <si>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</si>
  <si>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</si>
  <si>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</si>
  <si>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</si>
  <si>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</si>
  <si>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</si>
  <si>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</si>
  <si>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</si>
  <si>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</si>
  <si>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</si>
  <si>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</si>
  <si>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</si>
  <si>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</si>
  <si>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</si>
  <si>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</si>
  <si>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</si>
  <si>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</si>
  <si>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</si>
  <si>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</si>
  <si>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</si>
  <si>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</si>
  <si>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</si>
  <si>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</si>
  <si>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</si>
  <si>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</si>
  <si>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</si>
  <si>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</si>
  <si>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</si>
  <si>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</si>
  <si>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</si>
  <si>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</si>
  <si>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</si>
  <si>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</si>
  <si>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</si>
  <si>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</si>
  <si>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</si>
  <si>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</si>
  <si>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</si>
  <si>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</si>
  <si>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</si>
  <si>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</si>
  <si>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</si>
  <si>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</si>
  <si>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</si>
  <si>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</si>
  <si>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</si>
  <si>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</si>
  <si>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</si>
  <si>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</si>
  <si>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</si>
  <si>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</si>
  <si>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</si>
  <si>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</si>
  <si>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</si>
  <si>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</si>
  <si>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</si>
  <si>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</si>
  <si>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</si>
  <si>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</si>
  <si>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</si>
  <si>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</si>
  <si>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</si>
  <si>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</si>
  <si>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</si>
  <si>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</si>
  <si>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</si>
  <si>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</si>
  <si>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</si>
  <si>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</si>
  <si>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</si>
  <si>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</si>
  <si>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</si>
  <si>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</si>
  <si>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</si>
  <si>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</si>
  <si>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</si>
  <si>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</si>
  <si>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</si>
  <si>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</si>
  <si>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</si>
  <si>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</si>
  <si>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</si>
  <si>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</si>
  <si>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</si>
  <si>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</si>
  <si>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</si>
  <si>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</si>
  <si>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</si>
  <si>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</si>
  <si>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</si>
  <si>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</si>
  <si>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</si>
  <si>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</si>
  <si>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</si>
  <si>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</si>
  <si>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</si>
  <si>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</si>
  <si>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</si>
  <si>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</si>
  <si>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</si>
  <si>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</si>
  <si>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</si>
  <si>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</si>
  <si>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</si>
  <si>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</si>
  <si>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</si>
  <si>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</si>
  <si>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</si>
  <si>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</si>
  <si>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</si>
  <si>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</si>
  <si>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</si>
  <si>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</si>
  <si>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</si>
  <si>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</si>
  <si>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</si>
  <si>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</si>
  <si>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</si>
  <si>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</si>
  <si>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</si>
  <si>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</si>
  <si>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</si>
  <si>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</si>
  <si>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</si>
  <si>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</si>
  <si>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</si>
  <si>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</si>
  <si>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</si>
  <si>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</si>
  <si>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</si>
  <si>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</si>
  <si>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</si>
  <si>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</si>
  <si>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</si>
  <si>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</si>
  <si>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</si>
  <si>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</si>
  <si>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</si>
  <si>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</si>
  <si>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</si>
  <si>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</si>
  <si>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</si>
  <si>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</si>
  <si>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</si>
  <si>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</si>
  <si>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</si>
  <si>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</si>
  <si>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</si>
  <si>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</si>
  <si>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</si>
  <si>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</si>
  <si>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</si>
  <si>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</si>
  <si>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</si>
  <si>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</si>
  <si>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</si>
  <si>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</si>
  <si>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</si>
  <si>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</si>
  <si>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</si>
  <si>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</si>
  <si>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</si>
  <si>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</si>
  <si>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</si>
  <si>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</si>
  <si>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</si>
  <si>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</si>
  <si>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</si>
  <si>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</si>
  <si>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</si>
  <si>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</si>
  <si>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</si>
  <si>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</si>
  <si>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</si>
  <si>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</si>
  <si>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</si>
  <si>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</si>
  <si>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</si>
  <si>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</si>
  <si>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</si>
  <si>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</si>
  <si>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</si>
  <si>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</si>
  <si>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</si>
  <si>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</si>
  <si>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</si>
  <si>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</si>
  <si>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</si>
  <si>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</si>
  <si>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</si>
  <si>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</si>
  <si>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</si>
  <si>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</si>
  <si>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</si>
  <si>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</si>
  <si>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</si>
  <si>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</si>
  <si>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</si>
  <si>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</si>
  <si>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</si>
  <si>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</si>
  <si>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</si>
  <si>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</si>
  <si>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</si>
  <si>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</si>
  <si>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</si>
  <si>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</si>
  <si>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</si>
  <si>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</si>
  <si>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</si>
  <si>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</si>
  <si>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</si>
  <si>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</si>
  <si>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</si>
  <si>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</si>
  <si>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</si>
  <si>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</si>
  <si>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</si>
  <si>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</si>
  <si>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</si>
  <si>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</si>
  <si>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</si>
  <si>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</si>
  <si>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</si>
  <si>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</si>
  <si>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</si>
  <si>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</si>
  <si>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</si>
  <si>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</si>
  <si>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</si>
  <si>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</si>
  <si>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</si>
  <si>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</si>
  <si>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</si>
  <si>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</si>
  <si>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</si>
  <si>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</si>
  <si>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</si>
  <si>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</si>
  <si>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</si>
  <si>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</si>
  <si>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</si>
  <si>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</si>
  <si>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</si>
  <si>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</si>
  <si>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</si>
  <si>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</si>
  <si>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</si>
  <si>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</si>
  <si>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</si>
  <si>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</si>
  <si>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</si>
  <si>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</si>
  <si>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</si>
  <si>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</si>
  <si>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</si>
  <si>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</si>
  <si>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</si>
  <si>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</si>
  <si>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</si>
  <si>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</si>
  <si>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</si>
  <si>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</si>
  <si>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</si>
  <si>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</si>
  <si>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</si>
  <si>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</si>
  <si>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</si>
  <si>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</si>
  <si>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</si>
  <si>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</si>
  <si>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</si>
  <si>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</si>
  <si>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</si>
  <si>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</si>
  <si>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</si>
  <si>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</si>
  <si>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</si>
  <si>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</si>
  <si>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</si>
  <si>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</si>
  <si>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</si>
  <si>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</si>
  <si>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</si>
  <si>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</si>
  <si>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</si>
  <si>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</si>
  <si>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</si>
  <si>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</si>
  <si>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</si>
  <si>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</si>
  <si>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</si>
  <si>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</si>
  <si>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</si>
  <si>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</si>
  <si>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</si>
  <si>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</si>
  <si>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</si>
  <si>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</si>
  <si>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</si>
  <si>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</si>
  <si>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</si>
  <si>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</si>
  <si>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</si>
  <si>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</si>
  <si>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</si>
  <si>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</si>
  <si>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</si>
  <si>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</si>
  <si>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</si>
  <si>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</si>
  <si>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</si>
  <si>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</si>
  <si>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</si>
  <si>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</si>
  <si>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</si>
  <si>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</si>
  <si>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</si>
  <si>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</si>
  <si>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</si>
  <si>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</si>
  <si>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</si>
  <si>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</si>
  <si>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</si>
  <si>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</si>
  <si>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</si>
  <si>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</si>
  <si>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</si>
  <si>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</si>
  <si>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</si>
  <si>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</si>
  <si>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</si>
  <si>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</si>
  <si>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</si>
  <si>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</si>
  <si>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</si>
  <si>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</si>
  <si>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</si>
  <si>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</si>
  <si>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</si>
  <si>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</si>
  <si>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</si>
  <si>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</si>
  <si>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</si>
  <si>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</si>
  <si>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</si>
  <si>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</si>
  <si>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</si>
  <si>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</si>
  <si>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</si>
  <si>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</si>
  <si>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</si>
  <si>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</si>
  <si>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</si>
  <si>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</si>
  <si>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</si>
  <si>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</si>
  <si>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</si>
  <si>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</si>
  <si>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</si>
  <si>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</si>
  <si>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</si>
  <si>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</si>
  <si>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</si>
  <si>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</si>
  <si>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</si>
  <si>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</si>
  <si>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</si>
  <si>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</si>
  <si>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</si>
  <si>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</si>
  <si>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</si>
  <si>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</si>
  <si>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</si>
  <si>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</si>
  <si>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</si>
  <si>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</si>
  <si>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</si>
  <si>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</si>
  <si>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</si>
  <si>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</si>
  <si>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</si>
  <si>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</si>
  <si>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</si>
  <si>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</si>
  <si>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</si>
  <si>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</si>
  <si>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</si>
  <si>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</si>
  <si>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</si>
  <si>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</si>
  <si>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</si>
  <si>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</si>
  <si>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</si>
  <si>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</si>
  <si>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</si>
  <si>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</si>
  <si>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</si>
  <si>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</si>
  <si>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</si>
  <si>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</si>
  <si>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</si>
  <si>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</si>
  <si>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</si>
  <si>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</si>
  <si>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</si>
  <si>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</si>
  <si>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</si>
  <si>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</si>
  <si>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</si>
  <si>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</si>
  <si>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</si>
  <si>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</si>
  <si>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</si>
  <si>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</si>
  <si>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</si>
  <si>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</si>
  <si>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</si>
  <si>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</si>
  <si>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</si>
  <si>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</si>
  <si>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</si>
  <si>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</si>
  <si>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</si>
  <si>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</si>
  <si>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</si>
  <si>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</si>
  <si>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</si>
  <si>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</si>
  <si>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</si>
  <si>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</si>
  <si>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</si>
  <si>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</si>
  <si>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</si>
  <si>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</si>
  <si>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</si>
  <si>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</si>
  <si>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</si>
  <si>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</si>
  <si>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</si>
  <si>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</si>
  <si>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</si>
  <si>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</si>
  <si>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</si>
  <si>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</si>
  <si>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</si>
  <si>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</si>
  <si>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</si>
  <si>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</si>
  <si>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</si>
  <si>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</si>
  <si>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</si>
  <si>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</si>
  <si>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</si>
  <si>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</si>
  <si>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</si>
  <si>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</si>
  <si>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</si>
  <si>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</si>
  <si>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</si>
  <si>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</si>
  <si>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</si>
  <si>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</si>
  <si>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</si>
  <si>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</si>
  <si>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</si>
  <si>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</si>
  <si>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</si>
  <si>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</si>
  <si>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</si>
  <si>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</si>
  <si>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</si>
  <si>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</si>
  <si>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</si>
  <si>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</si>
  <si>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</si>
  <si>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</si>
  <si>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</si>
  <si>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</si>
  <si>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</si>
  <si>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</si>
  <si>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</si>
  <si>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</si>
  <si>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</si>
  <si>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</si>
  <si>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</si>
  <si>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</si>
  <si>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</si>
  <si>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</si>
  <si>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</si>
  <si>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</si>
  <si>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</si>
  <si>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</si>
  <si>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</si>
  <si>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</si>
  <si>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</si>
  <si>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</si>
  <si>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</si>
  <si>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</si>
  <si>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</si>
  <si>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</si>
  <si>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</si>
  <si>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</si>
  <si>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</si>
  <si>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</si>
  <si>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</si>
  <si>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</si>
  <si>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</si>
  <si>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</si>
  <si>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</si>
  <si>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</si>
  <si>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</si>
  <si>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</si>
  <si>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</si>
  <si>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</si>
  <si>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</si>
  <si>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</si>
  <si>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</si>
  <si>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</si>
  <si>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</si>
  <si>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</si>
  <si>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</si>
  <si>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</si>
  <si>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</si>
  <si>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</si>
  <si>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</si>
  <si>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</si>
  <si>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</si>
  <si>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</si>
  <si>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</si>
  <si>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</si>
  <si>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</si>
  <si>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</si>
  <si>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</si>
  <si>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</si>
  <si>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</si>
  <si>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</si>
  <si>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</si>
  <si>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</si>
  <si>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</si>
  <si>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</si>
  <si>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</si>
  <si>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</si>
  <si>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</si>
  <si>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</si>
  <si>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</si>
  <si>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</si>
  <si>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</si>
  <si>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</si>
  <si>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</si>
  <si>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</si>
  <si>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</si>
  <si>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</si>
  <si>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</si>
  <si>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</si>
  <si>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</si>
  <si>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</si>
  <si>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</si>
  <si>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</si>
  <si>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</si>
  <si>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</si>
  <si>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</si>
  <si>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</si>
  <si>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</si>
  <si>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</si>
  <si>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</si>
  <si>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</si>
  <si>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</si>
  <si>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</si>
  <si>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</si>
  <si>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</si>
  <si>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</si>
  <si>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</si>
  <si>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</si>
  <si>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</si>
  <si>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</si>
  <si>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</si>
  <si>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</si>
  <si>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</si>
  <si>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</si>
  <si>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</si>
  <si>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</si>
  <si>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</si>
  <si>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</si>
  <si>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</si>
  <si>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</si>
  <si>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</si>
  <si>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</si>
  <si>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</si>
  <si>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</si>
  <si>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</si>
  <si>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</si>
  <si>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</si>
  <si>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</si>
  <si>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</si>
  <si>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</si>
  <si>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</si>
  <si>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</si>
  <si>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</si>
  <si>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</si>
  <si>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</si>
  <si>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</si>
  <si>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</si>
  <si>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</si>
  <si>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</si>
  <si>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</si>
  <si>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</si>
  <si>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</si>
  <si>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</si>
  <si>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</si>
  <si>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</si>
  <si>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</si>
  <si>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</si>
  <si>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</si>
  <si>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</si>
  <si>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</si>
  <si>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</si>
  <si>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</si>
  <si>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</si>
  <si>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</si>
  <si>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</si>
  <si>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</si>
  <si>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</si>
  <si>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</si>
  <si>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</si>
  <si>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</si>
  <si>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</si>
  <si>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</si>
  <si>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</si>
  <si>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</si>
  <si>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</si>
  <si>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</si>
  <si>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</si>
  <si>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</si>
  <si>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</si>
  <si>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</si>
  <si>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</si>
  <si>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</si>
  <si>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</si>
  <si>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</si>
  <si>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</si>
  <si>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</si>
  <si>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</si>
  <si>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</si>
  <si>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</si>
  <si>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</si>
  <si>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</si>
  <si>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</si>
  <si>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</si>
  <si>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</si>
  <si>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</si>
  <si>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</si>
  <si>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</si>
  <si>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</si>
  <si>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</si>
  <si>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</si>
  <si>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</si>
  <si>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</si>
  <si>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</si>
  <si>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</si>
  <si>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</si>
  <si>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</si>
  <si>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</si>
  <si>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</si>
  <si>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</si>
  <si>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</si>
  <si>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</si>
  <si>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</si>
  <si>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</si>
  <si>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</si>
  <si>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</si>
  <si>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</si>
  <si>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</si>
  <si>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</si>
  <si>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</si>
  <si>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</si>
  <si>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</si>
  <si>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</si>
  <si>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</si>
  <si>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</si>
  <si>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</si>
  <si>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</si>
  <si>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</si>
  <si>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</si>
  <si>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</si>
  <si>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</si>
  <si>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</si>
  <si>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</si>
  <si>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</si>
  <si>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</si>
  <si>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</si>
  <si>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</si>
  <si>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</si>
  <si>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</si>
  <si>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</si>
  <si>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</si>
  <si>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</si>
  <si>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</si>
  <si>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</si>
  <si>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</si>
  <si>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</si>
  <si>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</si>
  <si>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</si>
  <si>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</si>
  <si>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</si>
  <si>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</si>
  <si>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</si>
  <si>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</si>
  <si>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</si>
  <si>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</si>
  <si>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</si>
  <si>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</si>
  <si>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</si>
  <si>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</si>
  <si>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</si>
  <si>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</si>
  <si>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</si>
  <si>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</si>
  <si>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</si>
  <si>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</si>
  <si>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</si>
  <si>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</si>
  <si>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</si>
  <si>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</si>
  <si>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</si>
  <si>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</si>
  <si>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</si>
  <si>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</si>
  <si>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</si>
  <si>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</si>
  <si>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</si>
  <si>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</si>
  <si>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</si>
  <si>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</si>
  <si>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</si>
  <si>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</si>
  <si>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</si>
  <si>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</si>
  <si>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</si>
  <si>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</si>
  <si>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</si>
  <si>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</si>
  <si>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</si>
  <si>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</si>
  <si>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</si>
  <si>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</si>
  <si>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</si>
  <si>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</si>
  <si>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</si>
  <si>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</si>
  <si>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</si>
  <si>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</si>
  <si>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</si>
  <si>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</si>
  <si>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</si>
  <si>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</si>
  <si>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</si>
  <si>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</si>
  <si>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</si>
  <si>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</si>
  <si>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</si>
  <si>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</si>
  <si>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</si>
  <si>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</si>
  <si>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</si>
  <si>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</si>
  <si>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</si>
  <si>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</si>
  <si>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</si>
  <si>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</si>
  <si>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</si>
  <si>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</si>
  <si>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</si>
  <si>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</si>
  <si>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</si>
  <si>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</si>
  <si>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</si>
  <si>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</si>
  <si>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</si>
  <si>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</si>
  <si>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</si>
  <si>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</si>
  <si>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</si>
  <si>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</si>
  <si>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</si>
  <si>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</si>
  <si>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</si>
  <si>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</si>
  <si>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</si>
  <si>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</si>
  <si>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</si>
  <si>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</si>
  <si>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</si>
  <si>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</si>
  <si>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</si>
  <si>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</si>
  <si>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</si>
  <si>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</si>
  <si>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</si>
  <si>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</si>
  <si>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</si>
  <si>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</si>
  <si>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</si>
  <si>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</si>
  <si>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</si>
  <si>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</si>
  <si>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</si>
  <si>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</si>
  <si>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</si>
  <si>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</si>
  <si>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</si>
  <si>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</si>
  <si>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</si>
  <si>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</si>
  <si>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</si>
  <si>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</si>
  <si>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</si>
  <si>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</si>
  <si>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</si>
  <si>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</si>
  <si>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</si>
  <si>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</si>
  <si>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</si>
  <si>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</si>
  <si>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</si>
  <si>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</si>
  <si>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</si>
  <si>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</si>
  <si>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</si>
  <si>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</si>
  <si>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</si>
  <si>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</si>
  <si>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</si>
  <si>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</si>
  <si>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</si>
  <si>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</si>
  <si>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</si>
  <si>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</si>
  <si>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</si>
  <si>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</si>
  <si>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</si>
  <si>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</si>
  <si>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</si>
  <si>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</si>
  <si>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</si>
  <si>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</si>
  <si>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</si>
  <si>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</si>
  <si>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</si>
  <si>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</si>
  <si>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</si>
  <si>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</si>
  <si>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</si>
  <si>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</si>
  <si>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</si>
  <si>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</si>
  <si>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</si>
  <si>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</si>
  <si>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</si>
  <si>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</si>
  <si>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</si>
  <si>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</si>
  <si>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</si>
  <si>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</si>
  <si>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</si>
  <si>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</si>
  <si>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</si>
  <si>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</si>
  <si>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</si>
  <si>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</si>
  <si>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</si>
  <si>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</si>
  <si>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</si>
  <si>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</si>
  <si>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</si>
  <si>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</si>
  <si>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</si>
  <si>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</si>
  <si>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</si>
  <si>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</si>
  <si>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</si>
  <si>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</si>
  <si>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</si>
  <si>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</si>
  <si>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</si>
  <si>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</si>
  <si>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</si>
  <si>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</si>
  <si>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</si>
  <si>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</si>
  <si>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</si>
  <si>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</si>
  <si>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</si>
  <si>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</si>
  <si>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</si>
  <si>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</si>
  <si>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</si>
  <si>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</si>
  <si>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</si>
  <si>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</si>
  <si>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</si>
  <si>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</si>
  <si>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</si>
  <si>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</si>
  <si>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</si>
  <si>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</si>
  <si>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</si>
  <si>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</si>
  <si>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</si>
  <si>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</si>
  <si>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</si>
  <si>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</si>
  <si>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</si>
  <si>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</si>
  <si>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</si>
  <si>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</si>
  <si>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</si>
  <si>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</si>
  <si>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</si>
  <si>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</si>
  <si>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</si>
  <si>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</si>
  <si>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</si>
  <si>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</si>
  <si>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</si>
  <si>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</si>
  <si>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</si>
  <si>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</si>
  <si>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</si>
  <si>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</si>
  <si>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</si>
  <si>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</si>
  <si>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</si>
  <si>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</si>
  <si>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</si>
  <si>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</si>
  <si>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</si>
  <si>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</si>
  <si>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</si>
  <si>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</si>
  <si>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</si>
  <si>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</si>
  <si>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</si>
  <si>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</si>
  <si>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</si>
  <si>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</si>
  <si>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</si>
  <si>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</si>
  <si>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</si>
  <si>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</si>
  <si>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</si>
  <si>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</si>
  <si>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</si>
  <si>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</si>
  <si>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</si>
  <si>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</si>
  <si>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</si>
  <si>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</si>
  <si>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</si>
  <si>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</si>
  <si>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</si>
  <si>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</si>
  <si>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</si>
  <si>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</si>
  <si>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</si>
  <si>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</si>
  <si>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</si>
  <si>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</si>
  <si>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</si>
  <si>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</si>
  <si>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</si>
  <si>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</si>
  <si>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</si>
  <si>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</si>
  <si>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</si>
  <si>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</si>
  <si>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</si>
  <si>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</si>
  <si>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</si>
  <si>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</si>
  <si>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</si>
  <si>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</si>
  <si>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</si>
  <si>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</si>
  <si>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</si>
  <si>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</si>
  <si>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</si>
  <si>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</si>
  <si>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</si>
  <si>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</si>
  <si>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</si>
  <si>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</si>
  <si>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</si>
  <si>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</si>
  <si>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</si>
  <si>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</si>
  <si>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</si>
  <si>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</si>
  <si>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</si>
  <si>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</si>
  <si>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</si>
  <si>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</si>
  <si>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</si>
  <si>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</si>
  <si>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</si>
  <si>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</si>
  <si>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</si>
  <si>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</si>
  <si>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</si>
  <si>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</si>
  <si>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</si>
  <si>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</si>
  <si>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</si>
  <si>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</si>
  <si>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</si>
  <si>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</si>
  <si>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</si>
  <si>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</si>
  <si>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</si>
  <si>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</si>
  <si>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</si>
  <si>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</si>
  <si>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</si>
  <si>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</si>
  <si>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</si>
  <si>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</si>
  <si>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</si>
  <si>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</si>
  <si>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</si>
  <si>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</si>
  <si>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</si>
  <si>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</si>
  <si>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</si>
  <si>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</si>
  <si>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</si>
  <si>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</si>
  <si>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</si>
  <si>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</si>
  <si>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</si>
  <si>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</si>
  <si>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</si>
  <si>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</si>
  <si>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</si>
  <si>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</si>
  <si>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</si>
  <si>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</si>
  <si>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</si>
  <si>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</si>
  <si>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</si>
  <si>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</si>
  <si>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</si>
  <si>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</si>
  <si>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</si>
  <si>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</si>
  <si>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</si>
  <si>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</si>
  <si>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</si>
  <si>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</si>
  <si>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</si>
  <si>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</si>
  <si>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</si>
  <si>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</si>
  <si>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</si>
  <si>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</si>
  <si>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</si>
  <si>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</si>
  <si>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</si>
  <si>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</si>
  <si>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</si>
  <si>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</si>
  <si>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</si>
  <si>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</si>
  <si>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</si>
  <si>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</si>
  <si>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</si>
  <si>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</si>
  <si>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</si>
  <si>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</si>
  <si>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</si>
  <si>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</si>
  <si>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</si>
  <si>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</si>
  <si>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</si>
  <si>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</si>
  <si>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</si>
  <si>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</si>
  <si>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</si>
  <si>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</si>
  <si>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</si>
  <si>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</si>
  <si>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</si>
  <si>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</si>
  <si>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</si>
  <si>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</si>
  <si>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</si>
  <si>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</si>
  <si>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</si>
  <si>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</si>
  <si>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</si>
  <si>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</si>
  <si>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</si>
  <si>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</si>
  <si>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</si>
  <si>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</si>
  <si>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</si>
  <si>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</si>
  <si>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</si>
  <si>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</si>
  <si>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</si>
  <si>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</si>
  <si>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</si>
  <si>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</si>
  <si>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</si>
  <si>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</si>
  <si>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</si>
  <si>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</si>
  <si>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</si>
  <si>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</si>
  <si>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</si>
  <si>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</si>
  <si>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</si>
  <si>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</si>
  <si>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</si>
  <si>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</si>
  <si>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</si>
  <si>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</si>
  <si>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</si>
  <si>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</si>
  <si>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</si>
  <si>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</si>
  <si>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</si>
  <si>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</si>
  <si>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</si>
  <si>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</si>
  <si>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</si>
  <si>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</si>
  <si>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</si>
  <si>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</si>
  <si>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</si>
  <si>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</si>
  <si>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</si>
  <si>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</si>
  <si>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</si>
  <si>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</si>
  <si>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</si>
  <si>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</si>
  <si>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</si>
  <si>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</si>
  <si>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</si>
  <si>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</si>
  <si>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</si>
  <si>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</si>
  <si>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</si>
  <si>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</si>
  <si>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</si>
  <si>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</si>
  <si>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</si>
  <si>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</si>
  <si>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</si>
  <si>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</si>
  <si>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</si>
  <si>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</si>
  <si>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</si>
  <si>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</si>
  <si>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</si>
  <si>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</si>
  <si>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</si>
  <si>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</si>
  <si>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</si>
  <si>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</si>
  <si>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</si>
  <si>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</si>
  <si>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</si>
  <si>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</si>
  <si>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</si>
  <si>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</si>
  <si>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</si>
  <si>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</si>
  <si>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</si>
  <si>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</si>
  <si>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</si>
  <si>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</si>
  <si>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</si>
  <si>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</si>
  <si>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</si>
  <si>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</si>
  <si>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</si>
  <si>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</si>
  <si>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</si>
  <si>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</si>
  <si>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</si>
  <si>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</si>
  <si>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</si>
  <si>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</si>
  <si>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</si>
  <si>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</si>
  <si>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</si>
  <si>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</si>
  <si>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</si>
  <si>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</si>
  <si>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</si>
  <si>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</si>
  <si>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</si>
  <si>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</si>
  <si>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</si>
  <si>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</si>
  <si>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</si>
  <si>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</si>
  <si>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</si>
  <si>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</si>
  <si>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</si>
  <si>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</si>
  <si>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</si>
  <si>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</si>
  <si>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</si>
  <si>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</si>
  <si>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</si>
  <si>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</si>
  <si>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</si>
  <si>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</si>
  <si>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</si>
  <si>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</si>
  <si>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</si>
  <si>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</si>
  <si>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</si>
  <si>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</si>
  <si>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</si>
  <si>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</si>
  <si>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</si>
  <si>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</si>
  <si>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</si>
  <si>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</si>
  <si>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</si>
  <si>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</si>
  <si>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</si>
  <si>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</si>
  <si>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</si>
  <si>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</si>
  <si>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</si>
  <si>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</si>
  <si>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</si>
  <si>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</si>
  <si>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</si>
  <si>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</si>
  <si>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</si>
  <si>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</si>
  <si>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</si>
  <si>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</si>
  <si>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</si>
  <si>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</si>
  <si>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</si>
  <si>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</si>
  <si>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</si>
  <si>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</si>
  <si>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</si>
  <si>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</si>
  <si>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</si>
  <si>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</si>
  <si>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</si>
  <si>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</si>
  <si>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</si>
  <si>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</si>
  <si>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</si>
  <si>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</si>
  <si>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</si>
  <si>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</si>
  <si>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</si>
  <si>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</si>
  <si>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</si>
  <si>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</si>
  <si>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</si>
  <si>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</si>
  <si>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</si>
  <si>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</si>
  <si>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</si>
  <si>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</si>
  <si>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</si>
  <si>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</si>
  <si>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</si>
  <si>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</si>
  <si>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</si>
  <si>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</si>
  <si>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</si>
  <si>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</si>
  <si>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</si>
  <si>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</si>
  <si>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</si>
  <si>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</si>
  <si>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</si>
  <si>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</si>
  <si>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</si>
  <si>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</si>
  <si>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</si>
  <si>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</si>
  <si>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</si>
  <si>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</si>
  <si>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</si>
  <si>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</si>
  <si>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</si>
  <si>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</si>
  <si>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</si>
  <si>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</si>
  <si>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</si>
  <si>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</si>
  <si>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</si>
  <si>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</si>
  <si>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</si>
  <si>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</si>
  <si>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</si>
  <si>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</si>
  <si>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</si>
  <si>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</si>
  <si>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</si>
  <si>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</si>
  <si>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</si>
  <si>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</si>
  <si>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</si>
  <si>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</si>
  <si>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</si>
  <si>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</si>
  <si>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</si>
  <si>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</si>
  <si>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</si>
  <si>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</si>
  <si>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</si>
  <si>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</si>
  <si>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</si>
  <si>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</si>
  <si>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</si>
  <si>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</si>
  <si>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</si>
  <si>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</si>
  <si>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</si>
  <si>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</si>
  <si>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</si>
  <si>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</si>
  <si>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</si>
  <si>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</si>
  <si>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</si>
  <si>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</si>
  <si>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</si>
  <si>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</si>
  <si>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</si>
  <si>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</si>
  <si>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</si>
  <si>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</si>
  <si>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</si>
  <si>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</si>
  <si>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</si>
  <si>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</si>
  <si>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</si>
  <si>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</si>
  <si>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</si>
  <si>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</si>
  <si>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</si>
  <si>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</si>
  <si>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</si>
  <si>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</si>
  <si>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</si>
  <si>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</si>
  <si>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</si>
  <si>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</si>
  <si>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</si>
  <si>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</si>
  <si>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</si>
  <si>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</si>
  <si>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</si>
  <si>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</si>
  <si>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</si>
  <si>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</si>
  <si>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</si>
  <si>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</si>
  <si>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</si>
  <si>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</si>
  <si>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</si>
  <si>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</si>
  <si>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</si>
  <si>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</si>
  <si>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</si>
  <si>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</si>
  <si>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</si>
  <si>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</si>
  <si>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</si>
  <si>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</si>
  <si>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</si>
  <si>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</si>
  <si>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</si>
  <si>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</si>
  <si>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</si>
  <si>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</si>
  <si>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</si>
  <si>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</si>
  <si>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</si>
  <si>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</si>
  <si>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</si>
  <si>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</si>
  <si>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</si>
  <si>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</si>
  <si>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</si>
  <si>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</si>
  <si>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</si>
  <si>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</si>
  <si>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</si>
  <si>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</si>
  <si>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</si>
  <si>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</si>
  <si>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</si>
  <si>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</si>
  <si>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</si>
  <si>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</si>
  <si>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</si>
  <si>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</si>
  <si>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</si>
  <si>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</si>
  <si>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</si>
  <si>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</si>
  <si>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</si>
  <si>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</si>
  <si>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</si>
  <si>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</si>
  <si>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</si>
  <si>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</si>
  <si>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</si>
  <si>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</si>
  <si>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</si>
  <si>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</si>
  <si>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</si>
  <si>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</si>
  <si>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</si>
  <si>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</si>
  <si>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</si>
  <si>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</si>
  <si>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</si>
  <si>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</si>
  <si>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</si>
  <si>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</si>
  <si>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</si>
  <si>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</si>
  <si>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</si>
  <si>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</si>
  <si>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</si>
  <si>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</si>
  <si>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</si>
  <si>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</si>
  <si>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</si>
  <si>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</si>
  <si>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</si>
  <si>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</si>
  <si>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</si>
  <si>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</si>
  <si>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</si>
  <si>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</si>
  <si>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</si>
  <si>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</si>
  <si>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</si>
  <si>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</si>
  <si>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</si>
  <si>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</si>
  <si>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</si>
  <si>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</si>
  <si>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</si>
  <si>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</si>
  <si>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</si>
  <si>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</si>
  <si>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</si>
  <si>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</si>
  <si>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</si>
  <si>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</si>
  <si>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</si>
  <si>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</si>
  <si>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</si>
  <si>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</si>
  <si>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</si>
  <si>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</si>
  <si>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</si>
  <si>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</si>
  <si>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</si>
  <si>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</si>
  <si>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</si>
  <si>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</si>
  <si>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</si>
  <si>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</si>
  <si>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</si>
  <si>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</si>
  <si>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</si>
  <si>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</si>
  <si>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</si>
  <si>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</si>
  <si>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</si>
  <si>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</si>
  <si>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</si>
  <si>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</si>
  <si>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</si>
  <si>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</si>
  <si>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</si>
  <si>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</si>
  <si>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</si>
  <si>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</si>
  <si>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</si>
  <si>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</si>
  <si>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</si>
  <si>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</si>
  <si>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</si>
  <si>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</si>
  <si>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</si>
  <si>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</si>
  <si>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</si>
  <si>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</si>
  <si>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</si>
  <si>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</si>
  <si>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</si>
  <si>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</si>
  <si>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</si>
  <si>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</si>
  <si>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</si>
  <si>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</si>
  <si>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</si>
  <si>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</si>
  <si>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</si>
  <si>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</si>
  <si>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</si>
  <si>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</si>
  <si>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</si>
  <si>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</si>
  <si>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</si>
  <si>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</si>
  <si>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</si>
  <si>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</si>
  <si>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</si>
  <si>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</si>
  <si>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</si>
  <si>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</si>
  <si>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</si>
  <si>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</si>
  <si>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</si>
  <si>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</si>
  <si>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</si>
  <si>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</si>
  <si>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</si>
  <si>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</si>
  <si>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</si>
  <si>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</si>
  <si>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</si>
  <si>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</si>
  <si>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</si>
  <si>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</si>
  <si>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</si>
  <si>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</si>
  <si>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</si>
  <si>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</si>
  <si>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</si>
  <si>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</si>
  <si>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</si>
  <si>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</si>
  <si>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</si>
  <si>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</si>
  <si>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</si>
  <si>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</si>
  <si>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</si>
  <si>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</si>
  <si>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</si>
  <si>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</si>
  <si>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</si>
  <si>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</si>
  <si>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</si>
  <si>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</si>
  <si>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</si>
  <si>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</si>
  <si>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</si>
  <si>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</si>
  <si>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</si>
  <si>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</si>
  <si>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</si>
  <si>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</si>
  <si>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</si>
  <si>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</si>
  <si>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</si>
  <si>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</si>
  <si>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</si>
  <si>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</si>
  <si>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</si>
  <si>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</si>
  <si>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</si>
  <si>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</si>
  <si>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</si>
  <si>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</si>
  <si>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</si>
  <si>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</si>
  <si>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</si>
  <si>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</si>
  <si>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</si>
  <si>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</si>
  <si>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</si>
  <si>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</si>
  <si>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</si>
  <si>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</si>
  <si>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</si>
  <si>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</si>
  <si>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</si>
  <si>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</si>
  <si>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</si>
  <si>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</si>
  <si>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</si>
  <si>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</si>
  <si>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</si>
  <si>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</si>
  <si>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</si>
  <si>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</si>
  <si>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</si>
  <si>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</si>
  <si>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</si>
  <si>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</si>
  <si>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</si>
  <si>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</si>
  <si>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</si>
  <si>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</si>
  <si>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</si>
  <si>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</si>
  <si>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</si>
  <si>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</si>
  <si>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</si>
  <si>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</si>
  <si>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</si>
  <si>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</si>
  <si>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</si>
  <si>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</si>
  <si>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</si>
  <si>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</si>
  <si>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</si>
  <si>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</si>
  <si>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</si>
  <si>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</si>
  <si>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</si>
  <si>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</si>
  <si>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</si>
  <si>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</si>
  <si>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</si>
  <si>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</si>
  <si>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</si>
  <si>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</si>
  <si>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</si>
  <si>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</si>
  <si>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</si>
  <si>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</si>
  <si>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</si>
  <si>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</si>
  <si>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</si>
  <si>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</si>
  <si>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</si>
  <si>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</si>
  <si>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</si>
  <si>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</si>
  <si>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</si>
  <si>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</si>
  <si>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</si>
  <si>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</si>
  <si>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</si>
  <si>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</si>
  <si>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</si>
  <si>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</si>
  <si>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</si>
  <si>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</si>
  <si>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</si>
  <si>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</si>
  <si>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</si>
  <si>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</si>
  <si>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</si>
  <si>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</si>
  <si>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</si>
  <si>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</si>
  <si>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</si>
  <si>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</si>
  <si>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</si>
  <si>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</si>
  <si>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</si>
  <si>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</si>
  <si>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</si>
  <si>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</si>
  <si>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</si>
  <si>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</si>
  <si>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</si>
  <si>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</si>
  <si>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</si>
  <si>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</si>
  <si>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</si>
  <si>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</si>
  <si>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</si>
  <si>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</si>
  <si>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</si>
  <si>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</si>
  <si>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</si>
  <si>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</si>
  <si>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</si>
  <si>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</si>
  <si>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</si>
  <si>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</si>
  <si>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</si>
  <si>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</si>
  <si>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</si>
  <si>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</si>
  <si>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</si>
  <si>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</si>
  <si>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</si>
  <si>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</si>
  <si>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</si>
  <si>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</si>
  <si>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</si>
  <si>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</si>
  <si>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</si>
  <si>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</si>
  <si>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</si>
  <si>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</si>
  <si>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</si>
  <si>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</si>
  <si>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</si>
  <si>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</si>
  <si>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</si>
  <si>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</si>
  <si>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</si>
  <si>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</si>
  <si>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</si>
  <si>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</si>
  <si>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</si>
  <si>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</si>
  <si>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</si>
  <si>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</si>
  <si>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</si>
  <si>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</si>
  <si>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</si>
  <si>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</si>
  <si>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</si>
  <si>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</si>
  <si>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</si>
  <si>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</si>
  <si>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</si>
  <si>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</si>
  <si>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</si>
  <si>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</si>
  <si>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</si>
  <si>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</si>
  <si>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</si>
  <si>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</si>
  <si>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</si>
  <si>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</si>
  <si>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</si>
  <si>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</si>
  <si>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</si>
  <si>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</si>
  <si>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</si>
  <si>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</si>
  <si>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</si>
  <si>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</si>
  <si>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</si>
  <si>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</si>
  <si>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</si>
  <si>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</si>
  <si>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</si>
  <si>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</si>
  <si>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</si>
  <si>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</si>
  <si>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</si>
  <si>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</si>
  <si>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</si>
  <si>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</si>
  <si>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</si>
  <si>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</si>
  <si>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</si>
  <si>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</si>
  <si>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</si>
  <si>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</si>
  <si>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</si>
  <si>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</si>
  <si>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</si>
  <si>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</si>
  <si>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</si>
  <si>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</si>
  <si>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</si>
  <si>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</si>
  <si>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</si>
  <si>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</si>
  <si>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</si>
  <si>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</si>
  <si>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</si>
  <si>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</si>
  <si>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</si>
  <si>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</si>
  <si>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</si>
  <si>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</si>
  <si>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</si>
  <si>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</si>
  <si>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</si>
  <si>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</si>
  <si>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</si>
  <si>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</si>
  <si>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</si>
  <si>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</si>
  <si>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</si>
  <si>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</si>
  <si>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</si>
  <si>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</si>
  <si>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</si>
  <si>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</si>
  <si>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</si>
  <si>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</si>
  <si>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</si>
  <si>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</si>
  <si>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</si>
  <si>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</si>
  <si>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</si>
  <si>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</si>
  <si>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</si>
  <si>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</si>
  <si>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</si>
  <si>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</si>
  <si>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</si>
  <si>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</si>
  <si>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</si>
  <si>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</si>
  <si>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</si>
  <si>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</si>
  <si>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</si>
  <si>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</si>
  <si>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</si>
  <si>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</si>
  <si>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</si>
  <si>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</si>
  <si>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</si>
  <si>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</si>
  <si>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</si>
  <si>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</si>
  <si>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</si>
  <si>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</si>
  <si>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</si>
  <si>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</si>
  <si>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</si>
  <si>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</si>
  <si>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</si>
  <si>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</si>
  <si>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</si>
  <si>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</si>
  <si>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</si>
  <si>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</si>
  <si>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</si>
  <si>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</si>
  <si>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</si>
  <si>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</si>
  <si>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</si>
  <si>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</si>
  <si>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</si>
  <si>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</si>
  <si>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</si>
  <si>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</si>
  <si>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</si>
  <si>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</si>
  <si>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</si>
  <si>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</si>
  <si>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</si>
  <si>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</si>
  <si>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</si>
  <si>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</si>
  <si>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</si>
  <si>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</si>
  <si>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</si>
  <si>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</si>
  <si>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</si>
  <si>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</si>
  <si>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</si>
  <si>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</si>
  <si>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</si>
  <si>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</si>
  <si>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</si>
  <si>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</si>
  <si>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</si>
  <si>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</si>
  <si>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</si>
  <si>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</si>
  <si>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</si>
  <si>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</si>
  <si>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</si>
  <si>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</si>
  <si>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</si>
  <si>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</si>
  <si>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</si>
  <si>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</si>
  <si>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</si>
  <si>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</si>
  <si>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</si>
  <si>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</si>
  <si>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</si>
  <si>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</si>
  <si>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</si>
  <si>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</si>
  <si>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</si>
  <si>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</si>
  <si>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</si>
  <si>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</si>
  <si>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</si>
  <si>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</si>
  <si>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</si>
  <si>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</si>
  <si>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</si>
  <si>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</si>
  <si>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</si>
  <si>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</si>
  <si>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</si>
  <si>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</si>
  <si>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</si>
  <si>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</si>
  <si>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</si>
  <si>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</si>
  <si>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</si>
  <si>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</si>
  <si>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</si>
  <si>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</si>
  <si>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</si>
  <si>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</si>
  <si>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</si>
  <si>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</si>
  <si>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</si>
  <si>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</si>
  <si>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</si>
  <si>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</si>
  <si>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</si>
  <si>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</si>
  <si>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</si>
  <si>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</si>
  <si>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</si>
  <si>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</si>
  <si>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</si>
  <si>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</si>
  <si>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</si>
  <si>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</si>
  <si>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</si>
  <si>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</si>
  <si>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</si>
  <si>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</si>
  <si>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</si>
  <si>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</si>
  <si>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</si>
  <si>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</si>
  <si>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</si>
  <si>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</si>
  <si>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</si>
  <si>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</si>
  <si>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</si>
  <si>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</si>
  <si>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</si>
  <si>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</si>
  <si>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</si>
  <si>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</si>
  <si>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</si>
  <si>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</si>
  <si>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</si>
  <si>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</si>
  <si>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</si>
  <si>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</si>
  <si>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</si>
  <si>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</si>
  <si>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</si>
  <si>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</si>
  <si>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</si>
  <si>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</si>
  <si>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</si>
  <si>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</si>
  <si>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</si>
  <si>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</si>
  <si>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</si>
  <si>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</si>
  <si>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</si>
  <si>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</si>
  <si>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</si>
  <si>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</si>
  <si>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</si>
  <si>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</si>
  <si>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</si>
  <si>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</si>
  <si>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</si>
  <si>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</si>
  <si>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</si>
  <si>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</si>
  <si>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</si>
  <si>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</si>
  <si>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</si>
  <si>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</si>
  <si>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</si>
  <si>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</si>
  <si>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</si>
  <si>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</si>
  <si>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</si>
  <si>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</si>
  <si>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</si>
  <si>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</si>
  <si>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</si>
  <si>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</si>
  <si>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</si>
  <si>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</si>
  <si>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</si>
  <si>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</si>
  <si>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</si>
  <si>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</si>
  <si>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</si>
  <si>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</si>
  <si>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</si>
  <si>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</si>
  <si>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</si>
  <si>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</si>
  <si>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</si>
  <si>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</si>
  <si>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</si>
  <si>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</si>
  <si>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</si>
  <si>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</si>
  <si>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</si>
  <si>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</si>
  <si>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</si>
  <si>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</si>
  <si>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</si>
  <si>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</si>
  <si>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</si>
  <si>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</si>
  <si>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</si>
  <si>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</si>
  <si>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</si>
  <si>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</si>
  <si>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</si>
  <si>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</si>
  <si>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</si>
  <si>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</si>
  <si>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</si>
  <si>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</si>
  <si>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</si>
  <si>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</si>
  <si>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</si>
  <si>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</si>
  <si>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</si>
  <si>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</si>
  <si>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</si>
  <si>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</si>
  <si>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</si>
  <si>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</si>
  <si>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</si>
  <si>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</si>
  <si>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</si>
  <si>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</si>
  <si>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</si>
  <si>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</si>
  <si>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</si>
  <si>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</si>
  <si>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</si>
  <si>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</si>
  <si>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</si>
  <si>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</si>
  <si>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</si>
  <si>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</si>
  <si>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</si>
  <si>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</si>
  <si>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</si>
  <si>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</si>
  <si>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</si>
  <si>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</si>
  <si>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</si>
  <si>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</si>
  <si>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</si>
  <si>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</si>
  <si>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</si>
  <si>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</si>
  <si>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</si>
  <si>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</si>
  <si>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</si>
  <si>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</si>
  <si>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</si>
  <si>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</si>
  <si>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</si>
  <si>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</si>
  <si>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</si>
  <si>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</si>
  <si>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</si>
  <si>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</si>
  <si>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</si>
  <si>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</si>
  <si>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</si>
  <si>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</si>
  <si>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</si>
  <si>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</si>
  <si>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</si>
  <si>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</si>
  <si>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</si>
  <si>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</si>
  <si>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</si>
  <si>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</si>
  <si>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</si>
  <si>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</si>
  <si>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</si>
  <si>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</si>
  <si>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</si>
  <si>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</si>
  <si>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</si>
  <si>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</si>
  <si>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</si>
  <si>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</si>
  <si>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</si>
  <si>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</si>
  <si>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</si>
  <si>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</si>
  <si>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</si>
  <si>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</si>
  <si>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</si>
  <si>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</si>
  <si>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</si>
  <si>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</si>
  <si>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</si>
  <si>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</si>
  <si>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</si>
  <si>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</si>
  <si>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</si>
  <si>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</si>
  <si>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</si>
  <si>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</si>
  <si>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</si>
  <si>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</si>
  <si>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</si>
  <si>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</si>
  <si>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</si>
  <si>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</si>
  <si>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</si>
  <si>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</si>
  <si>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</si>
  <si>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</si>
  <si>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</si>
  <si>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</si>
  <si>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</si>
  <si>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</si>
  <si>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</si>
  <si>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</si>
  <si>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</si>
  <si>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</si>
  <si>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</si>
  <si>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</si>
  <si>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</si>
  <si>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</si>
  <si>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</si>
  <si>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</si>
  <si>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</si>
  <si>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</si>
  <si>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</si>
  <si>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</si>
  <si>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</si>
  <si>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</si>
  <si>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</si>
  <si>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</si>
  <si>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</si>
  <si>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</si>
  <si>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</si>
  <si>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</si>
  <si>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</si>
  <si>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</si>
  <si>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</si>
  <si>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</si>
  <si>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</si>
  <si>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</si>
  <si>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</si>
  <si>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</si>
  <si>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</si>
  <si>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</si>
  <si>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</si>
  <si>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</si>
  <si>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</si>
  <si>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</si>
  <si>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</si>
  <si>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</si>
  <si>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</si>
  <si>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</si>
  <si>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</si>
  <si>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</si>
  <si>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</si>
  <si>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</si>
  <si>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</si>
  <si>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</si>
  <si>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</si>
  <si>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</si>
  <si>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</si>
  <si>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</si>
  <si>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</si>
  <si>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</si>
  <si>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</si>
  <si>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</si>
  <si>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</si>
  <si>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</si>
  <si>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</si>
  <si>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</si>
  <si>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</si>
  <si>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</si>
  <si>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</si>
  <si>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</si>
  <si>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</si>
  <si>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</si>
  <si>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</si>
  <si>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</si>
  <si>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</si>
  <si>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</si>
  <si>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</si>
  <si>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</si>
  <si>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</si>
  <si>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</si>
  <si>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</si>
  <si>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</si>
  <si>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</si>
  <si>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</si>
  <si>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</si>
  <si>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</si>
  <si>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</si>
  <si>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</si>
  <si>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</si>
  <si>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</si>
  <si>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</si>
  <si>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</si>
  <si>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</si>
  <si>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</si>
  <si>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</si>
  <si>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</si>
  <si>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</si>
  <si>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</si>
  <si>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</si>
  <si>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</si>
  <si>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</si>
  <si>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</si>
  <si>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</si>
  <si>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</si>
  <si>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</si>
  <si>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</si>
  <si>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</si>
  <si>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</si>
  <si>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</si>
  <si>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</si>
  <si>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</si>
  <si>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</si>
  <si>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</si>
  <si>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</si>
  <si>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</si>
  <si>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</si>
  <si>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</si>
  <si>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</si>
  <si>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</si>
  <si>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</si>
  <si>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</si>
  <si>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</si>
  <si>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</si>
  <si>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</si>
  <si>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</si>
  <si>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</si>
  <si>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</si>
  <si>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</si>
  <si>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</si>
  <si>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</si>
  <si>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</si>
  <si>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</si>
  <si>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</si>
  <si>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</si>
  <si>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</si>
  <si>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</si>
  <si>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</si>
  <si>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</si>
  <si>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</si>
  <si>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</si>
  <si>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</si>
  <si>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</si>
  <si>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</si>
  <si>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</si>
  <si>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</si>
  <si>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</si>
  <si>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</si>
  <si>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</si>
  <si>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</si>
  <si>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</si>
  <si>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</si>
  <si>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</si>
  <si>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</si>
  <si>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</si>
  <si>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</si>
  <si>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</si>
  <si>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</si>
  <si>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</si>
  <si>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</si>
  <si>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</si>
  <si>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</si>
  <si>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</si>
  <si>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</si>
  <si>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</si>
  <si>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</si>
  <si>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</si>
  <si>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</si>
  <si>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</si>
  <si>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</si>
  <si>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</si>
  <si>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</si>
  <si>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</si>
  <si>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</si>
  <si>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</si>
  <si>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</si>
  <si>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</si>
  <si>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</si>
  <si>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</si>
  <si>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</si>
  <si>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</si>
  <si>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</si>
  <si>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</si>
  <si>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</si>
  <si>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</si>
  <si>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</si>
  <si>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</si>
  <si>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</si>
  <si>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</si>
  <si>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</si>
  <si>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</si>
  <si>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</si>
  <si>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</si>
  <si>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</si>
  <si>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</si>
  <si>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</si>
  <si>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</si>
  <si>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</si>
  <si>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</si>
  <si>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</si>
  <si>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</si>
  <si>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</si>
  <si>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</si>
  <si>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</si>
  <si>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</si>
  <si>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</si>
  <si>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</si>
  <si>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</si>
  <si>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</si>
  <si>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</si>
  <si>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</si>
  <si>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</si>
  <si>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</si>
  <si>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</si>
  <si>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</si>
  <si>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</si>
  <si>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</si>
  <si>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</si>
  <si>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</si>
  <si>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</si>
  <si>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</si>
  <si>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</si>
  <si>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</si>
  <si>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</si>
  <si>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</si>
  <si>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</si>
  <si>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</si>
  <si>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</si>
  <si>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</si>
  <si>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</si>
  <si>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</si>
  <si>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</si>
  <si>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</si>
  <si>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</si>
  <si>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</si>
  <si>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</si>
  <si>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</si>
  <si>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</si>
  <si>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</si>
  <si>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</si>
  <si>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</si>
  <si>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</si>
  <si>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</si>
  <si>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</si>
  <si>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</si>
  <si>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</si>
  <si>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</si>
  <si>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</si>
  <si>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</si>
  <si>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</si>
  <si>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</si>
  <si>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</si>
  <si>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</si>
  <si>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</si>
  <si>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</si>
  <si>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</si>
  <si>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</si>
  <si>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</si>
  <si>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</si>
  <si>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</si>
  <si>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</si>
  <si>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</si>
  <si>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</si>
  <si>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</si>
  <si>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</si>
  <si>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</si>
  <si>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</si>
  <si>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</si>
  <si>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</si>
  <si>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</si>
  <si>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</si>
  <si>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</si>
  <si>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</si>
  <si>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</si>
  <si>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</si>
  <si>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</si>
  <si>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</si>
  <si>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</si>
  <si>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</si>
  <si>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</si>
  <si>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</si>
  <si>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</si>
  <si>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</si>
  <si>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</si>
  <si>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</si>
  <si>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</si>
  <si>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</si>
  <si>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</si>
  <si>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</si>
  <si>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</si>
  <si>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</si>
  <si>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</si>
  <si>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</si>
  <si>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</si>
  <si>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</si>
  <si>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</si>
  <si>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</si>
  <si>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</si>
  <si>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</si>
  <si>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</si>
  <si>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</si>
  <si>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</si>
  <si>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</si>
  <si>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</si>
  <si>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</si>
  <si>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</si>
  <si>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</si>
  <si>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</si>
  <si>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</si>
  <si>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</si>
  <si>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</si>
  <si>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</si>
  <si>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</si>
  <si>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</si>
  <si>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</si>
  <si>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</si>
  <si>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</si>
  <si>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</si>
  <si>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</si>
  <si>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</si>
  <si>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</si>
  <si>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</si>
  <si>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</si>
  <si>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</si>
  <si>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</si>
  <si>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</si>
  <si>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</si>
  <si>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</si>
  <si>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</si>
  <si>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</si>
  <si>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</si>
  <si>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</si>
  <si>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</si>
  <si>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</si>
  <si>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</si>
  <si>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</si>
  <si>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</si>
  <si>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</si>
  <si>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</si>
  <si>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</si>
  <si>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</si>
  <si>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</si>
  <si>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</si>
  <si>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</si>
  <si>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</si>
  <si>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</si>
  <si>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</si>
  <si>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</si>
  <si>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</si>
  <si>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</si>
  <si>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</si>
  <si>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</si>
  <si>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</si>
  <si>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</si>
  <si>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</si>
  <si>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</si>
  <si>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</si>
  <si>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</si>
  <si>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</si>
  <si>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</si>
  <si>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</si>
  <si>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</si>
  <si>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</si>
  <si>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</si>
  <si>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</si>
  <si>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</si>
  <si>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</si>
  <si>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</si>
  <si>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</si>
  <si>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</si>
  <si>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</si>
  <si>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</si>
  <si>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</si>
  <si>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</si>
  <si>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</si>
  <si>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</si>
  <si>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</si>
  <si>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</si>
  <si>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</si>
  <si>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</si>
  <si>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</si>
  <si>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</si>
  <si>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</si>
  <si>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</si>
  <si>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</si>
  <si>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</si>
  <si>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</si>
  <si>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</si>
  <si>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</si>
  <si>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</si>
  <si>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</si>
  <si>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</si>
  <si>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</si>
  <si>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</si>
  <si>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</si>
  <si>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</si>
  <si>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</si>
  <si>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</si>
  <si>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</si>
  <si>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</si>
  <si>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</si>
  <si>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</si>
  <si>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</si>
  <si>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</si>
  <si>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</si>
  <si>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</si>
  <si>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</si>
  <si>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</si>
  <si>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</si>
  <si>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</si>
  <si>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</si>
  <si>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</si>
  <si>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</si>
  <si>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</si>
  <si>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</si>
  <si>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</si>
  <si>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</si>
  <si>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</si>
  <si>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</si>
  <si>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</si>
  <si>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</si>
  <si>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</si>
  <si>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</si>
  <si>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</si>
  <si>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</si>
  <si>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</si>
  <si>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</si>
  <si>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</si>
  <si>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</si>
  <si>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</si>
  <si>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</si>
  <si>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</si>
  <si>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</si>
  <si>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</si>
  <si>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</si>
  <si>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</si>
  <si>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</si>
  <si>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</si>
  <si>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</si>
  <si>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</si>
  <si>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</si>
  <si>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</si>
  <si>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</si>
  <si>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</si>
  <si>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</si>
  <si>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</si>
  <si>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</si>
  <si>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</si>
  <si>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</si>
  <si>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</si>
  <si>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</si>
  <si>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</si>
  <si>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</si>
  <si>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</si>
  <si>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</si>
  <si>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</si>
  <si>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</si>
  <si>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</si>
  <si>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</si>
  <si>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</si>
  <si>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</si>
  <si>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</si>
  <si>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</si>
  <si>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</si>
  <si>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</si>
  <si>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</si>
  <si>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</si>
  <si>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</si>
  <si>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</si>
  <si>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</si>
  <si>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</si>
  <si>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</si>
  <si>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</si>
  <si>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</si>
  <si>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</si>
  <si>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</si>
  <si>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</si>
  <si>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</si>
  <si>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</si>
  <si>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</si>
  <si>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</si>
  <si>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</si>
  <si>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</si>
  <si>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</si>
  <si>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</si>
  <si>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</si>
  <si>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</si>
  <si>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</si>
  <si>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</si>
  <si>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</si>
  <si>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</si>
  <si>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</si>
  <si>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</si>
  <si>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</si>
  <si>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</si>
  <si>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</si>
  <si>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</si>
  <si>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</si>
  <si>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</si>
  <si>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</si>
  <si>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</si>
  <si>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</si>
  <si>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</si>
  <si>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</si>
  <si>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</si>
  <si>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</si>
  <si>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</si>
  <si>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</si>
  <si>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</si>
  <si>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</si>
  <si>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</si>
  <si>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</si>
  <si>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</si>
  <si>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</si>
  <si>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</si>
  <si>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</si>
  <si>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</si>
  <si>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</si>
  <si>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</si>
  <si>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</si>
  <si>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</si>
  <si>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</si>
  <si>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</si>
  <si>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</si>
  <si>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</si>
  <si>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</si>
  <si>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</si>
  <si>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</si>
  <si>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</si>
  <si>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</si>
  <si>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</si>
  <si>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</si>
  <si>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</si>
  <si>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</si>
  <si>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</si>
  <si>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</si>
  <si>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</si>
  <si>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</si>
  <si>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</si>
  <si>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</si>
  <si>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</si>
  <si>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</si>
  <si>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</si>
  <si>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</si>
  <si>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</si>
  <si>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</si>
  <si>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</si>
  <si>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</si>
  <si>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</si>
  <si>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</si>
  <si>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</si>
  <si>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</si>
  <si>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</si>
  <si>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</si>
  <si>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</si>
  <si>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</si>
  <si>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</si>
  <si>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</si>
  <si>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</si>
  <si>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</si>
  <si>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</si>
  <si>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</si>
  <si>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</si>
  <si>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</si>
  <si>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</si>
  <si>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</si>
  <si>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</si>
  <si>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</si>
  <si>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</si>
  <si>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</si>
  <si>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</si>
  <si>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</si>
  <si>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</si>
  <si>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</si>
  <si>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</si>
  <si>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</si>
  <si>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</si>
  <si>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</si>
  <si>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</si>
  <si>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</si>
  <si>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</si>
  <si>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</si>
  <si>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</si>
  <si>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</si>
  <si>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</si>
  <si>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</si>
  <si>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</si>
  <si>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</si>
  <si>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</si>
  <si>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</si>
  <si>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</si>
  <si>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</si>
  <si>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</si>
  <si>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</si>
  <si>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</si>
  <si>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</si>
  <si>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</si>
  <si>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</si>
  <si>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</si>
  <si>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</si>
  <si>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</si>
  <si>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</si>
  <si>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</si>
  <si>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</si>
  <si>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</si>
  <si>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</si>
  <si>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</si>
  <si>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</si>
  <si>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</si>
  <si>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</si>
  <si>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</si>
  <si>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</si>
  <si>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</si>
  <si>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</si>
  <si>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</si>
  <si>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</si>
  <si>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</si>
  <si>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</si>
  <si>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</si>
  <si>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</si>
  <si>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</si>
  <si>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</si>
  <si>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</si>
  <si>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</si>
  <si>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</si>
  <si>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</si>
  <si>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</si>
  <si>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</si>
  <si>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</si>
  <si>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</si>
  <si>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</si>
  <si>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</si>
  <si>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</si>
  <si>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</si>
  <si>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</si>
  <si>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</si>
  <si>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</si>
  <si>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</si>
  <si>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</si>
  <si>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</si>
  <si>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</si>
  <si>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</si>
  <si>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</si>
  <si>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</si>
  <si>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</si>
  <si>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</si>
  <si>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</si>
  <si>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</si>
  <si>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</si>
  <si>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</si>
  <si>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</si>
  <si>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</si>
  <si>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</si>
  <si>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</si>
  <si>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</si>
  <si>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</si>
  <si>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</si>
  <si>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</si>
  <si>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</si>
  <si>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</si>
  <si>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</si>
  <si>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</si>
  <si>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</si>
  <si>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</si>
  <si>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</si>
  <si>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</si>
  <si>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</si>
  <si>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</si>
  <si>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</si>
  <si>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</si>
  <si>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</si>
  <si>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</si>
  <si>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</si>
  <si>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</si>
  <si>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</si>
  <si>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</si>
  <si>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</si>
  <si>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</si>
  <si>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</si>
  <si>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</si>
  <si>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</si>
  <si>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</si>
  <si>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</si>
  <si>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</si>
  <si>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</si>
  <si>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</si>
  <si>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</si>
  <si>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</si>
  <si>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</si>
  <si>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</si>
  <si>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</si>
  <si>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</si>
  <si>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</si>
  <si>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</si>
  <si>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</si>
  <si>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</si>
  <si>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</si>
  <si>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</si>
  <si>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</si>
  <si>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</si>
  <si>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</si>
  <si>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</si>
  <si>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</si>
  <si>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</si>
  <si>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</si>
  <si>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</si>
  <si>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</si>
  <si>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</si>
  <si>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</si>
  <si>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</si>
  <si>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</si>
  <si>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</si>
  <si>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</si>
  <si>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</si>
  <si>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</si>
  <si>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</si>
  <si>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</si>
  <si>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</si>
  <si>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</si>
  <si>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</si>
  <si>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</si>
  <si>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</si>
  <si>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</si>
  <si>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</si>
  <si>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</si>
  <si>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</si>
  <si>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</si>
  <si>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</si>
  <si>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</si>
  <si>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</si>
  <si>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</si>
  <si>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</si>
  <si>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</si>
  <si>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</si>
  <si>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</si>
  <si>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</si>
  <si>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</si>
  <si>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</si>
  <si>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</si>
  <si>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</si>
  <si>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</si>
  <si>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</si>
  <si>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</si>
  <si>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</si>
  <si>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</si>
  <si>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</si>
  <si>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</si>
  <si>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</si>
  <si>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</si>
  <si>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</si>
  <si>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</si>
  <si>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</si>
  <si>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</si>
  <si>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</si>
  <si>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</si>
  <si>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</si>
  <si>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</si>
  <si>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</si>
  <si>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</si>
  <si>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</si>
  <si>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</si>
  <si>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</si>
  <si>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</si>
  <si>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</si>
  <si>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</si>
  <si>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</si>
  <si>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</si>
  <si>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</si>
  <si>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</si>
  <si>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</si>
  <si>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</si>
  <si>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</si>
  <si>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</si>
  <si>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</si>
  <si>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</si>
  <si>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</si>
  <si>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</si>
  <si>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</si>
  <si>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</si>
  <si>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</si>
  <si>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</si>
  <si>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</si>
  <si>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</si>
  <si>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</si>
  <si>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</si>
  <si>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</si>
  <si>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</si>
  <si>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</si>
  <si>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</si>
  <si>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</si>
  <si>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</si>
  <si>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</si>
  <si>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</si>
  <si>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</si>
  <si>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</si>
  <si>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</si>
  <si>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</si>
  <si>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</si>
  <si>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</si>
  <si>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</si>
  <si>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</si>
  <si>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</si>
  <si>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</si>
  <si>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</si>
  <si>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</si>
  <si>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</si>
  <si>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</si>
  <si>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</si>
  <si>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</si>
  <si>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</si>
  <si>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</si>
  <si>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</si>
  <si>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</si>
  <si>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</si>
  <si>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</si>
  <si>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</si>
  <si>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</si>
  <si>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</si>
  <si>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</si>
  <si>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</si>
  <si>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</si>
  <si>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</si>
  <si>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</si>
  <si>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</si>
  <si>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</si>
  <si>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</si>
  <si>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</si>
  <si>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</si>
  <si>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</si>
  <si>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</si>
  <si>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</si>
  <si>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</si>
  <si>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</si>
  <si>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</si>
  <si>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</si>
  <si>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</si>
  <si>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</si>
  <si>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</si>
  <si>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</si>
  <si>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</si>
  <si>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</si>
  <si>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</si>
  <si>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</si>
  <si>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</si>
  <si>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</si>
  <si>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</si>
  <si>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</si>
  <si>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</si>
  <si>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</si>
  <si>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</si>
  <si>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</si>
  <si>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</si>
  <si>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</si>
  <si>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</si>
  <si>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</si>
  <si>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</si>
  <si>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</si>
  <si>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</si>
  <si>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</si>
  <si>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</si>
  <si>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</si>
  <si>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</si>
  <si>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</si>
  <si>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</si>
  <si>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</si>
  <si>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</si>
  <si>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</si>
  <si>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</si>
  <si>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</si>
  <si>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</si>
  <si>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</si>
  <si>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</si>
  <si>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</si>
  <si>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</si>
  <si>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</si>
  <si>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</si>
  <si>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</si>
  <si>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</si>
  <si>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</si>
  <si>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</si>
  <si>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</si>
  <si>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</si>
  <si>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</si>
  <si>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</si>
  <si>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</si>
  <si>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</si>
  <si>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</si>
  <si>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</si>
  <si>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</si>
  <si>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</si>
  <si>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</si>
  <si>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</si>
  <si>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</si>
  <si>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</si>
  <si>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</si>
  <si>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</si>
  <si>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</si>
  <si>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</si>
  <si>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</si>
  <si>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</si>
  <si>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</si>
  <si>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</si>
  <si>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</si>
  <si>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</si>
  <si>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</si>
  <si>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</si>
  <si>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</si>
  <si>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</si>
  <si>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</si>
  <si>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</si>
  <si>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</si>
  <si>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</si>
  <si>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</si>
  <si>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</si>
  <si>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</si>
  <si>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</si>
  <si>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</si>
  <si>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</si>
  <si>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</si>
  <si>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</si>
  <si>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</si>
  <si>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</si>
  <si>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</si>
  <si>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</si>
  <si>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</si>
  <si>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</si>
  <si>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</si>
  <si>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</si>
  <si>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</si>
  <si>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</si>
  <si>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</si>
  <si>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</si>
  <si>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</si>
  <si>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</si>
  <si>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</si>
  <si>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</si>
  <si>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</si>
  <si>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</si>
  <si>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</si>
  <si>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</si>
  <si>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</si>
  <si>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</si>
  <si>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</si>
  <si>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</si>
  <si>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</si>
  <si>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</si>
  <si>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</si>
  <si>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</si>
  <si>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</si>
  <si>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</si>
  <si>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</si>
  <si>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</si>
  <si>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</si>
  <si>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</si>
  <si>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</si>
  <si>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</si>
  <si>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</si>
  <si>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</si>
  <si>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</si>
  <si>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</si>
  <si>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</si>
  <si>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</si>
  <si>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</si>
  <si>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</si>
  <si>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</si>
  <si>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</si>
  <si>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</si>
  <si>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</si>
  <si>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</si>
  <si>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</si>
  <si>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</si>
  <si>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</si>
  <si>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</si>
  <si>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</si>
  <si>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</si>
  <si>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</si>
  <si>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</si>
  <si>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</si>
  <si>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</si>
  <si>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</si>
  <si>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</si>
  <si>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</si>
  <si>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</si>
  <si>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</si>
  <si>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</si>
  <si>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</si>
  <si>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</si>
  <si>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</si>
  <si>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</si>
  <si>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</si>
  <si>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</si>
  <si>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</si>
  <si>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</si>
  <si>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</si>
  <si>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</si>
  <si>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</si>
  <si>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</si>
  <si>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</si>
  <si>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</si>
  <si>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</si>
  <si>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</si>
  <si>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</si>
  <si>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</si>
  <si>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</si>
  <si>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</si>
  <si>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</si>
  <si>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</si>
  <si>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</si>
  <si>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</si>
  <si>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</si>
  <si>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</si>
  <si>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</si>
  <si>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</si>
  <si>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</si>
  <si>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</si>
  <si>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</si>
  <si>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</si>
  <si>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</si>
  <si>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</si>
  <si>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</si>
  <si>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</si>
  <si>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</si>
  <si>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</si>
  <si>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</si>
  <si>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</si>
  <si>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</si>
  <si>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</si>
  <si>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</si>
  <si>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</si>
  <si>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</si>
  <si>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</si>
  <si>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</si>
  <si>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</si>
  <si>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</si>
  <si>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</si>
  <si>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</si>
  <si>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</si>
  <si>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</si>
  <si>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</si>
  <si>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</si>
  <si>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</si>
  <si>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</si>
  <si>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</si>
  <si>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</si>
  <si>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</si>
  <si>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</si>
  <si>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</si>
  <si>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</si>
  <si>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</si>
  <si>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</si>
  <si>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</si>
  <si>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</si>
  <si>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</si>
  <si>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</si>
  <si>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</si>
  <si>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</si>
  <si>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</si>
  <si>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</si>
  <si>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</si>
  <si>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</si>
  <si>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</si>
  <si>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</si>
  <si>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</si>
  <si>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</si>
  <si>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</si>
  <si>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</si>
  <si>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</si>
  <si>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</si>
  <si>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</si>
  <si>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</si>
  <si>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</si>
  <si>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</si>
  <si>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</si>
  <si>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</si>
  <si>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</si>
  <si>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</si>
  <si>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</si>
  <si>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</si>
  <si>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</si>
  <si>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</si>
  <si>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</si>
  <si>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</si>
  <si>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</si>
  <si>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</si>
  <si>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</si>
  <si>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</si>
  <si>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</si>
  <si>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</si>
  <si>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</si>
  <si>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</si>
  <si>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</si>
  <si>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</si>
  <si>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</si>
  <si>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</si>
  <si>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</si>
  <si>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</si>
  <si>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</si>
  <si>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</si>
  <si>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</si>
  <si>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</si>
  <si>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</si>
  <si>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</si>
  <si>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</si>
  <si>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</si>
  <si>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</si>
  <si>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</si>
  <si>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</si>
  <si>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</si>
  <si>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</si>
  <si>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</si>
  <si>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</si>
  <si>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</si>
  <si>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</si>
  <si>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</si>
  <si>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</si>
  <si>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</si>
  <si>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</si>
  <si>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</si>
  <si>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</si>
  <si>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</si>
  <si>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</si>
  <si>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</si>
  <si>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</si>
  <si>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</si>
  <si>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</si>
  <si>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</si>
  <si>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</si>
  <si>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</si>
  <si>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</si>
  <si>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</si>
  <si>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</si>
  <si>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</si>
  <si>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</si>
  <si>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</si>
  <si>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</si>
  <si>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</si>
  <si>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</si>
  <si>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</si>
  <si>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</si>
  <si>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</si>
  <si>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</si>
  <si>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</si>
  <si>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</si>
  <si>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</si>
  <si>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</si>
  <si>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</si>
  <si>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</si>
  <si>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</si>
  <si>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</si>
  <si>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</si>
  <si>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</si>
  <si>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</si>
  <si>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</si>
  <si>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</si>
  <si>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</si>
  <si>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</si>
  <si>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</si>
  <si>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</si>
  <si>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</si>
  <si>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</si>
  <si>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</si>
  <si>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</si>
  <si>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</si>
  <si>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</si>
  <si>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</si>
  <si>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</si>
  <si>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</si>
  <si>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</si>
  <si>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</si>
  <si>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</si>
  <si>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</si>
  <si>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</si>
  <si>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</si>
  <si>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</si>
  <si>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</si>
  <si>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</si>
  <si>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</si>
  <si>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</si>
  <si>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</si>
  <si>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</si>
  <si>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</si>
  <si>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</si>
  <si>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</si>
  <si>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</si>
  <si>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</si>
  <si>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</si>
  <si>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</si>
  <si>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</si>
  <si>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</si>
  <si>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</si>
  <si>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</si>
  <si>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</si>
  <si>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</si>
  <si>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</si>
  <si>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</si>
  <si>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</si>
  <si>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</si>
  <si>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</si>
  <si>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</si>
  <si>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</si>
  <si>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</si>
  <si>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</si>
  <si>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</si>
  <si>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</si>
  <si>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</si>
  <si>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</si>
  <si>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</si>
  <si>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</si>
  <si>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</si>
  <si>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</si>
  <si>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</si>
  <si>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</si>
  <si>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</si>
  <si>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</si>
  <si>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</si>
  <si>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</si>
  <si>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</si>
  <si>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</si>
  <si>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</si>
  <si>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</si>
  <si>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</si>
  <si>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</si>
  <si>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</si>
  <si>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</si>
  <si>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</si>
  <si>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</si>
  <si>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</si>
  <si>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</si>
  <si>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</si>
  <si>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</si>
  <si>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</si>
  <si>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</si>
  <si>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</si>
  <si>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</si>
  <si>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</si>
  <si>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</si>
  <si>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</si>
  <si>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</si>
  <si>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</si>
  <si>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</si>
  <si>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</si>
  <si>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</si>
  <si>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</si>
  <si>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</si>
  <si>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</si>
  <si>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</si>
  <si>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</si>
  <si>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</si>
  <si>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</si>
  <si>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</si>
  <si>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</si>
  <si>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</si>
  <si>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</si>
  <si>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</si>
  <si>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</si>
  <si>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</si>
  <si>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</si>
  <si>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</si>
  <si>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</si>
  <si>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</si>
  <si>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</si>
  <si>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</si>
  <si>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</si>
  <si>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</si>
  <si>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</si>
  <si>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</si>
  <si>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</si>
  <si>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</si>
  <si>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</si>
  <si>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</si>
  <si>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</si>
  <si>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</si>
  <si>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</si>
  <si>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</si>
  <si>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</si>
  <si>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</si>
  <si>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</si>
  <si>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</si>
  <si>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</si>
  <si>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</si>
  <si>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</si>
  <si>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</si>
  <si>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</si>
  <si>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</si>
  <si>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</si>
  <si>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</si>
  <si>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</si>
  <si>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</si>
  <si>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</si>
  <si>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</si>
  <si>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</si>
  <si>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</si>
  <si>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</si>
  <si>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</si>
  <si>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</si>
  <si>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</si>
  <si>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</si>
  <si>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</si>
  <si>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</si>
  <si>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</si>
  <si>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</si>
  <si>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</si>
  <si>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</si>
  <si>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</si>
  <si>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</si>
  <si>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</si>
  <si>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</si>
  <si>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</si>
  <si>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</si>
  <si>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</si>
  <si>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</si>
  <si>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</si>
  <si>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</si>
  <si>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</si>
  <si>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</si>
  <si>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</si>
  <si>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</si>
  <si>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</si>
  <si>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</si>
  <si>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</si>
  <si>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</si>
  <si>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</si>
  <si>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</si>
  <si>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</si>
  <si>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</si>
  <si>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</si>
  <si>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</si>
  <si>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</si>
  <si>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</si>
  <si>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</si>
  <si>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</si>
  <si>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</si>
  <si>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</si>
  <si>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</si>
  <si>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</si>
  <si>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</si>
  <si>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</si>
  <si>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</si>
  <si>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</si>
  <si>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</si>
  <si>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</si>
  <si>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</si>
  <si>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</si>
  <si>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</si>
  <si>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</si>
  <si>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</si>
  <si>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</si>
  <si>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</si>
  <si>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</si>
  <si>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</si>
  <si>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</si>
  <si>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</si>
  <si>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</si>
  <si>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</si>
  <si>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</si>
  <si>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</si>
  <si>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</si>
  <si>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</si>
  <si>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</si>
  <si>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</si>
  <si>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</si>
  <si>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</si>
  <si>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</si>
  <si>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</si>
  <si>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</si>
  <si>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</si>
  <si>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</si>
  <si>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</si>
  <si>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</si>
  <si>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</si>
  <si>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</si>
  <si>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</si>
  <si>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</si>
  <si>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</si>
  <si>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</si>
  <si>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</si>
  <si>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</si>
  <si>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</si>
  <si>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</si>
  <si>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</si>
  <si>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</si>
  <si>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</si>
  <si>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</si>
  <si>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</si>
  <si>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</si>
  <si>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</si>
  <si>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</si>
  <si>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</si>
  <si>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</si>
  <si>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</si>
  <si>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</si>
  <si>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</si>
  <si>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</si>
  <si>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</si>
  <si>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</si>
  <si>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</si>
  <si>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</si>
  <si>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</si>
  <si>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</si>
  <si>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</si>
  <si>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</si>
  <si>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</si>
  <si>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</si>
  <si>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</si>
  <si>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</si>
  <si>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</si>
  <si>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</si>
  <si>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</si>
  <si>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</si>
  <si>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</si>
  <si>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</si>
  <si>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</si>
  <si>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</si>
  <si>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</si>
  <si>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</si>
  <si>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</si>
  <si>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</si>
  <si>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</si>
  <si>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</si>
  <si>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</si>
  <si>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</si>
  <si>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</si>
  <si>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</si>
  <si>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</si>
  <si>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</si>
  <si>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</si>
  <si>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</si>
  <si>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</si>
  <si>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</si>
  <si>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</si>
  <si>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</si>
  <si>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</si>
  <si>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</si>
  <si>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</si>
  <si>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</si>
  <si>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</si>
  <si>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</si>
  <si>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</si>
  <si>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</si>
  <si>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</si>
  <si>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</si>
  <si>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</si>
  <si>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</si>
  <si>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</si>
  <si>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</si>
  <si>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</si>
  <si>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</si>
  <si>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</si>
  <si>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</si>
  <si>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</si>
  <si>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</si>
  <si>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</si>
  <si>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</si>
  <si>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</si>
  <si>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</si>
  <si>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</si>
  <si>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</si>
  <si>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</si>
  <si>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</si>
  <si>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</si>
  <si>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</si>
  <si>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</si>
  <si>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</si>
  <si>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</si>
  <si>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</si>
  <si>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</si>
  <si>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</si>
  <si>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</si>
  <si>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</si>
  <si>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</si>
  <si>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</si>
  <si>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</si>
  <si>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</si>
  <si>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</si>
  <si>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</si>
  <si>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</si>
  <si>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</si>
  <si>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</si>
  <si>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</si>
  <si>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</si>
  <si>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</si>
  <si>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</si>
  <si>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</si>
  <si>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</si>
  <si>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</si>
  <si>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</si>
  <si>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</si>
  <si>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</si>
  <si>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</si>
  <si>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</si>
  <si>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</si>
  <si>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</si>
  <si>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</si>
  <si>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</si>
  <si>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</si>
  <si>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</si>
  <si>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</si>
  <si>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</si>
  <si>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</si>
  <si>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</si>
  <si>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</si>
  <si>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</si>
  <si>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</si>
  <si>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</si>
  <si>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</si>
  <si>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</si>
  <si>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</si>
  <si>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</si>
  <si>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</si>
  <si>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</si>
  <si>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</si>
  <si>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</si>
  <si>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</si>
  <si>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</si>
  <si>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</si>
  <si>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</si>
  <si>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</si>
  <si>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</si>
  <si>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</si>
  <si>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</si>
  <si>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</si>
  <si>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</si>
  <si>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</si>
  <si>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</si>
  <si>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</si>
  <si>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</si>
  <si>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</si>
  <si>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</si>
  <si>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</si>
  <si>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</si>
  <si>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</si>
  <si>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</si>
  <si>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</si>
  <si>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</si>
  <si>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</si>
  <si>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</si>
  <si>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</si>
  <si>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</si>
  <si>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</si>
  <si>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</si>
  <si>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</si>
  <si>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</si>
  <si>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</si>
  <si>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</si>
  <si>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</si>
  <si>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</si>
  <si>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</si>
  <si>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</si>
  <si>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</si>
  <si>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</si>
  <si>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</si>
  <si>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</si>
  <si>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</si>
  <si>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</si>
  <si>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</si>
  <si>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</si>
  <si>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</si>
  <si>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</si>
  <si>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</si>
  <si>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</si>
  <si>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</si>
  <si>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</si>
  <si>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</si>
  <si>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</si>
  <si>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</si>
  <si>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</si>
  <si>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</si>
  <si>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</si>
  <si>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</si>
  <si>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</si>
  <si>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</si>
  <si>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</si>
  <si>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</si>
  <si>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</si>
  <si>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</si>
  <si>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</si>
  <si>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</si>
  <si>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</si>
  <si>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</si>
  <si>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</si>
  <si>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</si>
  <si>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</si>
  <si>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</si>
  <si>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</si>
  <si>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</si>
  <si>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</si>
  <si>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</si>
  <si>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</si>
  <si>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</si>
  <si>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</si>
  <si>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</si>
  <si>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</si>
  <si>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</si>
  <si>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</si>
  <si>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</si>
  <si>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</si>
  <si>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</si>
  <si>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</si>
  <si>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</si>
  <si>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</si>
  <si>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</si>
  <si>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</si>
  <si>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</si>
  <si>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</si>
  <si>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</si>
  <si>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</si>
  <si>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</si>
  <si>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</si>
  <si>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</si>
  <si>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</si>
  <si>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</si>
  <si>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</si>
  <si>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</si>
  <si>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</si>
  <si>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</si>
  <si>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</si>
  <si>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</si>
  <si>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</si>
  <si>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</si>
  <si>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</si>
  <si>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</si>
  <si>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</si>
  <si>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</si>
  <si>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</si>
  <si>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</si>
  <si>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</si>
  <si>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</si>
  <si>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</si>
  <si>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</si>
  <si>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</si>
  <si>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</si>
  <si>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</si>
  <si>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</si>
  <si>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</si>
  <si>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</si>
  <si>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</si>
  <si>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</si>
  <si>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</si>
  <si>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</si>
  <si>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</si>
  <si>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</si>
  <si>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</si>
  <si>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</si>
  <si>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</si>
  <si>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</si>
  <si>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</si>
  <si>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</si>
  <si>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</si>
  <si>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</si>
  <si>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</si>
  <si>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</si>
  <si>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</si>
  <si>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</si>
  <si>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</si>
  <si>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</si>
  <si>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</si>
  <si>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</si>
  <si>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</si>
  <si>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</si>
  <si>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</si>
  <si>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</si>
  <si>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</si>
  <si>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</si>
  <si>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</si>
  <si>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</si>
  <si>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</si>
  <si>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</si>
  <si>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</si>
  <si>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</si>
  <si>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</si>
  <si>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</si>
  <si>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</si>
  <si>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</si>
  <si>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</si>
  <si>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</si>
  <si>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</si>
  <si>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</si>
  <si>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</si>
  <si>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</si>
  <si>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</si>
  <si>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</si>
  <si>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</si>
  <si>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</si>
  <si>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</si>
  <si>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</si>
  <si>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</si>
  <si>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</si>
  <si>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</si>
  <si>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</si>
  <si>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</si>
  <si>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</si>
  <si>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</si>
  <si>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</si>
  <si>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</si>
  <si>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</si>
  <si>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</si>
  <si>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</si>
  <si>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</si>
  <si>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</si>
  <si>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</si>
  <si>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</si>
  <si>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</si>
  <si>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</si>
  <si>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</si>
  <si>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</si>
  <si>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</si>
  <si>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</si>
  <si>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</si>
  <si>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</si>
  <si>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</si>
  <si>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</si>
  <si>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</si>
  <si>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</si>
  <si>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</si>
  <si>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</si>
  <si>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</si>
  <si>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</si>
  <si>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</si>
  <si>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</si>
  <si>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</si>
  <si>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</si>
  <si>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</si>
  <si>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</si>
  <si>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</si>
  <si>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</si>
  <si>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</si>
  <si>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</si>
  <si>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</si>
  <si>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</si>
  <si>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</si>
  <si>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</si>
  <si>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</si>
  <si>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</si>
  <si>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</si>
  <si>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</si>
  <si>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</si>
  <si>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</si>
  <si>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</si>
  <si>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</si>
  <si>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</si>
  <si>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</si>
  <si>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</si>
  <si>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</si>
  <si>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</si>
  <si>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</si>
  <si>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</si>
  <si>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</si>
  <si>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</si>
  <si>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</si>
  <si>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</si>
  <si>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</si>
  <si>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</si>
  <si>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</si>
  <si>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</si>
  <si>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</si>
  <si>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</si>
  <si>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</si>
  <si>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</si>
  <si>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</si>
  <si>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</si>
  <si>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</si>
  <si>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</si>
  <si>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</si>
  <si>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</si>
  <si>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</si>
  <si>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</si>
  <si>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</si>
  <si>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</si>
  <si>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</si>
  <si>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</si>
  <si>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</si>
  <si>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</si>
  <si>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</si>
  <si>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</si>
  <si>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</si>
  <si>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</si>
  <si>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</si>
  <si>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</si>
  <si>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</si>
  <si>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</si>
  <si>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</si>
  <si>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</si>
  <si>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</si>
  <si>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</si>
  <si>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</si>
  <si>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</si>
  <si>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</si>
  <si>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</si>
  <si>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</si>
  <si>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</si>
  <si>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</si>
  <si>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</si>
  <si>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</si>
  <si>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</si>
  <si>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</si>
  <si>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</si>
  <si>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</si>
  <si>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</si>
  <si>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</si>
  <si>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</si>
  <si>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</si>
  <si>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</si>
  <si>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</si>
  <si>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</si>
  <si>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</si>
  <si>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</si>
  <si>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</si>
  <si>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</si>
  <si>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</si>
  <si>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</si>
  <si>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</si>
  <si>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</si>
  <si>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</si>
  <si>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</si>
  <si>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</si>
  <si>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</si>
  <si>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</si>
  <si>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</si>
  <si>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</si>
  <si>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</si>
  <si>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</si>
  <si>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</si>
  <si>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</si>
  <si>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</si>
  <si>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</si>
  <si>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</si>
  <si>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</si>
  <si>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</si>
  <si>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</si>
  <si>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</si>
  <si>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</si>
  <si>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</si>
  <si>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</si>
  <si>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</si>
  <si>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</si>
  <si>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</si>
  <si>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</si>
  <si>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</si>
  <si>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</si>
  <si>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</si>
  <si>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</si>
  <si>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</si>
  <si>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</si>
  <si>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</si>
  <si>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</si>
  <si>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</si>
  <si>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</si>
  <si>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</si>
  <si>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</si>
  <si>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</si>
  <si>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</si>
  <si>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</si>
  <si>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</si>
  <si>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</si>
  <si>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</si>
  <si>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</si>
  <si>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</si>
  <si>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</si>
  <si>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</si>
  <si>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</si>
  <si>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</si>
  <si>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</si>
  <si>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</si>
  <si>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</si>
  <si>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</si>
  <si>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</si>
  <si>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</si>
  <si>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</si>
  <si>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</si>
  <si>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</si>
  <si>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</si>
  <si>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</si>
  <si>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</si>
  <si>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</si>
  <si>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</si>
  <si>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</si>
  <si>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</si>
  <si>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</si>
  <si>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</si>
  <si>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</si>
  <si>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</si>
  <si>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</si>
  <si>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</si>
  <si>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</si>
  <si>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</si>
  <si>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</si>
  <si>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</si>
  <si>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</si>
  <si>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</si>
  <si>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</si>
  <si>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</si>
  <si>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</si>
  <si>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</si>
  <si>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</si>
  <si>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</si>
  <si>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</si>
  <si>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</si>
  <si>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</si>
  <si>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</si>
  <si>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</si>
  <si>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</si>
  <si>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</si>
  <si>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</si>
  <si>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</si>
  <si>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</si>
  <si>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</si>
  <si>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</si>
  <si>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</si>
  <si>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</si>
  <si>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</si>
  <si>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</si>
  <si>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</si>
  <si>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</si>
  <si>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</si>
  <si>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</si>
  <si>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</si>
  <si>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</si>
  <si>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</si>
  <si>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</si>
  <si>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</si>
  <si>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</si>
  <si>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</si>
  <si>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</si>
  <si>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</si>
  <si>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</si>
  <si>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</si>
  <si>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</si>
  <si>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</si>
  <si>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</si>
  <si>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</si>
  <si>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</si>
  <si>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</si>
  <si>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</si>
  <si>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</si>
  <si>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</si>
  <si>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</si>
  <si>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</si>
  <si>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</si>
  <si>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</si>
  <si>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</si>
  <si>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</si>
  <si>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</si>
  <si>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</si>
  <si>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</si>
  <si>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</si>
  <si>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</si>
  <si>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</si>
  <si>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</si>
  <si>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</si>
  <si>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</si>
  <si>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</si>
  <si>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</si>
  <si>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</si>
  <si>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</si>
  <si>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</si>
  <si>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</si>
  <si>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</si>
  <si>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</si>
  <si>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</si>
  <si>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</si>
  <si>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</si>
  <si>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</si>
  <si>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</si>
  <si>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</si>
  <si>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</si>
  <si>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</si>
  <si>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</si>
  <si>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</si>
  <si>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</si>
  <si>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</si>
  <si>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</si>
  <si>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</si>
  <si>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</si>
  <si>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</si>
  <si>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</si>
  <si>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</si>
  <si>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</si>
  <si>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</si>
  <si>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</si>
  <si>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</si>
  <si>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</si>
  <si>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</si>
  <si>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</si>
  <si>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</si>
  <si>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</si>
  <si>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</si>
  <si>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</si>
  <si>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</si>
  <si>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</si>
  <si>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</si>
  <si>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</si>
  <si>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</si>
  <si>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</si>
  <si>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</si>
  <si>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</si>
  <si>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</si>
  <si>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</si>
  <si>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</si>
  <si>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</si>
  <si>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</si>
  <si>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</si>
  <si>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</si>
  <si>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</si>
  <si>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</si>
  <si>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</si>
  <si>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</si>
  <si>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</si>
  <si>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</si>
  <si>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</si>
  <si>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</si>
  <si>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</si>
  <si>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</si>
  <si>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</si>
  <si>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</si>
  <si>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</si>
  <si>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</si>
  <si>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</si>
  <si>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</si>
  <si>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</si>
  <si>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</si>
  <si>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</si>
  <si>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</si>
  <si>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</si>
  <si>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</si>
  <si>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</si>
  <si>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</si>
  <si>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</si>
  <si>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</si>
  <si>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</si>
  <si>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</si>
  <si>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</si>
  <si>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</si>
  <si>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</si>
  <si>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</si>
  <si>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</si>
  <si>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</si>
  <si>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</si>
  <si>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</si>
  <si>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</si>
  <si>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</si>
  <si>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</si>
  <si>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</si>
  <si>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</si>
  <si>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</si>
  <si>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</si>
  <si>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</si>
  <si>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</si>
  <si>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</si>
  <si>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</si>
  <si>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</si>
  <si>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</si>
  <si>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</si>
  <si>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</si>
  <si>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</si>
  <si>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</si>
  <si>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</si>
  <si>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</si>
  <si>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</si>
  <si>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</si>
  <si>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</si>
  <si>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</si>
  <si>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</si>
  <si>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</si>
  <si>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</si>
  <si>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</si>
  <si>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</si>
  <si>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</si>
  <si>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</si>
  <si>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</si>
  <si>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</si>
  <si>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</si>
  <si>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</si>
  <si>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</si>
  <si>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</si>
  <si>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</si>
  <si>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</si>
  <si>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</si>
  <si>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</si>
  <si>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</si>
  <si>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</si>
  <si>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</si>
  <si>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</si>
  <si>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</si>
  <si>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</si>
  <si>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</si>
  <si>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</si>
  <si>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</si>
  <si>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</si>
  <si>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</si>
  <si>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</si>
  <si>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</si>
  <si>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</si>
  <si>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</si>
  <si>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</si>
  <si>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</si>
  <si>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</si>
  <si>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</si>
  <si>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</si>
  <si>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</si>
  <si>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</si>
  <si>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</si>
  <si>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</si>
  <si>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</si>
  <si>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</si>
  <si>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</si>
  <si>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</si>
  <si>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</si>
  <si>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</si>
  <si>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</si>
  <si>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</si>
  <si>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</si>
  <si>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</si>
  <si>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</si>
  <si>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</si>
  <si>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</si>
  <si>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</si>
  <si>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</si>
  <si>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</si>
  <si>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</si>
  <si>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</si>
  <si>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</si>
  <si>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</si>
  <si>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</si>
  <si>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</si>
  <si>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</si>
  <si>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</si>
  <si>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</si>
  <si>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</si>
  <si>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</si>
  <si>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</si>
  <si>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</si>
  <si>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</si>
  <si>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</si>
  <si>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</si>
  <si>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</si>
  <si>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</si>
  <si>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</si>
  <si>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</si>
  <si>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</si>
  <si>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</si>
  <si>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</si>
  <si>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</si>
  <si>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</si>
  <si>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</si>
  <si>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</si>
  <si>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</si>
  <si>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</si>
  <si>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</si>
  <si>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</si>
  <si>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</si>
  <si>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</si>
  <si>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</si>
  <si>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</si>
  <si>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</si>
  <si>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</si>
  <si>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</si>
  <si>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</si>
  <si>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</si>
  <si>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</si>
  <si>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</si>
  <si>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</si>
  <si>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</si>
  <si>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</si>
  <si>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</si>
  <si>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</si>
  <si>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</si>
  <si>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</si>
  <si>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</si>
  <si>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</si>
  <si>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</si>
  <si>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</si>
  <si>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</si>
  <si>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</si>
  <si>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</si>
  <si>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</si>
  <si>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</si>
  <si>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</si>
  <si>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</si>
  <si>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</si>
  <si>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</si>
  <si>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</si>
  <si>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</si>
  <si>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</si>
  <si>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</si>
  <si>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</si>
  <si>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</si>
  <si>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</si>
  <si>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</si>
  <si>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</si>
  <si>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</si>
  <si>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</si>
  <si>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</si>
  <si>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</si>
  <si>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</si>
  <si>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</si>
  <si>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</si>
  <si>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</si>
  <si>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</si>
  <si>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</si>
  <si>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</si>
  <si>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</si>
  <si>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</si>
  <si>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</si>
  <si>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</si>
  <si>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</si>
  <si>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</si>
  <si>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</si>
  <si>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</si>
  <si>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</si>
  <si>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</si>
  <si>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</si>
  <si>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</si>
  <si>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</si>
  <si>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</si>
  <si>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</si>
  <si>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</si>
  <si>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</si>
  <si>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</si>
  <si>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</si>
  <si>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</si>
  <si>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</si>
  <si>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</si>
  <si>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</si>
  <si>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</si>
  <si>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</si>
  <si>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</si>
  <si>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</si>
  <si>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</si>
  <si>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</si>
  <si>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</si>
  <si>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</si>
  <si>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</si>
  <si>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</si>
  <si>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</si>
  <si>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</si>
  <si>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</si>
  <si>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</si>
  <si>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</si>
  <si>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</si>
  <si>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</si>
  <si>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</si>
  <si>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</si>
  <si>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</si>
  <si>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</si>
  <si>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</si>
  <si>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</si>
  <si>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</si>
  <si>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</si>
  <si>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</si>
  <si>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</si>
  <si>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</si>
  <si>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</si>
  <si>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</si>
  <si>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</si>
  <si>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</si>
  <si>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</si>
  <si>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</si>
  <si>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</si>
  <si>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</si>
  <si>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</si>
  <si>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</si>
  <si>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</si>
  <si>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</si>
  <si>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</si>
  <si>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</si>
  <si>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</si>
  <si>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</si>
  <si>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</si>
  <si>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</si>
  <si>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</si>
  <si>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</si>
  <si>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</si>
  <si>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</si>
  <si>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</si>
  <si>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</si>
  <si>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</si>
  <si>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</si>
  <si>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</si>
  <si>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</si>
  <si>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</si>
  <si>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</si>
  <si>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</si>
  <si>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</si>
  <si>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</si>
  <si>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</si>
  <si>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</si>
  <si>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</si>
  <si>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</si>
  <si>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</si>
  <si>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</si>
  <si>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</si>
  <si>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</si>
  <si>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</si>
  <si>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</si>
  <si>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</si>
  <si>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</si>
  <si>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</si>
  <si>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</si>
  <si>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</si>
  <si>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</si>
  <si>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</si>
  <si>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</si>
  <si>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</si>
  <si>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</si>
  <si>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</si>
  <si>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</si>
  <si>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</si>
  <si>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</si>
  <si>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</si>
  <si>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</si>
  <si>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</si>
  <si>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</si>
  <si>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</si>
  <si>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</si>
  <si>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</si>
  <si>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</si>
  <si>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</si>
  <si>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</si>
  <si>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</si>
  <si>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</si>
  <si>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</si>
  <si>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</si>
  <si>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</si>
  <si>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</si>
  <si>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</si>
  <si>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</si>
  <si>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</si>
  <si>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</si>
  <si>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</si>
  <si>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</si>
  <si>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</si>
  <si>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</si>
  <si>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</si>
  <si>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</si>
  <si>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</si>
  <si>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</si>
  <si>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</si>
  <si>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</si>
  <si>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</si>
  <si>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</si>
  <si>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</si>
  <si>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</si>
  <si>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</si>
  <si>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</si>
  <si>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</si>
  <si>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</si>
  <si>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</si>
  <si>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</si>
  <si>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</si>
  <si>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</si>
  <si>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</si>
  <si>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</si>
  <si>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</si>
  <si>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</si>
  <si>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</si>
  <si>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</si>
  <si>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</si>
  <si>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</si>
  <si>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</si>
  <si>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</si>
  <si>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</si>
  <si>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</si>
  <si>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</si>
  <si>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</si>
  <si>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</si>
  <si>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</si>
  <si>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</si>
  <si>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</si>
  <si>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</si>
  <si>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</si>
  <si>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</si>
  <si>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</si>
  <si>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</si>
  <si>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</si>
  <si>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</si>
  <si>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</si>
  <si>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</si>
  <si>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</si>
  <si>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</si>
  <si>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</si>
  <si>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</si>
  <si>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</si>
  <si>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</si>
  <si>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</si>
  <si>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</si>
  <si>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</si>
  <si>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</si>
  <si>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</si>
  <si>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</si>
  <si>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</si>
  <si>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</si>
  <si>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</si>
  <si>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</si>
  <si>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</si>
  <si>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</si>
  <si>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</si>
  <si>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</si>
  <si>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</si>
  <si>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</si>
  <si>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</si>
  <si>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</si>
  <si>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</si>
  <si>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</si>
  <si>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</si>
  <si>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</si>
  <si>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</si>
  <si>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</si>
  <si>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</si>
  <si>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</si>
  <si>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</si>
  <si>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</si>
  <si>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</si>
  <si>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</si>
  <si>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</si>
  <si>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</si>
  <si>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</si>
  <si>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</si>
  <si>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</si>
  <si>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</si>
  <si>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</si>
  <si>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</si>
  <si>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</si>
  <si>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</si>
  <si>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</si>
  <si>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</si>
  <si>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</si>
  <si>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</si>
  <si>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</si>
  <si>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</si>
  <si>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</si>
  <si>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</si>
  <si>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</si>
  <si>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</si>
  <si>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</si>
  <si>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</si>
  <si>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</si>
  <si>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</si>
  <si>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</si>
  <si>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</si>
  <si>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</si>
  <si>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</si>
  <si>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</si>
  <si>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</si>
  <si>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</si>
  <si>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</si>
  <si>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</si>
  <si>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</si>
  <si>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</si>
  <si>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</si>
  <si>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</si>
  <si>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</si>
  <si>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</si>
  <si>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</si>
  <si>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</si>
  <si>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</si>
  <si>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</si>
  <si>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</si>
  <si>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</si>
  <si>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</si>
  <si>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</si>
  <si>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</si>
  <si>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</si>
  <si>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</si>
  <si>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</si>
  <si>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</si>
  <si>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</si>
  <si>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</si>
  <si>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</si>
  <si>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</si>
  <si>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</si>
  <si>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</si>
  <si>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</si>
  <si>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</si>
  <si>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</si>
  <si>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</si>
  <si>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</si>
  <si>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</si>
  <si>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</si>
  <si>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</si>
  <si>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</si>
  <si>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</si>
  <si>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</si>
  <si>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</si>
  <si>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</si>
  <si>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</si>
  <si>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</si>
  <si>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</si>
  <si>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</si>
  <si>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</si>
  <si>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</si>
  <si>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</si>
  <si>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</si>
  <si>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</si>
  <si>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</si>
  <si>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</si>
  <si>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</si>
  <si>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</si>
  <si>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</si>
  <si>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</si>
  <si>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</si>
  <si>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</si>
  <si>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</si>
  <si>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</si>
  <si>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</si>
  <si>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</si>
  <si>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</si>
  <si>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</si>
  <si>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</si>
  <si>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</si>
  <si>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</si>
  <si>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</si>
  <si>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</si>
  <si>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</si>
  <si>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</si>
  <si>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</si>
  <si>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</si>
  <si>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</si>
  <si>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</si>
  <si>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</si>
  <si>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</si>
  <si>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</si>
  <si>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</si>
  <si>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</si>
  <si>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</si>
  <si>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</si>
  <si>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</si>
  <si>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</si>
  <si>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</si>
  <si>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</si>
  <si>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</si>
  <si>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</si>
  <si>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</si>
  <si>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</si>
  <si>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</si>
  <si>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</si>
  <si>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</si>
  <si>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</si>
  <si>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</si>
  <si>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</si>
  <si>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</si>
  <si>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</si>
  <si>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</si>
  <si>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</si>
  <si>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</si>
  <si>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</si>
  <si>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</si>
  <si>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</si>
  <si>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</si>
  <si>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</si>
  <si>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</si>
  <si>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</si>
  <si>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</si>
  <si>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</si>
  <si>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</si>
  <si>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</si>
  <si>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</si>
  <si>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</si>
  <si>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</si>
  <si>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</si>
  <si>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</si>
  <si>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</si>
  <si>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</si>
  <si>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</si>
  <si>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</si>
  <si>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</si>
  <si>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</si>
  <si>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</si>
  <si>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</si>
  <si>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</si>
  <si>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</si>
  <si>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</si>
  <si>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</si>
  <si>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</si>
  <si>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</si>
  <si>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</si>
  <si>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</si>
  <si>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</si>
  <si>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</si>
  <si>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</si>
  <si>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</si>
  <si>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</si>
  <si>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</si>
  <si>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</si>
  <si>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</si>
  <si>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</si>
  <si>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</si>
  <si>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</si>
  <si>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</si>
  <si>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</si>
  <si>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</si>
  <si>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</si>
  <si>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</si>
  <si>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</si>
  <si>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</si>
  <si>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</si>
  <si>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</si>
  <si>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</si>
  <si>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</si>
  <si>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</si>
  <si>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</si>
  <si>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</si>
  <si>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</si>
  <si>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</si>
  <si>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</si>
  <si>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</si>
  <si>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</si>
  <si>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</si>
  <si>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</si>
  <si>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</si>
  <si>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</si>
  <si>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</si>
  <si>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</si>
  <si>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</si>
  <si>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</si>
  <si>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</si>
  <si>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</si>
  <si>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</si>
  <si>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</si>
  <si>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</si>
  <si>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</si>
  <si>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</si>
  <si>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</si>
  <si>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</si>
  <si>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</si>
  <si>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</si>
  <si>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</si>
  <si>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</si>
  <si>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</si>
  <si>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</si>
  <si>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</si>
  <si>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</si>
  <si>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</si>
  <si>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</si>
  <si>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</si>
  <si>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</si>
  <si>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</si>
  <si>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</si>
  <si>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</si>
  <si>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</si>
  <si>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</si>
  <si>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</si>
  <si>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</si>
  <si>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</si>
  <si>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</si>
  <si>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</si>
  <si>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</si>
  <si>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</si>
  <si>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</si>
  <si>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</si>
  <si>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</si>
  <si>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</si>
  <si>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</si>
  <si>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</si>
  <si>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</si>
  <si>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</si>
  <si>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</si>
  <si>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</si>
  <si>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</si>
  <si>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</si>
  <si>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</si>
  <si>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</si>
  <si>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</si>
  <si>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</si>
  <si>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</si>
  <si>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</si>
  <si>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</si>
  <si>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</si>
  <si>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</si>
  <si>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</si>
  <si>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</si>
  <si>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</si>
  <si>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</si>
  <si>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</si>
  <si>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</si>
  <si>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</si>
  <si>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</si>
  <si>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</si>
  <si>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</si>
  <si>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</si>
  <si>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</si>
  <si>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</si>
  <si>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</si>
  <si>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</si>
  <si>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</si>
  <si>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</si>
  <si>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</si>
  <si>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</si>
  <si>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</si>
  <si>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</si>
  <si>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</si>
  <si>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</si>
  <si>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</si>
  <si>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</si>
  <si>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</si>
  <si>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</si>
  <si>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</si>
  <si>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</si>
  <si>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</si>
  <si>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</si>
  <si>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</si>
  <si>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</si>
  <si>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</si>
  <si>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</si>
  <si>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</si>
  <si>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</si>
  <si>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</si>
  <si>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</si>
  <si>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</si>
  <si>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</si>
  <si>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</si>
  <si>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</si>
  <si>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</si>
  <si>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</si>
  <si>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</si>
  <si>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</si>
  <si>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</si>
  <si>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</si>
  <si>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</si>
  <si>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</si>
  <si>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</si>
  <si>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</si>
  <si>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</si>
  <si>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</si>
  <si>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</si>
  <si>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</si>
  <si>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</si>
  <si>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</si>
  <si>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</si>
  <si>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</si>
  <si>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</si>
  <si>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</si>
  <si>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</si>
  <si>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</si>
  <si>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</si>
  <si>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</si>
  <si>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</si>
  <si>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</si>
  <si>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</si>
  <si>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</si>
  <si>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</si>
  <si>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</si>
  <si>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</si>
  <si>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</si>
  <si>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</si>
  <si>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</si>
  <si>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</si>
  <si>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</si>
  <si>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</si>
  <si>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</si>
  <si>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</si>
  <si>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</si>
  <si>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</si>
  <si>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</si>
  <si>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</si>
  <si>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</si>
  <si>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</si>
  <si>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</si>
  <si>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</si>
  <si>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</si>
  <si>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</si>
  <si>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</si>
  <si>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</si>
  <si>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</si>
  <si>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</si>
  <si>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</si>
  <si>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</si>
  <si>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</si>
  <si>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</si>
  <si>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</si>
  <si>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</si>
  <si>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</si>
  <si>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</si>
  <si>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</si>
  <si>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</si>
  <si>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</si>
  <si>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</si>
  <si>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</si>
  <si>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</si>
  <si>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</si>
  <si>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</si>
  <si>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</si>
  <si>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</si>
  <si>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</si>
  <si>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</si>
  <si>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</si>
  <si>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</si>
  <si>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</si>
  <si>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</si>
  <si>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</si>
  <si>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</si>
  <si>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</si>
  <si>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</si>
  <si>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</si>
  <si>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</si>
  <si>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</si>
  <si>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</si>
  <si>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</si>
  <si>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</si>
  <si>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</si>
  <si>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</si>
  <si>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</si>
  <si>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</si>
  <si>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</si>
  <si>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</si>
  <si>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</si>
  <si>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</si>
  <si>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</si>
  <si>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</si>
  <si>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</si>
  <si>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</si>
  <si>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</si>
  <si>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</si>
  <si>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</si>
  <si>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</si>
  <si>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</si>
  <si>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</si>
  <si>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</si>
  <si>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</si>
  <si>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</si>
  <si>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</si>
  <si>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</si>
  <si>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</si>
  <si>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</si>
  <si>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</si>
  <si>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</si>
  <si>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</si>
  <si>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</si>
  <si>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</si>
  <si>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</si>
  <si>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</si>
  <si>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</si>
  <si>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</si>
  <si>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</si>
  <si>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</si>
  <si>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</si>
  <si>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</si>
  <si>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</si>
  <si>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</si>
  <si>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</si>
  <si>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</si>
  <si>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</si>
  <si>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</si>
  <si>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</si>
  <si>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</si>
  <si>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</si>
  <si>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</si>
  <si>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</si>
  <si>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</si>
  <si>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</si>
  <si>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</si>
  <si>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</si>
  <si>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</si>
  <si>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</si>
  <si>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</si>
  <si>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</si>
  <si>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</si>
  <si>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</si>
  <si>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</si>
  <si>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</si>
  <si>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</si>
  <si>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</si>
  <si>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</si>
  <si>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</si>
  <si>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</si>
  <si>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</si>
  <si>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</si>
  <si>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</si>
  <si>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</si>
  <si>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</si>
  <si>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</si>
  <si>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</si>
  <si>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</si>
  <si>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</si>
  <si>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</si>
  <si>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</si>
  <si>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</si>
  <si>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</si>
  <si>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</si>
  <si>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</si>
  <si>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</si>
  <si>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</si>
  <si>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</si>
  <si>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</si>
  <si>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</si>
  <si>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</si>
  <si>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</si>
  <si>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</si>
  <si>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</si>
  <si>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</si>
  <si>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</si>
  <si>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</si>
  <si>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</si>
  <si>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</si>
  <si>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</si>
  <si>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</si>
  <si>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</si>
  <si>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</si>
  <si>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</si>
  <si>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</si>
  <si>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</si>
  <si>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</si>
  <si>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</si>
  <si>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</si>
  <si>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</si>
  <si>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</si>
  <si>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</si>
  <si>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</si>
  <si>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</si>
  <si>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</si>
  <si>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</si>
  <si>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</si>
  <si>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</si>
  <si>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</si>
  <si>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</si>
  <si>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</si>
  <si>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</si>
  <si>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</si>
  <si>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</si>
  <si>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</si>
  <si>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</si>
  <si>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</si>
  <si>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</si>
  <si>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</si>
  <si>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</si>
  <si>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</si>
  <si>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</si>
  <si>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</si>
  <si>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</si>
  <si>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</si>
  <si>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</si>
  <si>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</si>
  <si>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</si>
  <si>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</si>
  <si>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</si>
  <si>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</si>
  <si>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</si>
  <si>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</si>
  <si>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</si>
  <si>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</si>
  <si>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</si>
  <si>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</si>
  <si>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</si>
  <si>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</si>
  <si>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</si>
  <si>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</si>
  <si>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</si>
  <si>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</si>
  <si>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</si>
  <si>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</si>
  <si>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</si>
  <si>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</si>
  <si>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</si>
  <si>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</si>
  <si>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</si>
  <si>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</si>
  <si>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</si>
  <si>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</si>
  <si>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</si>
  <si>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</si>
  <si>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</si>
  <si>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</si>
  <si>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</si>
  <si>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</si>
  <si>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</si>
  <si>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</si>
  <si>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</si>
  <si>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</si>
  <si>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</si>
  <si>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</si>
  <si>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</si>
  <si>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</si>
  <si>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</si>
  <si>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</si>
  <si>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</si>
  <si>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</si>
  <si>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</si>
  <si>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</si>
  <si>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</si>
  <si>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</si>
  <si>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</si>
  <si>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</si>
  <si>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</si>
  <si>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</si>
  <si>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</si>
  <si>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</si>
  <si>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</si>
  <si>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</si>
  <si>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</si>
  <si>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</si>
  <si>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</si>
  <si>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</si>
  <si>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</si>
  <si>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</si>
  <si>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</si>
  <si>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</si>
  <si>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</si>
  <si>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</si>
  <si>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</si>
  <si>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</si>
  <si>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</si>
  <si>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</si>
  <si>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</si>
  <si>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</si>
  <si>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</si>
  <si>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</si>
  <si>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</si>
  <si>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</si>
  <si>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</si>
  <si>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</si>
  <si>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</si>
  <si>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</si>
  <si>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</si>
  <si>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</si>
  <si>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</si>
  <si>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</si>
  <si>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</si>
  <si>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</si>
  <si>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</si>
  <si>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</si>
  <si>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</si>
  <si>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</si>
  <si>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</si>
  <si>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</si>
  <si>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</si>
  <si>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</si>
  <si>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</si>
  <si>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</si>
  <si>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</si>
  <si>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</si>
  <si>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</si>
  <si>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</si>
  <si>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</si>
  <si>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</si>
  <si>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</si>
  <si>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</si>
  <si>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</si>
  <si>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</si>
  <si>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</si>
  <si>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</si>
  <si>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</si>
  <si>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</si>
  <si>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</si>
  <si>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</si>
  <si>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</si>
  <si>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</si>
  <si>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</si>
  <si>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</si>
  <si>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</si>
  <si>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</si>
  <si>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</si>
  <si>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</si>
  <si>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</si>
  <si>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</si>
  <si>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</si>
  <si>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</si>
  <si>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</si>
  <si>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</si>
  <si>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</si>
  <si>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</si>
  <si>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</si>
  <si>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</si>
  <si>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</si>
  <si>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</si>
  <si>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</si>
  <si>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</si>
  <si>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</si>
  <si>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</si>
  <si>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</si>
  <si>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</si>
  <si>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</si>
  <si>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</si>
  <si>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</si>
  <si>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</si>
  <si>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</si>
  <si>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</si>
  <si>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</si>
  <si>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</si>
  <si>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</si>
  <si>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</si>
  <si>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</si>
  <si>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</si>
  <si>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</si>
  <si>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</si>
  <si>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</si>
  <si>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</si>
  <si>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</si>
  <si>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</si>
  <si>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</si>
  <si>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</si>
  <si>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</si>
  <si>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</si>
  <si>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</si>
  <si>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</si>
  <si>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</si>
  <si>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</si>
  <si>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</si>
  <si>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</si>
  <si>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</si>
  <si>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</si>
  <si>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</si>
  <si>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</si>
  <si>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</si>
  <si>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</si>
  <si>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</si>
  <si>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</si>
  <si>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</si>
  <si>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</si>
  <si>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</si>
  <si>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</si>
  <si>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</si>
  <si>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</si>
  <si>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</si>
  <si>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</si>
  <si>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</si>
  <si>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</si>
  <si>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</si>
  <si>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</si>
  <si>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</si>
  <si>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</si>
  <si>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</si>
  <si>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</si>
  <si>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</si>
  <si>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</si>
  <si>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</si>
  <si>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</si>
  <si>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</si>
  <si>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</si>
  <si>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</si>
  <si>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</si>
  <si>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</si>
  <si>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</si>
  <si>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</si>
  <si>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</si>
  <si>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</si>
  <si>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</si>
  <si>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</si>
  <si>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</si>
  <si>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</si>
  <si>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</si>
  <si>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</si>
  <si>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</si>
  <si>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</si>
  <si>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</si>
  <si>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</si>
  <si>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</si>
  <si>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</si>
  <si>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</si>
  <si>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</si>
  <si>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</si>
  <si>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</si>
  <si>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</si>
  <si>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</si>
  <si>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</si>
  <si>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</si>
  <si>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</si>
  <si>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</si>
  <si>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</si>
  <si>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</si>
  <si>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</si>
  <si>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</si>
  <si>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</si>
  <si>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</si>
  <si>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</si>
  <si>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</si>
  <si>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</si>
  <si>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</si>
  <si>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</si>
  <si>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</si>
  <si>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</si>
  <si>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</si>
  <si>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</si>
  <si>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</si>
  <si>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</si>
  <si>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</si>
  <si>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</si>
  <si>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</si>
  <si>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</si>
  <si>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</si>
  <si>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</si>
  <si>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</si>
  <si>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</si>
  <si>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</si>
  <si>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</si>
  <si>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</si>
  <si>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</si>
  <si>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</si>
  <si>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</si>
  <si>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</si>
  <si>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</si>
  <si>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</si>
  <si>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</si>
  <si>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</si>
  <si>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</si>
  <si>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</si>
  <si>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</si>
  <si>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</si>
  <si>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</si>
  <si>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</si>
  <si>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</si>
  <si>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</si>
  <si>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</si>
  <si>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</si>
  <si>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</si>
  <si>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</si>
  <si>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</si>
  <si>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</si>
  <si>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</si>
  <si>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</si>
  <si>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</si>
  <si>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</si>
  <si>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</si>
  <si>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</si>
  <si>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</si>
  <si>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</si>
  <si>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</si>
  <si>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</si>
  <si>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</si>
  <si>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</si>
  <si>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</si>
  <si>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</si>
  <si>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</si>
  <si>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</si>
  <si>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</si>
  <si>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</si>
  <si>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</si>
  <si>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</si>
  <si>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</si>
  <si>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</si>
  <si>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</si>
  <si>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</si>
  <si>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</si>
  <si>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</si>
  <si>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</si>
  <si>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</si>
  <si>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</si>
  <si>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</si>
  <si>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</si>
  <si>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</si>
  <si>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</si>
  <si>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</si>
  <si>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</si>
  <si>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</si>
  <si>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</si>
  <si>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</si>
  <si>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</si>
  <si>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</si>
  <si>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</si>
  <si>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</si>
  <si>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</si>
  <si>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</si>
  <si>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</si>
  <si>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</si>
  <si>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</si>
  <si>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</si>
  <si>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</si>
  <si>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</si>
  <si>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</si>
  <si>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</si>
  <si>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</si>
  <si>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</si>
  <si>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</si>
  <si>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</si>
  <si>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</si>
  <si>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</si>
  <si>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</si>
  <si>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</si>
  <si>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</si>
  <si>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</si>
  <si>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</si>
  <si>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</si>
  <si>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</si>
  <si>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</si>
  <si>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</si>
  <si>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</si>
  <si>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</si>
  <si>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</si>
  <si>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</si>
  <si>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</si>
  <si>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</si>
  <si>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</si>
  <si>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</si>
  <si>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</si>
  <si>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</si>
  <si>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</si>
  <si>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</si>
  <si>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</si>
  <si>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</si>
  <si>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</si>
  <si>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</si>
  <si>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</si>
  <si>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</si>
  <si>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</si>
  <si>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</si>
  <si>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</si>
  <si>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</si>
  <si>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</si>
  <si>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</si>
  <si>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</si>
  <si>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</si>
  <si>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</si>
  <si>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</si>
  <si>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</si>
  <si>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</si>
  <si>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</si>
  <si>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</si>
  <si>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</si>
  <si>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</si>
  <si>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</si>
  <si>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</si>
  <si>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</si>
  <si>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</si>
  <si>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</si>
  <si>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</si>
  <si>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</si>
  <si>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</si>
  <si>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</si>
  <si>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</si>
  <si>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</si>
  <si>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</si>
  <si>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</si>
  <si>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</si>
  <si>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</si>
  <si>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</si>
  <si>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</si>
  <si>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</si>
  <si>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</si>
  <si>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</si>
  <si>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</si>
  <si>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</si>
  <si>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</si>
  <si>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</si>
  <si>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</si>
  <si>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</si>
  <si>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</si>
  <si>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</si>
  <si>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</si>
  <si>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</si>
  <si>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</si>
  <si>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</si>
  <si>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</si>
  <si>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</si>
  <si>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</si>
  <si>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</si>
  <si>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</si>
  <si>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</si>
  <si>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</si>
  <si>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</si>
  <si>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</si>
  <si>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</si>
  <si>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</si>
  <si>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</si>
  <si>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</si>
  <si>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</si>
  <si>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</si>
  <si>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</si>
  <si>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</si>
  <si>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</si>
  <si>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</si>
  <si>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</si>
  <si>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</si>
  <si>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</si>
  <si>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</si>
  <si>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</si>
  <si>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</si>
  <si>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</si>
  <si>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</si>
  <si>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</si>
  <si>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</si>
  <si>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</si>
  <si>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</si>
  <si>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</si>
  <si>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</si>
  <si>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</si>
  <si>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</si>
  <si>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</si>
  <si>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</si>
  <si>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</si>
  <si>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</si>
  <si>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</si>
  <si>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</si>
  <si>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</si>
  <si>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</si>
  <si>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</si>
  <si>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</si>
  <si>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</si>
  <si>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</si>
  <si>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</si>
  <si>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</si>
  <si>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</si>
  <si>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</si>
  <si>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</si>
  <si>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</si>
  <si>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</si>
  <si>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</si>
  <si>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</si>
  <si>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</si>
  <si>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</si>
  <si>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</si>
  <si>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</si>
  <si>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</si>
  <si>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</si>
  <si>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</si>
  <si>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</si>
  <si>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</si>
  <si>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</si>
  <si>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</si>
  <si>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</si>
  <si>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</si>
  <si>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</si>
  <si>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</si>
  <si>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</si>
  <si>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</si>
  <si>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</si>
  <si>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</si>
  <si>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</si>
  <si>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</si>
  <si>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</si>
  <si>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</si>
  <si>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</si>
  <si>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</si>
  <si>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</si>
  <si>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</si>
  <si>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</si>
  <si>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</si>
  <si>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</si>
  <si>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</si>
  <si>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</si>
  <si>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</si>
  <si>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</si>
  <si>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</si>
  <si>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</si>
  <si>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</si>
  <si>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</si>
  <si>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</si>
  <si>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</si>
  <si>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</si>
  <si>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</si>
  <si>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</si>
  <si>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</si>
  <si>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</si>
  <si>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</si>
  <si>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</si>
  <si>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</si>
  <si>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</si>
  <si>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</si>
  <si>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</si>
  <si>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</si>
  <si>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</si>
  <si>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</si>
  <si>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</si>
  <si>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</si>
  <si>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</si>
  <si>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</si>
  <si>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</si>
  <si>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</si>
  <si>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</si>
  <si>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</si>
  <si>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</si>
  <si>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</si>
  <si>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</si>
  <si>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</si>
  <si>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</si>
  <si>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</si>
  <si>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</si>
  <si>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</si>
  <si>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</si>
  <si>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</si>
  <si>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</si>
  <si>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</si>
  <si>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</si>
  <si>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</si>
  <si>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</si>
  <si>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</si>
  <si>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</si>
  <si>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</si>
  <si>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</si>
  <si>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</si>
  <si>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</si>
  <si>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</si>
  <si>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</si>
  <si>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</si>
  <si>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</si>
  <si>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</si>
  <si>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</si>
  <si>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</si>
  <si>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</si>
  <si>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</si>
  <si>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</si>
  <si>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</si>
  <si>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</si>
  <si>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</si>
  <si>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</si>
  <si>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</si>
  <si>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</si>
  <si>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</si>
  <si>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</si>
  <si>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</si>
  <si>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</si>
  <si>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</si>
  <si>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</si>
  <si>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</si>
  <si>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</si>
  <si>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</si>
  <si>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</si>
  <si>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</si>
  <si>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</si>
  <si>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</si>
  <si>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</si>
  <si>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</si>
  <si>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</si>
  <si>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</si>
  <si>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</si>
  <si>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</si>
  <si>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</si>
  <si>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</si>
  <si>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</si>
  <si>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</si>
  <si>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</si>
  <si>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</si>
  <si>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</si>
  <si>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</si>
  <si>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</si>
  <si>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</si>
  <si>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</si>
  <si>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</si>
  <si>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</si>
  <si>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</si>
  <si>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</si>
  <si>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</si>
  <si>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</si>
  <si>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</si>
  <si>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</si>
  <si>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</si>
  <si>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</si>
  <si>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</si>
  <si>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</si>
  <si>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</si>
  <si>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</si>
  <si>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</si>
  <si>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</si>
  <si>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</si>
  <si>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</si>
  <si>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</si>
  <si>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</si>
  <si>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</si>
  <si>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</si>
  <si>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</si>
  <si>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</si>
  <si>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</si>
  <si>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</si>
  <si>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</si>
  <si>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</si>
  <si>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</si>
  <si>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</si>
  <si>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</si>
  <si>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</si>
  <si>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</si>
  <si>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</si>
  <si>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</si>
  <si>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</si>
  <si>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</si>
  <si>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</si>
  <si>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</si>
  <si>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</si>
  <si>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</si>
  <si>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</si>
  <si>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</si>
  <si>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</si>
  <si>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</si>
  <si>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</si>
  <si>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</si>
  <si>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</si>
  <si>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</si>
  <si>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</si>
  <si>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</si>
  <si>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</si>
  <si>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</si>
  <si>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</si>
  <si>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</si>
  <si>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</si>
  <si>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</si>
  <si>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</si>
  <si>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</si>
  <si>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</si>
  <si>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</si>
  <si>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</si>
  <si>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</si>
  <si>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</si>
  <si>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</si>
  <si>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</si>
  <si>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</si>
  <si>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</si>
  <si>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</si>
  <si>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</si>
  <si>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</si>
  <si>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</si>
  <si>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</si>
  <si>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</si>
  <si>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</si>
  <si>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</si>
  <si>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</si>
  <si>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</si>
  <si>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</si>
  <si>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</si>
  <si>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</si>
  <si>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</si>
  <si>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</si>
  <si>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</si>
  <si>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</si>
  <si>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</si>
  <si>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</si>
  <si>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</si>
  <si>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</si>
  <si>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</si>
  <si>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</si>
  <si>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</si>
  <si>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</si>
  <si>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</si>
  <si>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</si>
  <si>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</si>
  <si>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</si>
  <si>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</si>
  <si>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</si>
  <si>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</si>
  <si>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</si>
  <si>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</si>
  <si>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</si>
  <si>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</si>
  <si>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</si>
  <si>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</si>
  <si>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</si>
  <si>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</si>
  <si>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</si>
  <si>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</si>
  <si>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</si>
  <si>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</si>
  <si>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</si>
  <si>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</si>
  <si>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</si>
  <si>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</si>
  <si>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</si>
  <si>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</si>
  <si>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</si>
  <si>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</si>
  <si>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</si>
  <si>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</si>
  <si>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</si>
  <si>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</si>
  <si>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</si>
  <si>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</si>
  <si>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</si>
  <si>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</si>
  <si>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</si>
  <si>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</si>
  <si>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</si>
  <si>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</si>
  <si>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</si>
  <si>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</si>
  <si>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</si>
  <si>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</si>
  <si>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</si>
  <si>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</si>
  <si>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</si>
  <si>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</si>
  <si>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</si>
  <si>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</si>
  <si>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</si>
  <si>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</si>
  <si>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</si>
  <si>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</si>
  <si>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</si>
  <si>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</si>
  <si>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</si>
  <si>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</si>
  <si>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</si>
  <si>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</si>
  <si>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</si>
  <si>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</si>
  <si>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</si>
  <si>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</si>
  <si>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</si>
  <si>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</si>
  <si>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</si>
  <si>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</si>
  <si>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</si>
  <si>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</si>
  <si>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</si>
  <si>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</si>
  <si>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</si>
  <si>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</si>
  <si>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</si>
  <si>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</si>
  <si>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</si>
  <si>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</si>
  <si>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</si>
  <si>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</si>
  <si>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</si>
  <si>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</si>
  <si>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</si>
  <si>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</si>
  <si>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</si>
  <si>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</si>
  <si>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</si>
  <si>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</si>
  <si>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</si>
  <si>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</si>
  <si>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</si>
  <si>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</si>
  <si>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</si>
  <si>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</si>
  <si>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</si>
  <si>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</si>
  <si>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</si>
  <si>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</si>
  <si>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</si>
  <si>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</si>
  <si>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</si>
  <si>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</si>
  <si>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</si>
  <si>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</si>
  <si>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</si>
  <si>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</si>
  <si>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</si>
  <si>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</si>
  <si>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</si>
  <si>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</si>
  <si>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</si>
  <si>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</si>
  <si>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</si>
  <si>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</si>
  <si>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</si>
  <si>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</si>
  <si>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</si>
  <si>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</si>
  <si>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</si>
  <si>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</si>
  <si>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</si>
  <si>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</si>
  <si>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</si>
  <si>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</si>
  <si>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</si>
  <si>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</si>
  <si>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</si>
  <si>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</si>
  <si>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</si>
  <si>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</si>
  <si>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</si>
  <si>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</si>
  <si>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</si>
  <si>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</si>
  <si>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</si>
  <si>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</si>
  <si>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</si>
  <si>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</si>
  <si>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</si>
  <si>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</si>
  <si>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</si>
  <si>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</si>
  <si>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</si>
  <si>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</si>
  <si>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</si>
  <si>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</si>
  <si>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</si>
  <si>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</si>
  <si>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</si>
  <si>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</si>
  <si>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</si>
  <si>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</si>
  <si>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</si>
  <si>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</si>
  <si>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</si>
  <si>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</si>
  <si>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</si>
  <si>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</si>
  <si>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</si>
  <si>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</si>
  <si>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</si>
  <si>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</si>
  <si>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</si>
  <si>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</si>
  <si>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</si>
  <si>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</si>
  <si>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</si>
  <si>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</si>
  <si>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</si>
  <si>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</si>
  <si>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</si>
  <si>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</si>
  <si>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</si>
  <si>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</si>
  <si>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</si>
  <si>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</si>
  <si>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</si>
  <si>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</si>
  <si>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</si>
  <si>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</si>
  <si>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</si>
  <si>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</si>
  <si>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</si>
  <si>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</si>
  <si>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</si>
  <si>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</si>
  <si>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</si>
  <si>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</si>
  <si>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</si>
  <si>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</si>
  <si>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</si>
  <si>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</si>
  <si>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</si>
  <si>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</si>
  <si>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</si>
  <si>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</si>
  <si>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</si>
  <si>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</si>
  <si>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</si>
  <si>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</si>
  <si>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</si>
  <si>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</si>
  <si>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</si>
  <si>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</si>
  <si>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</si>
  <si>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</si>
  <si>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</si>
  <si>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</si>
  <si>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</si>
  <si>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</si>
  <si>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</si>
  <si>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</si>
  <si>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</si>
  <si>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</si>
  <si>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</si>
  <si>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</si>
  <si>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</si>
  <si>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</si>
  <si>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</si>
  <si>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</si>
  <si>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</si>
  <si>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</si>
  <si>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</si>
  <si>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</si>
  <si>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</si>
  <si>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</si>
  <si>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</si>
  <si>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</si>
  <si>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</si>
  <si>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</si>
  <si>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</si>
  <si>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</si>
  <si>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</si>
  <si>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</si>
  <si>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</si>
  <si>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</si>
  <si>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</si>
  <si>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</si>
  <si>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</si>
  <si>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</si>
  <si>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</si>
  <si>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</si>
  <si>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</si>
  <si>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</si>
  <si>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</si>
  <si>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</si>
  <si>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</si>
  <si>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</si>
  <si>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</si>
  <si>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</si>
  <si>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</si>
  <si>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</si>
  <si>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</si>
  <si>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</si>
  <si>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</si>
  <si>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</si>
  <si>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</si>
  <si>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</si>
  <si>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</si>
  <si>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</si>
  <si>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</si>
  <si>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</si>
  <si>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</si>
  <si>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</si>
  <si>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</si>
  <si>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</si>
  <si>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</si>
  <si>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</si>
  <si>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</si>
  <si>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</si>
  <si>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</si>
  <si>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</si>
  <si>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</si>
  <si>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</si>
  <si>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</si>
  <si>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</si>
  <si>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</si>
  <si>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</si>
  <si>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</si>
  <si>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</si>
  <si>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</si>
  <si>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</si>
  <si>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</si>
  <si>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</si>
  <si>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</si>
  <si>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</si>
  <si>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</si>
  <si>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</si>
  <si>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</si>
  <si>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</si>
  <si>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</si>
  <si>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</si>
  <si>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</si>
  <si>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</si>
  <si>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</si>
  <si>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</si>
  <si>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</si>
  <si>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</si>
  <si>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</si>
  <si>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</si>
  <si>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</si>
  <si>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</si>
  <si>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</si>
  <si>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</si>
  <si>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</si>
  <si>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</si>
  <si>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</si>
  <si>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</si>
  <si>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</si>
  <si>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</si>
  <si>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</si>
  <si>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</si>
  <si>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</si>
  <si>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</si>
  <si>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</si>
  <si>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</si>
  <si>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</si>
  <si>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</si>
  <si>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</si>
  <si>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</si>
  <si>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</si>
  <si>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</si>
  <si>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</si>
  <si>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</si>
  <si>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</si>
  <si>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</si>
  <si>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</si>
  <si>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</si>
  <si>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</si>
  <si>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</si>
  <si>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</si>
  <si>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</si>
  <si>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</si>
  <si>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</si>
  <si>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</si>
  <si>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</si>
  <si>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</si>
  <si>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</si>
  <si>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</si>
  <si>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</si>
  <si>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</si>
  <si>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</si>
  <si>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</si>
  <si>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</si>
  <si>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</si>
  <si>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</si>
  <si>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</si>
  <si>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</si>
  <si>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</si>
  <si>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</si>
  <si>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</si>
  <si>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</si>
  <si>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</si>
  <si>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</si>
  <si>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</si>
  <si>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</si>
  <si>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</si>
  <si>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</si>
  <si>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</si>
  <si>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</si>
  <si>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</si>
  <si>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</si>
  <si>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</si>
  <si>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</si>
  <si>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</si>
  <si>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</si>
  <si>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</si>
  <si>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</si>
  <si>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</si>
  <si>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</si>
  <si>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</si>
  <si>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</si>
  <si>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</si>
  <si>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</si>
  <si>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</si>
  <si>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</si>
  <si>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</si>
  <si>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</si>
  <si>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</si>
  <si>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</si>
  <si>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</si>
  <si>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</si>
  <si>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</si>
  <si>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</si>
  <si>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</si>
  <si>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</si>
  <si>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</si>
  <si>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</si>
  <si>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</si>
  <si>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</si>
  <si>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</si>
  <si>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</si>
  <si>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</si>
  <si>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</si>
  <si>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</si>
  <si>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</si>
  <si>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</si>
  <si>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</si>
  <si>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</si>
  <si>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</si>
  <si>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</si>
  <si>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</si>
  <si>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</si>
  <si>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</si>
  <si>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</si>
  <si>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</si>
  <si>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</si>
  <si>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</si>
  <si>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</si>
  <si>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</si>
  <si>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</si>
  <si>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</si>
  <si>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</si>
  <si>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</si>
  <si>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</si>
  <si>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</si>
  <si>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</si>
  <si>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</si>
  <si>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</si>
  <si>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</si>
  <si>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</si>
  <si>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</si>
  <si>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</si>
  <si>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</si>
  <si>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</si>
  <si>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</si>
  <si>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</si>
  <si>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</si>
  <si>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</si>
  <si>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</si>
  <si>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</si>
  <si>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</si>
  <si>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</si>
  <si>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</si>
  <si>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</si>
  <si>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</si>
  <si>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</si>
  <si>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</si>
  <si>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</si>
  <si>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</si>
  <si>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</si>
  <si>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</si>
  <si>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</si>
  <si>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</si>
  <si>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</si>
  <si>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</si>
  <si>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</si>
  <si>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</si>
  <si>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</si>
  <si>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</si>
  <si>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</si>
  <si>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</si>
  <si>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</si>
  <si>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</si>
  <si>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</si>
  <si>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</si>
  <si>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</si>
  <si>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</si>
  <si>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</si>
  <si>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</si>
  <si>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</si>
  <si>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</si>
  <si>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</si>
  <si>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</si>
  <si>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</si>
  <si>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</si>
  <si>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</si>
  <si>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</si>
  <si>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</si>
  <si>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</si>
  <si>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</si>
  <si>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</si>
  <si>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</si>
  <si>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</si>
  <si>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</si>
  <si>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</si>
  <si>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</si>
  <si>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</si>
  <si>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</si>
  <si>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</si>
  <si>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</si>
  <si>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</si>
  <si>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</si>
  <si>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</si>
  <si>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</si>
  <si>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</si>
  <si>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</si>
  <si>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</si>
  <si>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</si>
  <si>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</si>
  <si>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</si>
  <si>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</si>
  <si>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</si>
  <si>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</si>
  <si>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</si>
  <si>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</si>
  <si>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</si>
  <si>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</si>
  <si>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</si>
  <si>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</si>
  <si>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</si>
  <si>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</si>
  <si>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</si>
  <si>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</si>
  <si>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</si>
  <si>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</si>
  <si>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</si>
  <si>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</si>
  <si>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</si>
  <si>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</si>
  <si>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</si>
  <si>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</si>
  <si>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</si>
  <si>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</si>
  <si>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</si>
  <si>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</si>
  <si>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</si>
  <si>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</si>
  <si>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</si>
  <si>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</si>
  <si>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</si>
  <si>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</si>
  <si>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</si>
  <si>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</si>
  <si>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</si>
  <si>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</si>
  <si>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</si>
  <si>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</si>
  <si>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</si>
  <si>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</si>
  <si>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</si>
  <si>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</si>
  <si>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</si>
  <si>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</si>
  <si>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</si>
  <si>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</si>
  <si>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</si>
  <si>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</si>
  <si>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</si>
  <si>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</si>
  <si>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</si>
  <si>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</si>
  <si>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</si>
  <si>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</si>
  <si>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</si>
  <si>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</si>
  <si>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</si>
  <si>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</si>
  <si>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</si>
  <si>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</si>
  <si>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</si>
  <si>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</si>
  <si>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</si>
  <si>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</si>
  <si>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</si>
  <si>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</si>
  <si>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</si>
  <si>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</si>
  <si>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</si>
  <si>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</si>
  <si>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</si>
  <si>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</si>
  <si>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</si>
  <si>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</si>
  <si>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</si>
  <si>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</si>
  <si>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</si>
  <si>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</si>
  <si>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</si>
  <si>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</si>
  <si>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</si>
  <si>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</si>
  <si>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</si>
  <si>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</si>
  <si>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</si>
  <si>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</si>
  <si>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</si>
  <si>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</si>
  <si>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</si>
  <si>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</si>
  <si>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</si>
  <si>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</si>
  <si>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</si>
  <si>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</si>
  <si>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</si>
  <si>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</si>
  <si>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</si>
  <si>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</si>
  <si>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</si>
  <si>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</si>
  <si>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</si>
  <si>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</si>
  <si>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</si>
  <si>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</si>
  <si>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</si>
  <si>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</si>
  <si>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</si>
  <si>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</si>
  <si>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</si>
  <si>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</si>
  <si>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</si>
  <si>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</si>
  <si>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</si>
  <si>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</si>
  <si>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</si>
  <si>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</si>
  <si>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</si>
  <si>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</si>
  <si>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</si>
  <si>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</si>
  <si>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</si>
  <si>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</si>
  <si>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</si>
  <si>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</si>
  <si>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</si>
  <si>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</si>
  <si>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</si>
  <si>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</si>
  <si>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</si>
  <si>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</si>
  <si>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</si>
  <si>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</si>
  <si>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</si>
  <si>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</si>
  <si>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</si>
  <si>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</si>
  <si>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</si>
  <si>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</si>
  <si>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</si>
  <si>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</si>
  <si>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</si>
  <si>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</si>
  <si>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</si>
  <si>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</si>
  <si>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</si>
  <si>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</si>
  <si>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</si>
  <si>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</si>
  <si>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</si>
  <si>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</si>
  <si>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</si>
  <si>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</si>
  <si>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</si>
  <si>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</si>
  <si>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</si>
  <si>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</si>
  <si>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</si>
  <si>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</si>
  <si>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</si>
  <si>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</si>
  <si>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</si>
  <si>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</si>
  <si>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</si>
  <si>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</si>
  <si>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</si>
  <si>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</si>
  <si>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</si>
  <si>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</si>
  <si>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</si>
  <si>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</si>
  <si>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</si>
  <si>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</si>
  <si>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</si>
  <si>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</si>
  <si>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</si>
  <si>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</si>
  <si>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</si>
  <si>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</si>
  <si>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</si>
  <si>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</si>
  <si>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</si>
  <si>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</si>
  <si>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</si>
  <si>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</si>
  <si>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</si>
  <si>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</si>
  <si>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</si>
  <si>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</si>
  <si>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</si>
  <si>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</si>
  <si>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</si>
  <si>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</si>
  <si>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</si>
  <si>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</si>
  <si>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</si>
  <si>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</si>
  <si>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</si>
  <si>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</si>
  <si>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</si>
  <si>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</si>
  <si>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</si>
  <si>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</si>
  <si>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</si>
  <si>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</si>
  <si>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</si>
  <si>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</si>
  <si>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</si>
  <si>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</si>
  <si>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</si>
  <si>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</si>
  <si>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</si>
  <si>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</si>
  <si>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</si>
  <si>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</si>
  <si>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</si>
  <si>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</si>
  <si>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</si>
  <si>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</si>
  <si>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</si>
  <si>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</si>
  <si>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</si>
  <si>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</si>
  <si>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</si>
  <si>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</si>
  <si>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</si>
  <si>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</si>
  <si>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</si>
  <si>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</si>
  <si>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</si>
  <si>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</si>
  <si>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</si>
  <si>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</si>
  <si>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</si>
  <si>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</si>
  <si>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</si>
  <si>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</si>
  <si>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</si>
  <si>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</si>
  <si>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</si>
  <si>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</si>
  <si>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</si>
  <si>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</si>
  <si>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</si>
  <si>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</si>
  <si>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</si>
  <si>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</si>
  <si>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</si>
  <si>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</si>
  <si>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</si>
  <si>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</si>
  <si>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</si>
  <si>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</si>
  <si>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</si>
  <si>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</si>
  <si>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</si>
  <si>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</si>
  <si>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</si>
  <si>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</si>
  <si>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</si>
  <si>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</si>
  <si>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</si>
  <si>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</si>
  <si>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</si>
  <si>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</si>
  <si>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</si>
  <si>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</si>
  <si>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</si>
  <si>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</si>
  <si>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</si>
  <si>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</si>
  <si>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</si>
  <si>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</si>
  <si>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</si>
  <si>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</si>
  <si>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</si>
  <si>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</si>
  <si>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</si>
  <si>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</si>
  <si>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</si>
  <si>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</si>
  <si>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</si>
  <si>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</si>
  <si>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</si>
  <si>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</si>
  <si>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</si>
  <si>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</si>
  <si>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</si>
  <si>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</si>
  <si>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</si>
  <si>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</si>
  <si>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</si>
  <si>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</si>
  <si>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</si>
  <si>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</si>
  <si>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</si>
  <si>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</si>
  <si>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</si>
  <si>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</si>
  <si>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</si>
  <si>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</si>
  <si>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</si>
  <si>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</si>
  <si>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</si>
  <si>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</si>
  <si>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</si>
  <si>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</si>
  <si>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</si>
  <si>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</si>
  <si>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</si>
  <si>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</si>
  <si>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</si>
  <si>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</si>
  <si>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</si>
  <si>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</si>
  <si>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</si>
  <si>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</si>
  <si>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</si>
  <si>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</si>
  <si>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</si>
  <si>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</si>
  <si>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</si>
  <si>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</si>
  <si>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</si>
  <si>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</si>
  <si>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</si>
  <si>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</si>
  <si>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</si>
  <si>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</si>
  <si>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</si>
  <si>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</si>
  <si>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</si>
  <si>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</si>
  <si>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</si>
  <si>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</si>
  <si>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</si>
  <si>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</si>
  <si>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</si>
  <si>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</si>
  <si>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</si>
  <si>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</si>
  <si>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</si>
  <si>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</si>
  <si>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</si>
  <si>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</si>
  <si>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</si>
  <si>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</si>
  <si>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</si>
  <si>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</si>
  <si>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</si>
  <si>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</si>
  <si>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</si>
  <si>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</si>
  <si>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</si>
  <si>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</si>
  <si>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</si>
  <si>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</si>
  <si>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</si>
  <si>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</si>
  <si>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</si>
  <si>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</si>
  <si>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</si>
  <si>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</si>
  <si>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</si>
  <si>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</si>
  <si>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</si>
  <si>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</si>
  <si>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</si>
  <si>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</si>
  <si>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</si>
  <si>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</si>
  <si>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</si>
  <si>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</si>
  <si>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</si>
  <si>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</si>
  <si>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</si>
  <si>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</si>
  <si>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</si>
  <si>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</si>
  <si>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</si>
  <si>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</si>
  <si>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</si>
  <si>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</si>
  <si>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</si>
  <si>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</si>
  <si>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</si>
  <si>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</si>
  <si>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</si>
  <si>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</si>
  <si>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</si>
  <si>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</si>
  <si>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</si>
  <si>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</si>
  <si>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</si>
  <si>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</si>
  <si>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</si>
  <si>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</si>
  <si>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</si>
  <si>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</si>
  <si>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</si>
  <si>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</si>
  <si>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</si>
  <si>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</si>
  <si>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</si>
  <si>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</si>
  <si>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</si>
  <si>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</si>
  <si>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</si>
  <si>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</si>
  <si>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</si>
  <si>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</si>
  <si>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</si>
  <si>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</si>
  <si>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</si>
  <si>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</si>
  <si>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</si>
  <si>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</si>
  <si>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</si>
  <si>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</si>
  <si>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</si>
  <si>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</si>
  <si>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</si>
  <si>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</si>
  <si>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</si>
  <si>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</si>
  <si>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</si>
  <si>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</si>
  <si>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</si>
  <si>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</si>
  <si>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</si>
  <si>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</si>
  <si>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</si>
  <si>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</si>
  <si>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</si>
  <si>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</si>
  <si>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</si>
  <si>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</si>
  <si>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</si>
  <si>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</si>
  <si>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</si>
  <si>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</si>
  <si>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</si>
  <si>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</si>
  <si>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</si>
  <si>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</si>
  <si>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</si>
  <si>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</si>
  <si>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</si>
  <si>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</si>
  <si>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</si>
  <si>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</si>
  <si>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</si>
  <si>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</si>
  <si>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</si>
  <si>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</si>
  <si>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</si>
  <si>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</si>
  <si>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</si>
  <si>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</si>
  <si>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</si>
  <si>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</si>
  <si>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</si>
  <si>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</si>
  <si>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</si>
  <si>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</si>
  <si>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</si>
  <si>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</si>
  <si>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</si>
  <si>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</si>
  <si>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</si>
  <si>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</si>
  <si>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</si>
  <si>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</si>
  <si>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</si>
  <si>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</si>
  <si>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</si>
  <si>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</si>
  <si>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</si>
  <si>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</si>
  <si>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</si>
  <si>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</si>
  <si>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</si>
  <si>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</si>
  <si>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</si>
  <si>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</si>
  <si>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</si>
  <si>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</si>
  <si>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</si>
  <si>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</si>
  <si>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</si>
  <si>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</si>
  <si>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</si>
  <si>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</si>
  <si>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</si>
  <si>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</si>
  <si>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</si>
  <si>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</si>
  <si>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</si>
  <si>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</si>
  <si>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</si>
  <si>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</si>
  <si>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</si>
  <si>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</si>
  <si>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</si>
  <si>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</si>
  <si>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</si>
  <si>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</si>
  <si>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</si>
  <si>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</si>
  <si>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</si>
  <si>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</si>
  <si>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</si>
  <si>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</si>
  <si>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</si>
  <si>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</si>
  <si>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</si>
  <si>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</si>
  <si>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</si>
  <si>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</si>
  <si>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</si>
  <si>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</si>
  <si>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</si>
  <si>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</si>
  <si>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</si>
  <si>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</si>
  <si>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</si>
  <si>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</si>
  <si>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</si>
  <si>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</si>
  <si>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</si>
  <si>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</si>
  <si>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</si>
  <si>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</si>
  <si>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</si>
  <si>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</si>
  <si>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</si>
  <si>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</si>
  <si>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</si>
  <si>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</si>
  <si>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</si>
  <si>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</si>
  <si>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</si>
  <si>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</si>
  <si>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</si>
  <si>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</si>
  <si>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</si>
  <si>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</si>
  <si>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</si>
  <si>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</si>
  <si>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</si>
  <si>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</si>
  <si>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</si>
  <si>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</si>
  <si>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</si>
  <si>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</si>
  <si>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</si>
  <si>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</si>
  <si>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</si>
  <si>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</si>
  <si>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</si>
  <si>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</si>
  <si>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</si>
  <si>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</si>
  <si>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</si>
  <si>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</si>
  <si>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</si>
  <si>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</si>
  <si>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</si>
  <si>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</si>
  <si>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</si>
  <si>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</si>
  <si>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</si>
  <si>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</si>
  <si>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</si>
  <si>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</si>
  <si>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</si>
  <si>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</si>
  <si>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</si>
  <si>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</si>
  <si>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</si>
  <si>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</si>
  <si>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</si>
  <si>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</si>
  <si>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</si>
  <si>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</si>
  <si>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</si>
  <si>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</si>
  <si>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</si>
  <si>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</si>
  <si>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</si>
  <si>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</si>
  <si>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</si>
  <si>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</si>
  <si>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</si>
  <si>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</si>
  <si>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</si>
  <si>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</si>
  <si>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</si>
  <si>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</si>
  <si>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</si>
  <si>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</si>
  <si>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</si>
  <si>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</si>
  <si>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</si>
  <si>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</si>
  <si>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</si>
  <si>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</si>
  <si>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</si>
  <si>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</si>
  <si>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</si>
  <si>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</si>
  <si>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</si>
  <si>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</si>
  <si>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</si>
  <si>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</si>
  <si>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</si>
  <si>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</si>
  <si>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</si>
  <si>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</si>
  <si>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</si>
  <si>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</si>
  <si>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</si>
  <si>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</si>
  <si>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</si>
  <si>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</si>
  <si>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</si>
  <si>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</si>
  <si>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</si>
  <si>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</si>
  <si>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</si>
  <si>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</si>
  <si>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</si>
  <si>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</si>
  <si>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</si>
  <si>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</si>
  <si>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</si>
  <si>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</si>
  <si>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</si>
  <si>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</si>
  <si>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</si>
  <si>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</si>
  <si>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</si>
  <si>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</si>
  <si>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</si>
  <si>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</si>
  <si>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</si>
  <si>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</si>
  <si>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</si>
  <si>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</si>
  <si>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</si>
  <si>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</si>
  <si>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</si>
  <si>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</si>
  <si>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</si>
  <si>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</si>
  <si>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</si>
  <si>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</si>
  <si>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</si>
  <si>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</si>
  <si>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</si>
  <si>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</si>
  <si>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</si>
  <si>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</si>
  <si>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</si>
  <si>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</si>
  <si>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</si>
  <si>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</si>
  <si>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</si>
  <si>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</si>
  <si>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</si>
  <si>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</si>
  <si>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</si>
  <si>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</si>
  <si>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</si>
  <si>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</si>
  <si>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</si>
  <si>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</si>
  <si>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</si>
  <si>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</si>
  <si>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</si>
  <si>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</si>
  <si>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</si>
  <si>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</si>
  <si>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</si>
  <si>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</si>
  <si>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</si>
  <si>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</si>
  <si>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</si>
  <si>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</si>
  <si>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</si>
  <si>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</si>
  <si>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</si>
  <si>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</si>
  <si>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</si>
  <si>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</si>
  <si>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</si>
  <si>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</si>
  <si>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</si>
  <si>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</si>
  <si>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</si>
  <si>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</si>
  <si>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</si>
  <si>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</si>
  <si>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</si>
  <si>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</si>
  <si>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</si>
  <si>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</si>
  <si>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</si>
  <si>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</si>
  <si>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</si>
  <si>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</si>
  <si>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</si>
  <si>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</si>
  <si>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</si>
  <si>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</si>
  <si>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</si>
  <si>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</si>
  <si>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</si>
  <si>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</si>
  <si>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</si>
  <si>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</si>
  <si>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</si>
  <si>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</si>
  <si>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</si>
  <si>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</si>
  <si>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</si>
  <si>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</si>
  <si>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</si>
  <si>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</si>
  <si>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</si>
  <si>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</si>
  <si>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</si>
  <si>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</si>
  <si>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</si>
  <si>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</si>
  <si>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</si>
  <si>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</si>
  <si>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</si>
  <si>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</si>
  <si>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</si>
  <si>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</si>
  <si>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</si>
  <si>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</si>
  <si>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</si>
  <si>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</si>
  <si>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</si>
  <si>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</si>
  <si>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</si>
  <si>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</si>
  <si>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</si>
  <si>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</si>
  <si>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</si>
  <si>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</si>
  <si>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</si>
  <si>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</si>
  <si>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</si>
  <si>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</si>
  <si>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</si>
  <si>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</si>
  <si>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</si>
  <si>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</si>
  <si>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</si>
  <si>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</si>
  <si>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</si>
  <si>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</si>
  <si>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</si>
  <si>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</si>
  <si>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</si>
  <si>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</si>
  <si>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</si>
  <si>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</si>
  <si>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</si>
  <si>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</si>
  <si>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</si>
  <si>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</si>
  <si>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</si>
  <si>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</si>
  <si>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</si>
  <si>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</si>
  <si>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</si>
  <si>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</si>
  <si>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</si>
  <si>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</si>
  <si>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</si>
  <si>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</si>
  <si>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</si>
  <si>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</si>
  <si>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</si>
  <si>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</si>
  <si>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</si>
  <si>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</si>
  <si>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</si>
  <si>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</si>
  <si>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</si>
  <si>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</si>
  <si>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</si>
  <si>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</si>
  <si>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</si>
  <si>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</si>
  <si>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</si>
  <si>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</si>
  <si>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</si>
  <si>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</si>
  <si>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</si>
  <si>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</si>
  <si>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</si>
  <si>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</si>
  <si>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</si>
  <si>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</si>
  <si>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</si>
  <si>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</si>
  <si>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</si>
  <si>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</si>
  <si>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</si>
  <si>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</si>
  <si>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</si>
  <si>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</si>
  <si>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</si>
  <si>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</si>
  <si>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</si>
  <si>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</si>
  <si>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</si>
  <si>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</si>
  <si>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</si>
  <si>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</si>
  <si>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</si>
  <si>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</si>
  <si>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</si>
  <si>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</si>
  <si>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</si>
  <si>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</si>
  <si>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</si>
  <si>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</si>
  <si>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</si>
  <si>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</si>
  <si>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</si>
  <si>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</si>
  <si>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</si>
  <si>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</si>
  <si>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</si>
  <si>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</si>
  <si>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</si>
  <si>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</si>
  <si>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</si>
  <si>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</si>
  <si>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</si>
  <si>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</si>
  <si>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</si>
  <si>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</si>
  <si>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</si>
  <si>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</si>
  <si>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</si>
  <si>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</si>
  <si>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</si>
  <si>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</si>
  <si>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</si>
  <si>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</si>
  <si>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</si>
  <si>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</si>
  <si>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</si>
  <si>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</si>
  <si>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</si>
  <si>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</si>
  <si>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</si>
  <si>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</si>
  <si>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</si>
  <si>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</si>
  <si>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</si>
  <si>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</si>
  <si>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</si>
  <si>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</si>
  <si>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</si>
  <si>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</si>
  <si>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</si>
  <si>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</si>
  <si>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</si>
  <si>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</si>
  <si>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</si>
  <si>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</si>
  <si>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</si>
  <si>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</si>
  <si>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</si>
  <si>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</si>
  <si>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</si>
  <si>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</si>
  <si>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</si>
  <si>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</si>
  <si>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</si>
  <si>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</si>
  <si>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</si>
  <si>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</si>
  <si>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</si>
  <si>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</si>
  <si>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</si>
  <si>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</si>
  <si>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</si>
  <si>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</si>
  <si>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</si>
  <si>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</si>
  <si>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</si>
  <si>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</si>
  <si>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</si>
  <si>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</si>
  <si>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</si>
  <si>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</si>
  <si>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</si>
  <si>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</si>
  <si>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</si>
  <si>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</si>
  <si>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</si>
  <si>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</si>
  <si>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</si>
  <si>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</si>
  <si>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</si>
  <si>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</si>
  <si>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</si>
  <si>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</si>
  <si>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</si>
  <si>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</si>
  <si>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</si>
  <si>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</si>
  <si>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</si>
  <si>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</si>
  <si>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</si>
  <si>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</si>
  <si>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</si>
  <si>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</si>
  <si>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</si>
  <si>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</si>
  <si>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</si>
  <si>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</si>
  <si>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</si>
  <si>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</si>
  <si>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</si>
  <si>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</si>
  <si>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</si>
  <si>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</si>
  <si>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</si>
  <si>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</si>
  <si>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</si>
  <si>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</si>
  <si>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</si>
  <si>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</si>
  <si>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</si>
  <si>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</si>
  <si>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</si>
  <si>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</si>
  <si>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</si>
  <si>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</si>
  <si>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</si>
  <si>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</si>
  <si>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</si>
  <si>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</si>
  <si>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</si>
  <si>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</si>
  <si>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</si>
  <si>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</si>
  <si>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</si>
  <si>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</si>
  <si>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</si>
  <si>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</si>
  <si>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</si>
  <si>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</si>
  <si>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</si>
  <si>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</si>
  <si>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</si>
  <si>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</si>
  <si>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</si>
  <si>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</si>
  <si>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</si>
  <si>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</si>
  <si>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</si>
  <si>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</si>
  <si>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</si>
  <si>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</si>
  <si>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</si>
  <si>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</si>
  <si>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</si>
  <si>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</si>
  <si>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</si>
  <si>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</si>
  <si>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</si>
  <si>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</si>
  <si>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</si>
  <si>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</si>
  <si>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</si>
  <si>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</si>
  <si>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</si>
  <si>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</si>
  <si>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</si>
  <si>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</si>
  <si>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</si>
  <si>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</si>
  <si>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</si>
  <si>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</si>
  <si>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</si>
  <si>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</si>
  <si>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</si>
  <si>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</si>
  <si>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</si>
  <si>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</si>
  <si>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</si>
  <si>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</si>
  <si>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</si>
  <si>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</si>
  <si>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</si>
  <si>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</si>
  <si>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</si>
  <si>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</si>
  <si>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</si>
  <si>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</si>
  <si>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</si>
  <si>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</si>
  <si>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</si>
  <si>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</si>
  <si>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</si>
  <si>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</si>
  <si>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</si>
  <si>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</si>
  <si>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</si>
  <si>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</si>
  <si>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</si>
  <si>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</si>
  <si>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</si>
  <si>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</si>
  <si>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</si>
  <si>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</si>
  <si>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</si>
  <si>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</si>
  <si>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</si>
  <si>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</si>
  <si>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</si>
  <si>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</si>
  <si>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</si>
  <si>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</si>
  <si>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</si>
  <si>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</si>
  <si>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</si>
  <si>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</si>
  <si>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</si>
  <si>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</si>
  <si>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</si>
  <si>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</si>
  <si>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</si>
  <si>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</si>
  <si>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</si>
  <si>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</si>
  <si>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</si>
  <si>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</si>
  <si>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</si>
  <si>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</si>
  <si>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</si>
  <si>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</si>
  <si>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</si>
  <si>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</si>
  <si>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</si>
  <si>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</si>
  <si>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</si>
  <si>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</si>
  <si>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</si>
  <si>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</si>
  <si>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</si>
  <si>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</si>
  <si>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</si>
  <si>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</si>
  <si>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</si>
  <si>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</si>
  <si>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</si>
  <si>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</si>
  <si>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</si>
  <si>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</si>
  <si>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</si>
  <si>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</si>
  <si>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</si>
  <si>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</si>
  <si>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</si>
  <si>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</si>
  <si>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</si>
  <si>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</si>
  <si>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</si>
  <si>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</si>
  <si>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</si>
  <si>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</si>
  <si>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</si>
  <si>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</si>
  <si>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</si>
  <si>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</si>
  <si>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</si>
  <si>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</si>
  <si>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</si>
  <si>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</si>
  <si>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</si>
  <si>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</si>
  <si>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</si>
  <si>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</si>
  <si>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</si>
  <si>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</si>
  <si>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</si>
  <si>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</si>
  <si>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</si>
  <si>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</si>
  <si>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</si>
  <si>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</si>
  <si>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</si>
  <si>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</si>
  <si>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</si>
  <si>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</si>
  <si>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</si>
  <si>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</si>
  <si>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</si>
  <si>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</si>
  <si>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</si>
  <si>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</si>
  <si>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</si>
  <si>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</si>
  <si>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</si>
  <si>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</si>
  <si>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</si>
  <si>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</si>
  <si>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</si>
  <si>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</si>
  <si>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</si>
  <si>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</si>
  <si>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</si>
  <si>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</si>
  <si>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</si>
  <si>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</si>
  <si>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</si>
  <si>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</si>
  <si>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</si>
  <si>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</si>
  <si>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</si>
  <si>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</si>
  <si>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</si>
  <si>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</si>
  <si>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</si>
  <si>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</si>
  <si>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</si>
  <si>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</si>
  <si>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</si>
  <si>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</si>
  <si>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</si>
  <si>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</si>
  <si>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</si>
  <si>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</si>
  <si>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</si>
  <si>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</si>
  <si>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</si>
  <si>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</si>
  <si>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</si>
  <si>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</si>
  <si>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</si>
  <si>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</si>
  <si>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</si>
  <si>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</si>
  <si>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</si>
  <si>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</si>
  <si>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</si>
  <si>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</si>
  <si>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</si>
  <si>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</si>
  <si>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</si>
  <si>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</si>
  <si>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</si>
  <si>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</si>
  <si>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</si>
  <si>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</si>
  <si>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</si>
  <si>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</si>
  <si>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</si>
  <si>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</si>
  <si>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</si>
  <si>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</si>
  <si>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</si>
  <si>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</si>
  <si>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</si>
  <si>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</si>
  <si>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</si>
  <si>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</si>
  <si>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</si>
  <si>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</si>
  <si>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</si>
  <si>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</si>
  <si>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</si>
  <si>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</si>
  <si>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</si>
  <si>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</si>
  <si>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</si>
  <si>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</si>
  <si>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</si>
  <si>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</si>
  <si>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</si>
  <si>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</si>
  <si>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</si>
  <si>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</si>
  <si>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</si>
  <si>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</si>
  <si>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</si>
  <si>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</si>
  <si>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</si>
  <si>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</si>
  <si>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</si>
  <si>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</si>
  <si>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</si>
  <si>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</si>
  <si>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</si>
  <si>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</si>
  <si>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</si>
  <si>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</si>
  <si>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</si>
  <si>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</si>
  <si>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</si>
  <si>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</si>
  <si>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</si>
  <si>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</si>
  <si>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</si>
  <si>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</si>
  <si>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</si>
  <si>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</si>
  <si>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</si>
  <si>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</si>
  <si>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</si>
  <si>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</si>
  <si>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</si>
  <si>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</si>
  <si>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</si>
  <si>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</si>
  <si>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</si>
  <si>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</si>
  <si>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</si>
  <si>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</si>
  <si>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</si>
  <si>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</si>
  <si>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</si>
  <si>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</si>
  <si>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</si>
  <si>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</si>
  <si>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</si>
  <si>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</si>
  <si>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</si>
  <si>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</si>
  <si>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</si>
  <si>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</si>
  <si>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</si>
  <si>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</si>
  <si>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</si>
  <si>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</si>
  <si>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</si>
  <si>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</si>
  <si>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</si>
  <si>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</si>
  <si>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</si>
  <si>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</si>
  <si>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</si>
  <si>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</si>
  <si>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</si>
  <si>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</si>
  <si>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</si>
  <si>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</si>
  <si>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</si>
  <si>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</si>
  <si>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</si>
  <si>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</si>
  <si>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</si>
  <si>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</si>
  <si>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</si>
  <si>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</si>
  <si>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</si>
  <si>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</si>
  <si>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</si>
  <si>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</si>
  <si>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</si>
  <si>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</si>
  <si>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</si>
  <si>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</si>
  <si>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</si>
  <si>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</si>
  <si>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</si>
  <si>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</si>
  <si>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</si>
  <si>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</si>
  <si>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</si>
  <si>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</si>
  <si>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</si>
  <si>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</si>
  <si>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</si>
  <si>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</si>
  <si>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</si>
  <si>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</si>
  <si>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</si>
  <si>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</si>
  <si>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</si>
  <si>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</si>
  <si>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</si>
  <si>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</si>
  <si>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</si>
  <si>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</si>
  <si>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</si>
  <si>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</si>
  <si>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</si>
  <si>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</si>
  <si>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</si>
  <si>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</si>
  <si>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</si>
  <si>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</si>
  <si>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</si>
  <si>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</si>
  <si>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</si>
  <si>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</si>
  <si>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</si>
  <si>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</si>
  <si>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</si>
  <si>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</si>
  <si>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</si>
  <si>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</si>
  <si>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</si>
  <si>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</si>
  <si>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</si>
  <si>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</si>
  <si>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</si>
  <si>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</si>
  <si>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</si>
  <si>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</si>
  <si>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</si>
  <si>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</si>
  <si>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</si>
  <si>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</si>
  <si>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</si>
  <si>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</si>
  <si>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</si>
  <si>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</si>
  <si>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</si>
  <si>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</si>
  <si>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</si>
  <si>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</si>
  <si>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</si>
  <si>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</si>
  <si>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</si>
  <si>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</si>
  <si>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</si>
  <si>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</si>
  <si>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</si>
  <si>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</si>
  <si>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</si>
  <si>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</si>
  <si>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</si>
  <si>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</si>
  <si>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</si>
  <si>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</si>
  <si>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</si>
  <si>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</si>
  <si>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</si>
  <si>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</si>
  <si>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</si>
  <si>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</si>
  <si>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</si>
  <si>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</si>
  <si>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</si>
  <si>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</si>
  <si>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</si>
  <si>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</si>
  <si>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</si>
  <si>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</si>
  <si>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</si>
  <si>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</si>
  <si>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</si>
  <si>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</si>
  <si>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</si>
  <si>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</si>
  <si>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</si>
  <si>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</si>
  <si>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</si>
  <si>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</si>
  <si>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</si>
  <si>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</si>
  <si>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</si>
  <si>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</si>
  <si>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</si>
  <si>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</si>
  <si>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</si>
  <si>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</si>
  <si>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</si>
  <si>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</si>
  <si>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</si>
  <si>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</si>
  <si>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</si>
  <si>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</si>
  <si>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</si>
  <si>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</si>
  <si>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</si>
  <si>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</si>
  <si>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</si>
  <si>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</si>
  <si>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</si>
  <si>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</si>
  <si>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</si>
  <si>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</si>
  <si>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</si>
  <si>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</si>
  <si>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</si>
  <si>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</si>
  <si>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</si>
  <si>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</si>
  <si>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</si>
  <si>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</si>
  <si>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</si>
  <si>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</si>
  <si>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</si>
  <si>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</si>
  <si>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</si>
  <si>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</si>
  <si>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</si>
  <si>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</si>
  <si>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</si>
  <si>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</si>
  <si>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</si>
  <si>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</si>
  <si>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</si>
  <si>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</si>
  <si>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</si>
  <si>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</si>
  <si>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</si>
  <si>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</si>
  <si>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</si>
  <si>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</si>
  <si>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</si>
  <si>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</si>
  <si>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</si>
  <si>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</si>
  <si>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</si>
  <si>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</si>
  <si>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</si>
  <si>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</si>
  <si>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</si>
  <si>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</si>
  <si>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</si>
  <si>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</si>
  <si>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</si>
  <si>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</si>
  <si>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</si>
  <si>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</si>
  <si>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</si>
  <si>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</si>
  <si>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</si>
  <si>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</si>
  <si>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</si>
  <si>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</si>
  <si>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</si>
  <si>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</si>
  <si>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</si>
  <si>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</si>
  <si>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</si>
  <si>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</si>
  <si>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</si>
  <si>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</si>
  <si>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</si>
  <si>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</si>
  <si>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</si>
  <si>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</si>
  <si>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</si>
  <si>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</si>
  <si>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</si>
  <si>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</si>
  <si>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</si>
  <si>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</si>
  <si>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</si>
  <si>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</si>
  <si>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</si>
  <si>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</si>
  <si>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</si>
  <si>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</si>
  <si>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</si>
  <si>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</si>
  <si>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</si>
  <si>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</si>
  <si>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</si>
  <si>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</si>
  <si>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</si>
  <si>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</si>
  <si>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</si>
  <si>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</si>
  <si>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</si>
  <si>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</si>
  <si>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</si>
  <si>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</si>
  <si>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</si>
  <si>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</si>
  <si>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</si>
  <si>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</si>
  <si>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</si>
  <si>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</si>
  <si>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</si>
  <si>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</si>
  <si>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</si>
  <si>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</si>
  <si>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</si>
  <si>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</si>
  <si>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</si>
  <si>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</si>
  <si>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</si>
  <si>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</si>
  <si>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</si>
  <si>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</si>
  <si>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</si>
  <si>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</si>
  <si>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</si>
  <si>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</si>
  <si>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</si>
  <si>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</si>
  <si>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</si>
  <si>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</si>
  <si>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</si>
  <si>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</si>
  <si>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</si>
  <si>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</si>
  <si>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</si>
  <si>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</si>
  <si>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</si>
  <si>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</si>
  <si>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</si>
  <si>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</si>
  <si>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</si>
  <si>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</si>
  <si>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</si>
  <si>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</si>
  <si>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</si>
  <si>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</si>
  <si>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</si>
  <si>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</si>
  <si>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</si>
  <si>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</si>
  <si>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</si>
  <si>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</si>
  <si>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</si>
  <si>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</si>
  <si>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</si>
  <si>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</si>
  <si>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</si>
  <si>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</si>
  <si>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</si>
  <si>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</si>
  <si>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</si>
  <si>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</si>
  <si>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</si>
  <si>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</si>
  <si>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</si>
  <si>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</si>
  <si>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</si>
  <si>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</si>
  <si>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</si>
  <si>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</si>
  <si>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</si>
  <si>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</si>
  <si>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</si>
  <si>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</si>
  <si>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</si>
  <si>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</si>
  <si>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</si>
  <si>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</si>
  <si>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</si>
  <si>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</si>
  <si>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</si>
  <si>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</si>
  <si>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</si>
  <si>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</si>
  <si>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</si>
  <si>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</si>
  <si>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</si>
  <si>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</si>
  <si>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</si>
  <si>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</si>
  <si>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</si>
  <si>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</si>
  <si>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</si>
  <si>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</si>
  <si>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</si>
  <si>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</si>
  <si>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</si>
  <si>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</si>
  <si>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</si>
  <si>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</si>
  <si>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</si>
  <si>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</si>
  <si>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</si>
  <si>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</si>
  <si>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</si>
  <si>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</si>
  <si>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</si>
  <si>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</si>
  <si>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</si>
  <si>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</si>
  <si>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</si>
  <si>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</si>
  <si>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</si>
  <si>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</si>
  <si>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</si>
  <si>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</si>
  <si>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</si>
  <si>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</si>
  <si>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</si>
  <si>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</si>
  <si>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</si>
  <si>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</si>
  <si>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</si>
  <si>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</si>
  <si>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</si>
  <si>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</si>
  <si>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</si>
  <si>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</si>
  <si>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</si>
  <si>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</si>
  <si>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</si>
  <si>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</si>
  <si>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</si>
  <si>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</si>
  <si>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</si>
  <si>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</si>
  <si>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</si>
  <si>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</si>
  <si>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</si>
  <si>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</si>
  <si>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</si>
  <si>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</si>
  <si>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</si>
  <si>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</si>
  <si>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</si>
  <si>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</si>
  <si>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</si>
  <si>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</si>
  <si>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</si>
  <si>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</si>
  <si>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</si>
  <si>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</si>
  <si>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</si>
  <si>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</si>
  <si>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</si>
  <si>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</si>
  <si>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</si>
  <si>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</si>
  <si>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</si>
  <si>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</si>
  <si>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</si>
  <si>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</si>
  <si>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</si>
  <si>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</si>
  <si>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</si>
  <si>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</si>
  <si>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</si>
  <si>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</si>
  <si>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</si>
  <si>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</si>
  <si>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</si>
  <si>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</si>
  <si>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</si>
  <si>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</si>
  <si>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</si>
  <si>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</si>
  <si>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</si>
  <si>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</si>
  <si>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</si>
  <si>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</si>
  <si>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</si>
  <si>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</si>
  <si>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</si>
  <si>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</si>
  <si>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</si>
  <si>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</si>
  <si>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</si>
  <si>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</si>
  <si>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</si>
  <si>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</si>
  <si>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</si>
  <si>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</si>
  <si>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</si>
  <si>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</si>
  <si>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</si>
  <si>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</si>
  <si>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</si>
  <si>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</si>
  <si>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</si>
  <si>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</si>
  <si>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</si>
  <si>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</si>
  <si>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</si>
  <si>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</si>
  <si>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</si>
  <si>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</si>
  <si>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</si>
  <si>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</si>
  <si>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</si>
  <si>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</si>
  <si>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</si>
  <si>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</si>
  <si>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</si>
  <si>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</si>
  <si>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</si>
  <si>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</si>
  <si>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</si>
  <si>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</si>
  <si>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</si>
  <si>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</si>
  <si>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</si>
  <si>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</si>
  <si>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</si>
  <si>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</si>
  <si>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</si>
  <si>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</si>
  <si>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</si>
  <si>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</si>
  <si>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</si>
  <si>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</si>
  <si>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</si>
  <si>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</si>
  <si>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</si>
  <si>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</si>
  <si>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</si>
  <si>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</si>
  <si>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</si>
  <si>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</si>
  <si>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</si>
  <si>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</si>
  <si>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</si>
  <si>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</si>
  <si>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</si>
  <si>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</si>
  <si>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</si>
  <si>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</si>
  <si>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</si>
  <si>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</si>
  <si>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</si>
  <si>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</si>
  <si>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</si>
  <si>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</si>
  <si>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</si>
  <si>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</si>
  <si>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</si>
  <si>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</si>
  <si>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</si>
  <si>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</si>
  <si>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</si>
  <si>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</si>
  <si>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</si>
  <si>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</si>
  <si>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</si>
  <si>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</si>
  <si>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</si>
  <si>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</si>
  <si>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</si>
  <si>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</si>
  <si>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</si>
  <si>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</si>
  <si>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</si>
  <si>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</si>
  <si>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</si>
  <si>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</si>
  <si>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</si>
  <si>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</si>
  <si>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</si>
  <si>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</si>
  <si>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</si>
  <si>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</si>
  <si>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</si>
  <si>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</si>
  <si>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</si>
  <si>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</si>
  <si>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</si>
  <si>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</si>
  <si>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</si>
  <si>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</si>
  <si>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</si>
  <si>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</si>
  <si>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</si>
  <si>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</si>
  <si>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</si>
  <si>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</si>
  <si>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</si>
  <si>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</si>
  <si>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</si>
  <si>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</si>
  <si>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</si>
  <si>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</si>
  <si>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</si>
  <si>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</si>
  <si>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</si>
  <si>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</si>
  <si>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</si>
  <si>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</si>
  <si>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</si>
  <si>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</si>
  <si>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</si>
  <si>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</si>
  <si>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</si>
  <si>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</si>
  <si>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</si>
  <si>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</si>
  <si>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</si>
  <si>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</si>
  <si>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</si>
  <si>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</si>
  <si>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</si>
  <si>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</si>
  <si>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</si>
  <si>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</si>
  <si>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</si>
  <si>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</si>
  <si>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</si>
  <si>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</si>
  <si>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</si>
  <si>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</si>
  <si>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</si>
  <si>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</si>
  <si>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</si>
  <si>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</si>
  <si>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</si>
  <si>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</si>
  <si>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</si>
  <si>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</si>
  <si>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</si>
  <si>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</si>
  <si>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</si>
  <si>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</si>
  <si>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</si>
  <si>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</si>
  <si>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</si>
  <si>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</si>
  <si>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</si>
  <si>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</si>
  <si>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</si>
  <si>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</si>
  <si>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</si>
  <si>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</si>
  <si>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</si>
  <si>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</si>
  <si>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</si>
  <si>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</si>
  <si>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</si>
  <si>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</si>
  <si>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</si>
  <si>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</si>
  <si>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</si>
  <si>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</si>
  <si>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</si>
  <si>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</si>
  <si>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</si>
  <si>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</si>
  <si>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</si>
  <si>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</si>
  <si>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</si>
  <si>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</si>
  <si>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</si>
  <si>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</si>
  <si>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</si>
  <si>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</si>
  <si>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</si>
  <si>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</si>
  <si>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</si>
  <si>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</si>
  <si>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</si>
  <si>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</si>
  <si>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</si>
  <si>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</si>
  <si>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</si>
  <si>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</si>
  <si>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</si>
  <si>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</si>
  <si>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</si>
  <si>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</si>
  <si>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</si>
  <si>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</si>
  <si>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</si>
  <si>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</si>
  <si>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</si>
  <si>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</si>
  <si>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</si>
  <si>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</si>
  <si>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</si>
  <si>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</si>
  <si>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</si>
  <si>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</si>
  <si>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</si>
  <si>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</si>
  <si>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</si>
  <si>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</si>
  <si>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</si>
  <si>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</si>
  <si>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</si>
  <si>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</si>
  <si>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</si>
  <si>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</si>
  <si>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</si>
  <si>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</si>
  <si>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</si>
  <si>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</si>
  <si>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</si>
  <si>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</si>
  <si>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</si>
  <si>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</si>
  <si>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</si>
  <si>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</si>
  <si>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</si>
  <si>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</si>
  <si>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</si>
  <si>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</si>
  <si>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</si>
  <si>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</si>
  <si>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</si>
  <si>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</si>
  <si>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</si>
  <si>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</si>
  <si>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</si>
  <si>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</si>
  <si>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</si>
  <si>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</si>
  <si>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</si>
  <si>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</si>
  <si>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</si>
  <si>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</si>
  <si>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</si>
  <si>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</si>
  <si>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</si>
  <si>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</si>
  <si>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</si>
  <si>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</si>
  <si>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</si>
  <si>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</si>
  <si>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</si>
  <si>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</si>
  <si>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</si>
  <si>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</si>
  <si>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</si>
  <si>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</si>
  <si>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</si>
  <si>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</si>
  <si>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</si>
  <si>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</si>
  <si>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</si>
  <si>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</si>
  <si>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</si>
  <si>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</si>
  <si>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</si>
  <si>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</si>
  <si>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</si>
  <si>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</si>
  <si>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</si>
  <si>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</si>
  <si>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</si>
  <si>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</si>
  <si>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</si>
  <si>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</si>
  <si>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</si>
  <si>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</si>
  <si>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</si>
  <si>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</si>
  <si>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</si>
  <si>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</si>
  <si>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</si>
  <si>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</si>
  <si>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</si>
  <si>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</si>
  <si>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</si>
  <si>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</si>
  <si>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</si>
  <si>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</si>
  <si>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</si>
  <si>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</si>
  <si>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</si>
  <si>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</si>
  <si>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</si>
  <si>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</si>
  <si>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</si>
  <si>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</si>
  <si>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</si>
  <si>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</si>
  <si>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</si>
  <si>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</si>
  <si>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</si>
  <si>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</si>
  <si>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</si>
  <si>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</si>
  <si>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</si>
  <si>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</si>
  <si>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</si>
  <si>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</si>
  <si>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</si>
  <si>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</si>
  <si>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</si>
  <si>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</si>
  <si>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</si>
  <si>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</si>
  <si>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</si>
  <si>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</si>
  <si>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</si>
  <si>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</si>
  <si>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</si>
  <si>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</si>
  <si>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</si>
  <si>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</si>
  <si>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</si>
  <si>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</si>
  <si>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</si>
  <si>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</si>
  <si>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</si>
  <si>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</si>
  <si>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</si>
  <si>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</si>
  <si>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</si>
  <si>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</si>
  <si>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</si>
  <si>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</si>
  <si>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</si>
  <si>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</si>
  <si>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</si>
  <si>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</si>
  <si>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</si>
  <si>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</si>
  <si>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</si>
  <si>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</si>
  <si>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</si>
  <si>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</si>
  <si>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</si>
  <si>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</si>
  <si>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</si>
  <si>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</si>
  <si>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</si>
  <si>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</si>
  <si>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</si>
  <si>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</si>
  <si>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</si>
  <si>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</si>
  <si>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</si>
  <si>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</si>
  <si>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</si>
  <si>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</si>
  <si>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</si>
  <si>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</si>
  <si>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</si>
  <si>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</si>
  <si>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</si>
  <si>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</si>
  <si>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</si>
  <si>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</si>
  <si>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</si>
  <si>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</si>
  <si>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</si>
  <si>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</si>
  <si>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</si>
  <si>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</si>
  <si>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</si>
  <si>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</si>
  <si>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</si>
  <si>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</si>
  <si>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</si>
  <si>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</si>
  <si>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</si>
  <si>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</si>
  <si>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</si>
  <si>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</si>
  <si>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</si>
  <si>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</si>
  <si>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</si>
  <si>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</si>
  <si>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</si>
  <si>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</si>
  <si>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</si>
  <si>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</si>
  <si>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</si>
  <si>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</si>
  <si>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</si>
  <si>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</si>
  <si>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</si>
  <si>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</si>
  <si>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</si>
  <si>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</si>
  <si>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</si>
  <si>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</si>
  <si>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</si>
  <si>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</si>
  <si>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</si>
  <si>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</si>
  <si>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</si>
  <si>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</si>
  <si>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</si>
  <si>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</si>
  <si>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</si>
  <si>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</si>
  <si>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</si>
  <si>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</si>
  <si>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</si>
  <si>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</si>
  <si>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</si>
  <si>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</si>
  <si>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</si>
  <si>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</si>
  <si>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</si>
  <si>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</si>
  <si>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</si>
  <si>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</si>
  <si>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</si>
  <si>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</si>
  <si>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</si>
  <si>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</si>
  <si>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</si>
  <si>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</si>
  <si>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</si>
  <si>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</si>
  <si>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</si>
  <si>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</si>
  <si>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</si>
  <si>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</si>
  <si>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</si>
  <si>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</si>
  <si>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</si>
  <si>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</si>
  <si>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</si>
  <si>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</si>
  <si>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</si>
  <si>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</si>
  <si>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</si>
  <si>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</si>
  <si>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</si>
  <si>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</si>
  <si>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</si>
  <si>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</si>
  <si>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</si>
  <si>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</si>
  <si>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</si>
  <si>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</si>
  <si>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</si>
  <si>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</si>
  <si>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</si>
  <si>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</si>
  <si>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</si>
  <si>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</si>
  <si>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</si>
  <si>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</si>
  <si>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</si>
  <si>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</si>
  <si>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</si>
  <si>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</si>
  <si>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</si>
  <si>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</si>
  <si>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</si>
  <si>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</si>
  <si>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</si>
  <si>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</si>
  <si>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</si>
  <si>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</si>
  <si>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</si>
  <si>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</si>
  <si>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</si>
  <si>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</si>
  <si>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</si>
  <si>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</si>
  <si>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</si>
  <si>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</si>
  <si>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</si>
  <si>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</si>
  <si>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</si>
  <si>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</si>
  <si>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</si>
  <si>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</si>
  <si>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</si>
  <si>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</si>
  <si>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</si>
  <si>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</si>
  <si>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</si>
  <si>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</si>
  <si>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</si>
  <si>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</si>
  <si>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</si>
  <si>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</si>
  <si>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</si>
  <si>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</si>
  <si>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</si>
  <si>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</si>
  <si>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</si>
  <si>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</si>
  <si>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</si>
  <si>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</si>
  <si>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</si>
  <si>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</si>
  <si>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</si>
  <si>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</si>
  <si>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</si>
  <si>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</si>
  <si>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</si>
  <si>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</si>
  <si>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</si>
  <si>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</si>
  <si>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</si>
  <si>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</si>
  <si>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</si>
  <si>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</si>
  <si>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</si>
  <si>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</si>
  <si>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</si>
  <si>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</si>
  <si>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</si>
  <si>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</si>
  <si>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</si>
  <si>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</si>
  <si>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</si>
  <si>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</si>
  <si>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</si>
  <si>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</si>
  <si>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</si>
  <si>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</si>
  <si>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</si>
  <si>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</si>
  <si>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</si>
  <si>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</si>
  <si>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</si>
  <si>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</si>
  <si>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</si>
  <si>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</si>
  <si>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</si>
  <si>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</si>
  <si>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</si>
  <si>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</si>
  <si>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</si>
  <si>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</si>
  <si>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</si>
  <si>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</si>
  <si>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</si>
  <si>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</si>
  <si>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</si>
  <si>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</si>
  <si>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</si>
  <si>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</si>
  <si>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</si>
  <si>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</si>
  <si>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</si>
  <si>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</si>
  <si>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</si>
  <si>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</si>
  <si>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</si>
  <si>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</si>
  <si>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</si>
  <si>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</si>
  <si>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</si>
  <si>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</si>
  <si>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</si>
  <si>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</si>
  <si>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</si>
  <si>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</si>
  <si>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</si>
  <si>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</si>
  <si>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</si>
  <si>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</si>
  <si>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</si>
  <si>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</si>
  <si>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</si>
  <si>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</si>
  <si>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</si>
  <si>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</si>
  <si>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</si>
  <si>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</si>
  <si>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</si>
  <si>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</si>
  <si>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</si>
  <si>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</si>
  <si>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</si>
  <si>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</si>
  <si>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</si>
  <si>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</si>
  <si>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</si>
  <si>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</si>
  <si>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</si>
  <si>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</si>
  <si>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</si>
  <si>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</si>
  <si>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</si>
  <si>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</si>
  <si>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</si>
  <si>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</si>
  <si>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</si>
  <si>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</si>
  <si>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</si>
  <si>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</si>
  <si>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</si>
  <si>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</si>
  <si>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</si>
  <si>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</si>
  <si>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</si>
  <si>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</si>
  <si>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</si>
  <si>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</si>
  <si>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</si>
  <si>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</si>
  <si>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</si>
  <si>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</si>
  <si>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</si>
  <si>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</si>
  <si>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</si>
  <si>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</si>
  <si>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</si>
  <si>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</si>
  <si>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</si>
  <si>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</si>
  <si>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</si>
  <si>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</si>
  <si>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</si>
  <si>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</si>
  <si>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</si>
  <si>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</si>
  <si>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</si>
  <si>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</si>
  <si>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</si>
  <si>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</si>
  <si>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</si>
  <si>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</si>
  <si>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</si>
  <si>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</si>
  <si>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</si>
  <si>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</si>
  <si>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</si>
  <si>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</si>
  <si>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</si>
  <si>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</si>
  <si>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</si>
  <si>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</si>
  <si>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</si>
  <si>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</si>
  <si>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</si>
  <si>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</si>
  <si>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</si>
  <si>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</si>
  <si>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</si>
  <si>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</si>
  <si>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</si>
  <si>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</si>
  <si>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</si>
  <si>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</si>
  <si>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</si>
  <si>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</si>
  <si>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</si>
  <si>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</si>
  <si>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</si>
  <si>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</si>
  <si>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</si>
  <si>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</si>
  <si>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</si>
  <si>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</si>
  <si>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</si>
  <si>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</si>
  <si>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</si>
  <si>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</si>
  <si>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</si>
  <si>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</si>
  <si>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</si>
  <si>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</si>
  <si>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</si>
  <si>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</si>
  <si>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</si>
  <si>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</si>
  <si>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</si>
  <si>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</si>
  <si>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</si>
  <si>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</si>
  <si>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</si>
  <si>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</si>
  <si>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</si>
  <si>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</si>
  <si>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</si>
  <si>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</si>
  <si>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</si>
  <si>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</si>
  <si>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</si>
  <si>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</si>
  <si>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</si>
  <si>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</si>
  <si>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</si>
  <si>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</si>
  <si>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</si>
  <si>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</si>
  <si>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</si>
  <si>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</si>
  <si>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</si>
  <si>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</si>
  <si>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</si>
  <si>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</si>
  <si>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</si>
  <si>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</si>
  <si>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</si>
  <si>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</si>
  <si>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</si>
  <si>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</si>
  <si>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</si>
  <si>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</si>
  <si>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</si>
  <si>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</si>
  <si>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</si>
  <si>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</si>
  <si>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</si>
  <si>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</si>
  <si>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</si>
  <si>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</si>
  <si>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</si>
  <si>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</si>
  <si>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</si>
  <si>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</si>
  <si>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</si>
  <si>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</si>
  <si>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</si>
  <si>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</si>
  <si>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</si>
  <si>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</si>
  <si>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</si>
  <si>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</si>
  <si>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</si>
  <si>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</si>
  <si>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</si>
  <si>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</si>
  <si>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</si>
  <si>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</si>
  <si>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</si>
  <si>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</si>
  <si>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</si>
  <si>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</si>
  <si>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</si>
  <si>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</si>
  <si>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</si>
  <si>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</si>
  <si>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</si>
  <si>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</si>
  <si>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</si>
  <si>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</si>
  <si>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</si>
  <si>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</si>
  <si>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</si>
  <si>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</si>
  <si>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</si>
  <si>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</si>
  <si>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</si>
  <si>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</si>
  <si>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</si>
  <si>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</si>
  <si>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</si>
  <si>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</si>
  <si>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</si>
  <si>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</si>
  <si>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</si>
  <si>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</si>
  <si>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</si>
  <si>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</si>
  <si>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</si>
  <si>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</si>
  <si>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</si>
  <si>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</si>
  <si>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</si>
  <si>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</si>
  <si>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</si>
  <si>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</si>
  <si>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</si>
  <si>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</si>
  <si>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</si>
  <si>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</si>
  <si>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</si>
  <si>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</si>
  <si>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</si>
  <si>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</si>
  <si>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</si>
  <si>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</si>
  <si>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</si>
  <si>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</si>
  <si>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</si>
  <si>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</si>
  <si>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</si>
  <si>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</si>
  <si>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</si>
  <si>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</si>
  <si>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</si>
  <si>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</si>
  <si>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</si>
  <si>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</si>
  <si>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</si>
  <si>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</si>
  <si>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</si>
  <si>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</si>
  <si>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</si>
  <si>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</si>
  <si>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</si>
  <si>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</si>
  <si>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</si>
  <si>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</si>
  <si>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</si>
  <si>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</si>
  <si>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</si>
  <si>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</si>
  <si>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</si>
  <si>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</si>
  <si>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</si>
  <si>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</si>
  <si>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</si>
  <si>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</si>
  <si>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</si>
  <si>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</si>
  <si>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</si>
  <si>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</si>
  <si>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</si>
  <si>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</si>
  <si>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</si>
  <si>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</si>
  <si>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</si>
  <si>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</si>
  <si>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</si>
  <si>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</si>
  <si>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</si>
  <si>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</si>
  <si>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</si>
  <si>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</si>
  <si>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</si>
  <si>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</si>
  <si>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</si>
  <si>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</si>
  <si>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</si>
  <si>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</si>
  <si>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</si>
  <si>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</si>
  <si>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</si>
  <si>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</si>
  <si>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</si>
  <si>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</si>
  <si>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</si>
  <si>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</si>
  <si>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</si>
  <si>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</si>
  <si>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</si>
  <si>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</si>
  <si>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</si>
  <si>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</si>
  <si>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</si>
  <si>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</si>
  <si>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</si>
  <si>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</si>
  <si>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</si>
  <si>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</si>
  <si>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</si>
  <si>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</si>
  <si>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</si>
  <si>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</si>
  <si>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</si>
  <si>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</si>
  <si>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</si>
  <si>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</si>
  <si>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</si>
  <si>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</si>
  <si>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</si>
  <si>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</si>
  <si>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</si>
  <si>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</si>
  <si>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</si>
  <si>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</si>
  <si>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</si>
  <si>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</si>
  <si>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</si>
  <si>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</si>
  <si>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</si>
  <si>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</si>
  <si>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</si>
  <si>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</si>
  <si>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</si>
  <si>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</si>
  <si>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</si>
  <si>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</si>
  <si>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</si>
  <si>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</si>
  <si>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</si>
  <si>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</si>
  <si>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</si>
  <si>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</si>
  <si>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</si>
  <si>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</si>
  <si>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</si>
  <si>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</si>
  <si>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</si>
  <si>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</si>
  <si>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</si>
  <si>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</si>
  <si>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</si>
  <si>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</si>
  <si>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</si>
  <si>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</si>
  <si>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</si>
  <si>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</si>
  <si>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</si>
  <si>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</si>
  <si>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</si>
  <si>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</si>
  <si>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</si>
  <si>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</si>
  <si>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</si>
  <si>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</si>
  <si>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</si>
  <si>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</si>
  <si>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</si>
  <si>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</si>
  <si>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</si>
  <si>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</si>
  <si>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</si>
  <si>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</si>
  <si>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</si>
  <si>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</si>
  <si>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</si>
  <si>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</si>
  <si>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</si>
  <si>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</si>
  <si>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</si>
  <si>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</si>
  <si>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</si>
  <si>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</si>
  <si>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</si>
  <si>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</si>
  <si>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</si>
  <si>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</si>
  <si>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</si>
  <si>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</si>
  <si>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</si>
  <si>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</si>
  <si>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</si>
  <si>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</si>
  <si>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</si>
  <si>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</si>
  <si>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</si>
  <si>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</si>
  <si>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</si>
  <si>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</si>
  <si>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</si>
  <si>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</si>
  <si>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</si>
  <si>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</si>
  <si>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</si>
  <si>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</si>
  <si>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</si>
  <si>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</si>
  <si>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</si>
  <si>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</si>
  <si>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</si>
  <si>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</si>
  <si>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</si>
  <si>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</si>
  <si>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</si>
  <si>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</si>
  <si>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</si>
  <si>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</si>
  <si>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</si>
  <si>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</si>
  <si>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</si>
  <si>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</si>
  <si>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</si>
  <si>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</si>
  <si>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</si>
  <si>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</si>
  <si>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</si>
  <si>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</si>
  <si>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</si>
  <si>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</si>
  <si>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</si>
  <si>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</si>
  <si>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</si>
  <si>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</si>
  <si>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</si>
  <si>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</si>
  <si>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</si>
  <si>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</si>
  <si>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</si>
  <si>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</si>
  <si>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</si>
  <si>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</si>
  <si>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</si>
  <si>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</si>
  <si>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</si>
  <si>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</si>
  <si>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</si>
  <si>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</si>
  <si>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</si>
  <si>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</si>
  <si>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</si>
  <si>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</si>
  <si>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</si>
  <si>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</si>
  <si>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</si>
  <si>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</si>
  <si>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</si>
  <si>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</si>
  <si>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</si>
  <si>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</si>
  <si>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</si>
  <si>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</si>
  <si>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</si>
  <si>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</si>
  <si>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</si>
  <si>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</si>
  <si>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</si>
  <si>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</si>
  <si>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</si>
  <si>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</si>
  <si>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</si>
  <si>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</si>
  <si>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</si>
  <si>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</si>
  <si>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</si>
  <si>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</si>
  <si>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</si>
  <si>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</si>
  <si>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</si>
  <si>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</si>
  <si>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</si>
  <si>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</si>
  <si>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</si>
  <si>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</si>
  <si>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</si>
  <si>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</si>
  <si>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</si>
  <si>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</si>
  <si>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</si>
  <si>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</si>
  <si>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</si>
  <si>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</si>
  <si>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</si>
  <si>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</si>
  <si>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</si>
  <si>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</si>
  <si>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</si>
  <si>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</si>
  <si>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</si>
  <si>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</si>
  <si>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</si>
  <si>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</si>
  <si>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</si>
  <si>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</si>
  <si>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</si>
  <si>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</si>
  <si>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</si>
  <si>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</si>
  <si>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</si>
  <si>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</si>
  <si>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</si>
  <si>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</si>
  <si>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</si>
  <si>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</si>
  <si>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</si>
  <si>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</si>
  <si>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</si>
  <si>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</si>
  <si>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</si>
  <si>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</si>
  <si>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</si>
  <si>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</si>
  <si>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</si>
  <si>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</si>
  <si>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</si>
  <si>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</si>
  <si>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</si>
  <si>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</si>
  <si>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</si>
  <si>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</si>
  <si>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</si>
  <si>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</si>
  <si>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</si>
  <si>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</si>
  <si>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</si>
  <si>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</si>
  <si>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</si>
  <si>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</si>
  <si>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</si>
  <si>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</si>
  <si>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</si>
  <si>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</si>
  <si>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</si>
  <si>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</si>
  <si>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</si>
  <si>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</si>
  <si>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</si>
  <si>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</si>
  <si>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</si>
  <si>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</si>
  <si>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</si>
  <si>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</si>
  <si>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</si>
  <si>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</si>
  <si>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</si>
  <si>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</si>
  <si>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</si>
  <si>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</si>
  <si>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</si>
  <si>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</si>
  <si>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</si>
  <si>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</si>
  <si>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</si>
  <si>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</si>
  <si>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</si>
  <si>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</si>
  <si>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</si>
  <si>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</si>
  <si>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</si>
  <si>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</si>
  <si>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</si>
  <si>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</si>
  <si>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</si>
  <si>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</si>
  <si>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</si>
  <si>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</si>
  <si>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</si>
  <si>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</si>
  <si>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</si>
  <si>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</si>
  <si>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</si>
  <si>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</si>
  <si>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</si>
  <si>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</si>
  <si>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</si>
  <si>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</si>
  <si>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</si>
  <si>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</si>
  <si>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</si>
  <si>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</si>
  <si>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</si>
  <si>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</si>
  <si>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</si>
  <si>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</si>
  <si>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</si>
  <si>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</si>
  <si>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</si>
  <si>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</si>
  <si>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</si>
  <si>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</si>
  <si>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</si>
  <si>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</si>
  <si>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</si>
  <si>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</si>
  <si>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</si>
  <si>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</si>
  <si>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</si>
  <si>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</si>
  <si>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</si>
  <si>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</si>
  <si>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</si>
  <si>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</si>
  <si>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</si>
  <si>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</si>
  <si>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</si>
  <si>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</si>
  <si>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</si>
  <si>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</si>
  <si>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</si>
  <si>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</si>
  <si>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</si>
  <si>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</si>
  <si>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</si>
  <si>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</si>
  <si>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</si>
  <si>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</si>
  <si>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</si>
  <si>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</si>
  <si>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</si>
  <si>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</si>
  <si>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</si>
  <si>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</si>
  <si>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</si>
  <si>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</si>
  <si>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</si>
  <si>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</si>
  <si>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</si>
  <si>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</si>
  <si>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</si>
  <si>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</si>
  <si>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</si>
  <si>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</si>
  <si>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</si>
  <si>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</si>
  <si>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</si>
  <si>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</si>
  <si>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</si>
  <si>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</si>
  <si>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</si>
  <si>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</si>
  <si>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</si>
  <si>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</si>
  <si>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</si>
  <si>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</si>
  <si>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</si>
  <si>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</si>
  <si>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</si>
  <si>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</si>
  <si>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</si>
  <si>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</si>
  <si>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</si>
  <si>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</si>
  <si>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</si>
  <si>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</si>
  <si>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</si>
  <si>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</si>
  <si>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</si>
  <si>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</si>
  <si>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</si>
  <si>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</si>
  <si>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</si>
  <si>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</si>
  <si>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</si>
  <si>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</si>
  <si>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</si>
  <si>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</si>
  <si>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</si>
  <si>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</si>
  <si>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</si>
  <si>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</si>
  <si>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</si>
  <si>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</si>
  <si>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</si>
  <si>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</si>
  <si>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</si>
  <si>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</si>
  <si>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</si>
  <si>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</si>
  <si>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</si>
  <si>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</si>
  <si>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</si>
  <si>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</si>
  <si>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</si>
  <si>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</si>
  <si>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</si>
  <si>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</si>
  <si>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</si>
  <si>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</si>
  <si>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</si>
  <si>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</si>
  <si>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</si>
  <si>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</si>
  <si>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</si>
  <si>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</si>
  <si>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</si>
  <si>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</si>
  <si>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</si>
  <si>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</si>
  <si>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</si>
  <si>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</si>
  <si>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</si>
  <si>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</si>
  <si>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</si>
  <si>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</si>
  <si>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</si>
  <si>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</si>
  <si>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</si>
  <si>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</si>
  <si>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</si>
  <si>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</si>
  <si>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</si>
  <si>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</si>
  <si>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</si>
  <si>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</si>
  <si>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</si>
  <si>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</si>
  <si>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</si>
  <si>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</si>
  <si>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</si>
  <si>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</si>
  <si>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</si>
  <si>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</si>
  <si>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</si>
  <si>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</si>
  <si>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</si>
  <si>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</si>
  <si>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</si>
  <si>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</si>
  <si>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</si>
  <si>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</si>
  <si>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</si>
  <si>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</si>
  <si>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</si>
  <si>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</si>
  <si>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</si>
  <si>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</si>
  <si>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</si>
  <si>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</si>
  <si>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</si>
  <si>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</si>
  <si>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</si>
  <si>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</si>
  <si>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</si>
  <si>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</si>
  <si>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</si>
  <si>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</si>
  <si>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</si>
  <si>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</si>
  <si>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</si>
  <si>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</si>
  <si>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</si>
  <si>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</si>
  <si>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</si>
  <si>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</si>
  <si>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</si>
  <si>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</si>
  <si>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</si>
  <si>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</si>
  <si>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</si>
  <si>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</si>
  <si>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</si>
  <si>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</si>
  <si>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</si>
  <si>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</si>
  <si>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</si>
  <si>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</si>
  <si>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</si>
  <si>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</si>
  <si>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</si>
  <si>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</si>
  <si>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</si>
  <si>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</si>
  <si>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</si>
  <si>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</si>
  <si>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</si>
  <si>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</si>
  <si>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</si>
  <si>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</si>
  <si>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</si>
  <si>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</si>
  <si>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</si>
  <si>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</si>
  <si>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</si>
  <si>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</si>
  <si>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</si>
  <si>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</si>
  <si>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</si>
  <si>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</si>
  <si>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</si>
  <si>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</si>
  <si>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</si>
  <si>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</si>
  <si>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</si>
  <si>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</si>
  <si>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</si>
  <si>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</si>
  <si>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</si>
  <si>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</si>
  <si>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</si>
  <si>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</si>
  <si>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</si>
  <si>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</si>
  <si>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</si>
  <si>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</si>
  <si>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</si>
  <si>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</si>
  <si>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</si>
  <si>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</si>
  <si>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</si>
  <si>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</si>
  <si>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</si>
  <si>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</si>
  <si>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</si>
  <si>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</si>
  <si>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</si>
  <si>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</si>
  <si>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</si>
  <si>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</si>
  <si>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</si>
  <si>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</si>
  <si>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</si>
  <si>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</si>
  <si>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</si>
  <si>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</si>
  <si>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</si>
  <si>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</si>
  <si>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</si>
  <si>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</si>
  <si>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</si>
  <si>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</si>
  <si>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</si>
  <si>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</si>
  <si>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</si>
  <si>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</si>
  <si>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</si>
  <si>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</si>
  <si>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</si>
  <si>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</si>
  <si>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</si>
  <si>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</si>
  <si>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</si>
  <si>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</si>
  <si>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</si>
  <si>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</si>
  <si>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</si>
  <si>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</si>
  <si>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</si>
  <si>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</si>
  <si>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</si>
  <si>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</si>
  <si>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</si>
  <si>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</si>
  <si>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</si>
  <si>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</si>
  <si>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</si>
  <si>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</si>
  <si>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</si>
  <si>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</si>
  <si>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</si>
  <si>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</si>
  <si>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</si>
  <si>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</si>
  <si>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</si>
  <si>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</si>
  <si>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</si>
  <si>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</si>
  <si>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</si>
  <si>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</si>
  <si>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</si>
  <si>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</si>
  <si>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</si>
  <si>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</si>
  <si>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</si>
  <si>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</si>
  <si>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</si>
  <si>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</si>
  <si>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</si>
  <si>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</si>
  <si>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</si>
  <si>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</si>
  <si>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</si>
  <si>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</si>
  <si>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</si>
  <si>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</si>
  <si>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</si>
  <si>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</si>
  <si>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</si>
  <si>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</si>
  <si>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</si>
  <si>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</si>
  <si>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</si>
  <si>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</si>
  <si>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</si>
  <si>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</si>
  <si>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</si>
  <si>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</si>
  <si>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</si>
  <si>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</si>
  <si>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</si>
  <si>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</si>
  <si>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</si>
  <si>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</si>
  <si>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</si>
  <si>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</si>
  <si>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</si>
  <si>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</si>
  <si>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</si>
  <si>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</si>
  <si>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</si>
  <si>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</si>
  <si>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</si>
  <si>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</si>
  <si>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</si>
  <si>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</si>
  <si>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</si>
  <si>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</si>
  <si>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</si>
  <si>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</si>
  <si>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</si>
  <si>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</si>
  <si>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</si>
  <si>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</si>
  <si>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</si>
  <si>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</si>
  <si>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</si>
  <si>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</si>
  <si>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</si>
  <si>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</si>
  <si>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</si>
  <si>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</si>
  <si>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</si>
  <si>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</si>
  <si>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</si>
  <si>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</si>
  <si>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</si>
  <si>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</si>
  <si>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</si>
  <si>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</si>
  <si>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</si>
  <si>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</si>
  <si>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</si>
  <si>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</si>
  <si>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</si>
  <si>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</si>
  <si>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</si>
  <si>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</si>
  <si>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</si>
  <si>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</si>
  <si>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</si>
  <si>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</si>
  <si>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</si>
  <si>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</si>
  <si>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</si>
  <si>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</si>
  <si>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</si>
  <si>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</si>
  <si>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</si>
  <si>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</si>
  <si>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</si>
  <si>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</si>
  <si>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</si>
  <si>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</si>
  <si>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</si>
  <si>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</si>
  <si>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</si>
  <si>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</si>
  <si>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</si>
  <si>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</si>
  <si>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</si>
  <si>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</si>
  <si>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</si>
  <si>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</si>
  <si>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</si>
  <si>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</si>
  <si>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</si>
  <si>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</si>
  <si>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</si>
  <si>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</si>
  <si>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</si>
  <si>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</si>
  <si>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</si>
  <si>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</si>
  <si>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</si>
  <si>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</si>
  <si>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</si>
  <si>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</si>
  <si>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</si>
  <si>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</si>
  <si>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</si>
  <si>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</si>
  <si>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</si>
  <si>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</si>
  <si>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</si>
  <si>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</si>
  <si>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</si>
  <si>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</si>
  <si>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</si>
  <si>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</si>
  <si>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</si>
  <si>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</si>
  <si>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</si>
  <si>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</si>
  <si>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</si>
  <si>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</si>
  <si>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</si>
  <si>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</si>
  <si>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</si>
  <si>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</si>
  <si>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</si>
  <si>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</si>
  <si>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</si>
  <si>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</si>
  <si>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</si>
  <si>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</si>
  <si>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</si>
  <si>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</si>
  <si>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</si>
  <si>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</si>
  <si>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</si>
  <si>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</si>
  <si>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</si>
  <si>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</si>
  <si>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</si>
  <si>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</si>
  <si>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</si>
  <si>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</si>
  <si>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</si>
  <si>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</si>
  <si>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</si>
  <si>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</si>
  <si>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</si>
  <si>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</si>
  <si>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</si>
  <si>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</si>
  <si>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</si>
  <si>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</si>
  <si>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</si>
  <si>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</si>
  <si>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</si>
  <si>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</si>
  <si>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</si>
  <si>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</si>
  <si>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</si>
  <si>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</si>
  <si>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</si>
  <si>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</si>
  <si>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</si>
  <si>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</si>
  <si>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</si>
  <si>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</si>
  <si>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</si>
  <si>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</si>
  <si>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</si>
  <si>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</si>
  <si>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</si>
  <si>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</si>
  <si>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</si>
  <si>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</si>
  <si>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</si>
  <si>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</si>
  <si>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</si>
  <si>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</si>
  <si>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</si>
  <si>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</si>
  <si>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</si>
  <si>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</si>
  <si>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</si>
  <si>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</si>
  <si>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</si>
  <si>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</si>
  <si>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</si>
  <si>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</si>
  <si>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</si>
  <si>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</si>
  <si>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</si>
  <si>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</si>
  <si>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</si>
  <si>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</si>
  <si>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</si>
  <si>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</si>
  <si>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</si>
  <si>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</si>
  <si>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</si>
  <si>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</si>
  <si>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</si>
  <si>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</si>
  <si>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</si>
  <si>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</si>
  <si>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</si>
  <si>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</si>
  <si>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</si>
  <si>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</si>
  <si>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</si>
  <si>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</si>
  <si>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</si>
  <si>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</si>
  <si>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</si>
  <si>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</si>
  <si>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</si>
  <si>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</si>
  <si>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</si>
  <si>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</si>
  <si>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</si>
  <si>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</si>
  <si>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</si>
  <si>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</si>
  <si>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</si>
  <si>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</si>
  <si>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</si>
  <si>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</si>
  <si>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</si>
  <si>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</si>
  <si>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</si>
  <si>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</si>
  <si>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</si>
  <si>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</si>
  <si>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</si>
  <si>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</si>
  <si>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</si>
  <si>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</si>
  <si>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</si>
  <si>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</si>
  <si>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</si>
  <si>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</si>
  <si>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</si>
  <si>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</si>
  <si>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</si>
  <si>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</si>
  <si>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</si>
  <si>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</si>
  <si>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</si>
  <si>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</si>
  <si>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</si>
  <si>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</si>
  <si>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</si>
  <si>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</si>
  <si>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</si>
  <si>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</si>
  <si>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</si>
  <si>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</si>
  <si>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</si>
  <si>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</si>
  <si>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</si>
  <si>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</si>
  <si>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</si>
  <si>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</si>
  <si>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</si>
  <si>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</si>
  <si>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</si>
  <si>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</si>
  <si>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</si>
  <si>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</si>
  <si>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</si>
  <si>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</si>
  <si>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</si>
  <si>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</si>
  <si>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</si>
  <si>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</si>
  <si>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</si>
  <si>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</si>
  <si>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</si>
  <si>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</si>
  <si>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</si>
  <si>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</si>
  <si>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</si>
  <si>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</si>
  <si>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</si>
  <si>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</si>
  <si>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</si>
  <si>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</si>
  <si>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</si>
  <si>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</si>
  <si>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</si>
  <si>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</si>
  <si>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</si>
  <si>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</si>
  <si>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</si>
  <si>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</si>
  <si>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</si>
  <si>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</si>
  <si>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</si>
  <si>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</si>
  <si>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</si>
  <si>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</si>
  <si>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</si>
  <si>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</si>
  <si>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</si>
  <si>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</si>
  <si>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</si>
  <si>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</si>
  <si>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</si>
  <si>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</si>
  <si>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</si>
  <si>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</si>
  <si>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</si>
  <si>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</si>
  <si>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</si>
  <si>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</si>
  <si>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</si>
  <si>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</si>
  <si>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</si>
  <si>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</si>
  <si>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</si>
  <si>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</si>
  <si>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</si>
  <si>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</si>
  <si>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</si>
  <si>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</si>
  <si>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</si>
  <si>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</si>
  <si>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</si>
  <si>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</si>
  <si>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</si>
  <si>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</si>
  <si>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</si>
  <si>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</si>
  <si>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</si>
  <si>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</si>
  <si>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</si>
  <si>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</si>
  <si>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</si>
  <si>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</si>
  <si>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</si>
  <si>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</si>
  <si>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</si>
  <si>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</si>
  <si>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</si>
  <si>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</si>
  <si>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</si>
  <si>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</si>
  <si>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</si>
  <si>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</si>
  <si>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</si>
  <si>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</si>
  <si>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</si>
  <si>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</si>
  <si>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</si>
  <si>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</si>
  <si>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</si>
  <si>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</si>
  <si>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</si>
  <si>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</si>
  <si>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</si>
  <si>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</si>
  <si>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</si>
  <si>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</si>
  <si>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</si>
  <si>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</si>
  <si>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</si>
  <si>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</si>
  <si>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</si>
  <si>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</si>
  <si>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</si>
  <si>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</si>
  <si>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</si>
  <si>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</si>
  <si>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</si>
  <si>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</si>
  <si>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</si>
  <si>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</si>
  <si>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</si>
  <si>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</si>
  <si>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</si>
  <si>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</si>
  <si>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</si>
  <si>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</si>
  <si>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</si>
  <si>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</si>
  <si>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</si>
  <si>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</si>
  <si>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</si>
  <si>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</si>
  <si>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</si>
  <si>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</si>
  <si>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</si>
  <si>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</si>
  <si>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</si>
  <si>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</si>
  <si>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</si>
  <si>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</si>
  <si>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</si>
  <si>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</si>
  <si>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</si>
  <si>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</si>
  <si>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</si>
  <si>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</si>
  <si>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</si>
  <si>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</si>
  <si>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</si>
  <si>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</si>
  <si>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</si>
  <si>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</si>
  <si>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</si>
  <si>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</si>
  <si>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</si>
  <si>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</si>
  <si>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</si>
  <si>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</si>
  <si>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</si>
  <si>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</si>
  <si>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</si>
  <si>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</si>
  <si>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</si>
  <si>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</si>
  <si>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</si>
  <si>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</si>
  <si>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</si>
  <si>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</si>
  <si>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</si>
  <si>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</si>
  <si>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</si>
  <si>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</si>
  <si>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</si>
  <si>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</si>
  <si>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</si>
  <si>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</si>
  <si>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</si>
  <si>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</si>
  <si>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</si>
  <si>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</si>
  <si>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</si>
  <si>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</si>
  <si>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</si>
  <si>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</si>
  <si>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</si>
  <si>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</si>
  <si>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</si>
  <si>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</si>
  <si>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</si>
  <si>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</si>
  <si>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</si>
  <si>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</si>
  <si>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</si>
  <si>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</si>
  <si>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</si>
  <si>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</si>
  <si>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</si>
  <si>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</si>
  <si>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</si>
  <si>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</si>
  <si>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</si>
  <si>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</si>
  <si>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</si>
  <si>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</si>
  <si>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</si>
  <si>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</si>
  <si>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</si>
  <si>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</si>
  <si>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</si>
  <si>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</si>
  <si>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</si>
  <si>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</si>
  <si>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</si>
  <si>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</si>
  <si>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</si>
  <si>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</si>
  <si>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</si>
  <si>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</si>
  <si>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</si>
  <si>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</si>
  <si>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</si>
  <si>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</si>
  <si>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</si>
  <si>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</si>
  <si>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</si>
  <si>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</si>
  <si>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</si>
  <si>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</si>
  <si>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</si>
  <si>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</si>
  <si>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</si>
  <si>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</si>
  <si>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</si>
  <si>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</si>
  <si>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</si>
  <si>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</si>
  <si>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</si>
  <si>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</si>
  <si>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</si>
  <si>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</si>
  <si>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</si>
  <si>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</si>
  <si>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</si>
  <si>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</si>
  <si>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</si>
  <si>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</si>
  <si>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</si>
  <si>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</si>
  <si>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</si>
  <si>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</si>
  <si>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</si>
  <si>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</si>
  <si>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</si>
  <si>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</si>
  <si>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</si>
  <si>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</si>
  <si>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</si>
  <si>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</si>
  <si>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</si>
  <si>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</si>
  <si>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</si>
  <si>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</si>
  <si>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</si>
  <si>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</si>
  <si>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</si>
  <si>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</si>
  <si>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</si>
  <si>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</si>
  <si>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</si>
  <si>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</si>
  <si>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</si>
  <si>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</si>
  <si>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</si>
  <si>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</si>
  <si>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</si>
  <si>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</si>
  <si>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</si>
  <si>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</si>
  <si>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</si>
  <si>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</si>
  <si>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</si>
  <si>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</si>
  <si>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</si>
  <si>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</si>
  <si>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</si>
  <si>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</si>
  <si>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</si>
  <si>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</si>
  <si>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</si>
  <si>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</si>
  <si>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</si>
  <si>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</si>
  <si>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</si>
  <si>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</si>
  <si>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</si>
  <si>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</si>
  <si>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</si>
  <si>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</si>
  <si>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</si>
  <si>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</si>
  <si>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</si>
  <si>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</si>
  <si>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</si>
  <si>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</si>
  <si>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</si>
  <si>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</si>
  <si>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</si>
  <si>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</si>
  <si>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</si>
  <si>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</si>
  <si>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</si>
  <si>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</si>
  <si>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</si>
  <si>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</si>
  <si>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</si>
  <si>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</si>
  <si>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</si>
  <si>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</si>
  <si>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</si>
  <si>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</si>
  <si>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</si>
  <si>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</si>
  <si>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</si>
  <si>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</si>
  <si>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</si>
  <si>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</si>
  <si>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</si>
  <si>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</si>
  <si>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</si>
  <si>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</si>
  <si>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</si>
  <si>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</si>
  <si>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</si>
  <si>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</si>
  <si>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</si>
  <si>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</si>
  <si>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</si>
  <si>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</si>
  <si>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</si>
  <si>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</si>
  <si>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</si>
  <si>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</si>
  <si>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</si>
  <si>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</si>
  <si>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</si>
  <si>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</si>
  <si>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</si>
  <si>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</si>
  <si>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</si>
  <si>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</si>
  <si>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</si>
  <si>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</si>
  <si>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</si>
  <si>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</si>
  <si>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</si>
  <si>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</si>
  <si>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</si>
  <si>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</si>
  <si>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</si>
  <si>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</si>
  <si>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</si>
  <si>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</si>
  <si>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</si>
  <si>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</si>
  <si>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</si>
  <si>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</si>
  <si>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</si>
  <si>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</si>
  <si>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</si>
  <si>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</si>
  <si>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</si>
  <si>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</si>
  <si>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</si>
  <si>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</si>
  <si>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</si>
  <si>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</si>
  <si>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</si>
  <si>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</si>
  <si>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</si>
  <si>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</si>
  <si>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</si>
  <si>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</si>
  <si>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</si>
  <si>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</si>
  <si>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</si>
  <si>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</si>
  <si>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</si>
  <si>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</si>
  <si>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</si>
  <si>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</si>
  <si>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</si>
  <si>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</si>
  <si>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</si>
  <si>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</si>
  <si>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</si>
  <si>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</si>
  <si>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</si>
  <si>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</si>
  <si>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</si>
  <si>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</si>
  <si>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</si>
  <si>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</si>
  <si>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</si>
  <si>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</si>
  <si>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</si>
  <si>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</si>
  <si>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</si>
  <si>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</si>
  <si>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</si>
  <si>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</si>
  <si>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</si>
  <si>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</si>
  <si>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</si>
  <si>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</si>
  <si>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</si>
  <si>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</si>
  <si>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</si>
  <si>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</si>
  <si>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</si>
  <si>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</si>
  <si>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</si>
  <si>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</si>
  <si>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</si>
  <si>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</si>
  <si>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</si>
  <si>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</si>
  <si>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</si>
  <si>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</si>
  <si>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</si>
  <si>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</si>
  <si>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</si>
  <si>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</si>
  <si>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</si>
  <si>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</si>
  <si>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</si>
  <si>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</si>
  <si>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</si>
  <si>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</si>
  <si>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</si>
  <si>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</si>
  <si>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</si>
  <si>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</si>
  <si>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</si>
  <si>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</si>
  <si>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</si>
  <si>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</si>
  <si>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</si>
  <si>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</si>
  <si>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</si>
  <si>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</si>
  <si>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</si>
  <si>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</si>
  <si>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</si>
  <si>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</si>
  <si>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</si>
  <si>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</si>
  <si>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</si>
  <si>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</si>
  <si>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</si>
  <si>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</si>
  <si>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</si>
  <si>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</si>
  <si>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</si>
  <si>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</si>
  <si>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</si>
  <si>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</si>
  <si>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</si>
  <si>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</si>
  <si>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</si>
  <si>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</si>
  <si>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</si>
  <si>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</si>
  <si>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</si>
  <si>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</si>
  <si>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</si>
  <si>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</si>
  <si>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</si>
  <si>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</si>
  <si>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</si>
  <si>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</si>
  <si>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</si>
  <si>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</si>
  <si>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</si>
  <si>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</si>
  <si>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</si>
  <si>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</si>
  <si>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</si>
  <si>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</si>
  <si>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</si>
  <si>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</si>
  <si>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</si>
  <si>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</si>
  <si>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</si>
  <si>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</si>
  <si>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</si>
  <si>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</si>
  <si>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</si>
  <si>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</si>
  <si>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</si>
  <si>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</si>
  <si>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</si>
  <si>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</si>
  <si>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</si>
  <si>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</si>
  <si>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</si>
  <si>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</si>
  <si>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</si>
  <si>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</si>
  <si>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</si>
  <si>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</si>
  <si>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</si>
  <si>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</si>
  <si>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</si>
  <si>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</si>
  <si>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</si>
  <si>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</si>
  <si>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</si>
  <si>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</si>
  <si>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</si>
  <si>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</si>
  <si>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</si>
  <si>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</si>
  <si>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</si>
  <si>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</si>
  <si>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</si>
  <si>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</si>
  <si>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</si>
  <si>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</si>
  <si>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</si>
  <si>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</si>
  <si>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</si>
  <si>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</si>
  <si>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</si>
  <si>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</si>
  <si>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</si>
  <si>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</si>
  <si>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</si>
  <si>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</si>
  <si>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</si>
  <si>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</si>
  <si>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</si>
  <si>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</si>
  <si>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</si>
  <si>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</si>
  <si>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</si>
  <si>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</si>
  <si>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</si>
  <si>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</si>
  <si>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</si>
  <si>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</si>
  <si>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</si>
  <si>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</si>
  <si>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</si>
  <si>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</si>
  <si>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</si>
  <si>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</si>
  <si>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</si>
  <si>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</si>
  <si>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</si>
  <si>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</si>
  <si>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</si>
  <si>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</si>
  <si>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</si>
  <si>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</si>
  <si>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</si>
  <si>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</si>
  <si>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</si>
  <si>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</si>
  <si>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</si>
  <si>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</si>
  <si>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</si>
  <si>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</si>
  <si>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</si>
  <si>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</si>
  <si>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</si>
  <si>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</si>
  <si>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</si>
  <si>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</si>
  <si>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</si>
  <si>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</si>
  <si>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</si>
  <si>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</si>
  <si>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</si>
  <si>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</si>
  <si>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</si>
  <si>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</si>
  <si>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</si>
  <si>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</si>
  <si>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</si>
  <si>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</si>
  <si>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</si>
  <si>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</si>
  <si>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</si>
  <si>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</si>
  <si>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</si>
  <si>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</si>
  <si>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</si>
  <si>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</si>
  <si>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</si>
  <si>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</si>
  <si>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</si>
  <si>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</si>
  <si>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</si>
  <si>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</si>
  <si>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</si>
  <si>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</si>
  <si>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</si>
  <si>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</si>
  <si>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</si>
  <si>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</si>
  <si>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</si>
  <si>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</si>
  <si>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</si>
  <si>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</si>
  <si>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</si>
  <si>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</si>
  <si>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</si>
  <si>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</si>
  <si>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</si>
  <si>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</si>
  <si>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</si>
  <si>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</si>
  <si>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</si>
  <si>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</si>
  <si>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</si>
  <si>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</si>
  <si>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</si>
  <si>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</si>
  <si>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</si>
  <si>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</si>
  <si>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</si>
  <si>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</si>
  <si>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</si>
  <si>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</si>
  <si>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</si>
  <si>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</si>
  <si>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</si>
  <si>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</si>
  <si>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</si>
  <si>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</si>
  <si>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</si>
  <si>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</si>
  <si>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</si>
  <si>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</si>
  <si>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</si>
  <si>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</si>
  <si>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</si>
  <si>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</si>
  <si>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</si>
  <si>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</si>
  <si>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</si>
  <si>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</si>
  <si>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</si>
  <si>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</si>
  <si>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</si>
  <si>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</si>
  <si>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</si>
  <si>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</si>
  <si>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</si>
  <si>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</si>
  <si>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</si>
  <si>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</si>
  <si>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</si>
  <si>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</si>
  <si>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</si>
  <si>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</si>
  <si>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</si>
  <si>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</si>
  <si>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</si>
  <si>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</si>
  <si>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</si>
  <si>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</si>
  <si>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</si>
  <si>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</si>
  <si>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</si>
  <si>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</si>
  <si>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</si>
  <si>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</si>
  <si>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</si>
  <si>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</si>
  <si>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</si>
  <si>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</si>
  <si>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</si>
  <si>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</si>
  <si>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</si>
  <si>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</si>
  <si>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</si>
  <si>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</si>
  <si>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</si>
  <si>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</si>
  <si>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</si>
  <si>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</si>
  <si>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</si>
  <si>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</si>
  <si>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</si>
  <si>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</si>
  <si>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</si>
  <si>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</si>
  <si>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</si>
  <si>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</si>
  <si>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</si>
  <si>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</si>
  <si>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</si>
  <si>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</si>
  <si>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</si>
  <si>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</si>
  <si>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</si>
  <si>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</si>
  <si>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</si>
  <si>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</si>
  <si>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</si>
  <si>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</si>
  <si>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</si>
  <si>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</si>
  <si>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</si>
  <si>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</si>
  <si>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</si>
  <si>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</si>
  <si>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</si>
  <si>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</si>
  <si>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</si>
  <si>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</si>
  <si>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</si>
  <si>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</si>
  <si>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</si>
  <si>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</si>
  <si>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</si>
  <si>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</si>
  <si>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</si>
  <si>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</si>
  <si>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</si>
  <si>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</si>
  <si>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</si>
  <si>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</si>
  <si>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</si>
  <si>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</si>
  <si>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</si>
  <si>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</si>
  <si>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</si>
  <si>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</si>
  <si>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</si>
  <si>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</si>
  <si>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</si>
  <si>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</si>
  <si>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</si>
  <si>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</si>
  <si>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</si>
  <si>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</si>
  <si>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</si>
  <si>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</si>
  <si>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</si>
  <si>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</si>
  <si>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</si>
  <si>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</si>
  <si>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</si>
  <si>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</si>
  <si>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</si>
  <si>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</si>
  <si>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</si>
  <si>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</si>
  <si>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</si>
  <si>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</si>
  <si>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</si>
  <si>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</si>
  <si>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</si>
  <si>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</si>
  <si>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</si>
  <si>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</si>
  <si>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</si>
  <si>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</si>
  <si>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</si>
  <si>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</si>
  <si>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</si>
  <si>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</si>
  <si>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</si>
  <si>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</si>
  <si>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</si>
  <si>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</si>
  <si>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</si>
  <si>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</si>
  <si>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</si>
  <si>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</si>
  <si>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</si>
  <si>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</si>
  <si>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</si>
  <si>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</si>
  <si>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</si>
  <si>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</si>
  <si>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</si>
  <si>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</si>
  <si>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</si>
  <si>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</si>
  <si>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</si>
  <si>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</si>
  <si>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</si>
  <si>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</si>
  <si>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</si>
  <si>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</si>
  <si>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</si>
  <si>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</si>
  <si>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</si>
  <si>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</si>
  <si>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</si>
  <si>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</si>
  <si>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</si>
  <si>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</si>
  <si>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</si>
  <si>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</si>
  <si>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</si>
  <si>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</si>
  <si>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</si>
  <si>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</si>
  <si>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</si>
  <si>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</si>
  <si>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</si>
  <si>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</si>
  <si>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</si>
  <si>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</si>
  <si>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</si>
  <si>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</si>
  <si>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</si>
  <si>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</si>
  <si>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</si>
  <si>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</si>
  <si>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</si>
  <si>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</si>
  <si>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</si>
  <si>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</si>
  <si>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</si>
  <si>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</si>
  <si>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</si>
  <si>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</si>
  <si>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</si>
  <si>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</si>
  <si>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</si>
  <si>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</si>
  <si>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</si>
  <si>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</si>
  <si>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</si>
  <si>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</si>
  <si>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</si>
  <si>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</si>
  <si>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</si>
  <si>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</si>
  <si>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</si>
  <si>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</si>
  <si>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</si>
  <si>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</si>
  <si>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</si>
  <si>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</si>
  <si>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</si>
  <si>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</si>
  <si>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</si>
  <si>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</si>
  <si>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</si>
  <si>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</si>
  <si>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</si>
  <si>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</si>
  <si>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</si>
  <si>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</si>
  <si>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</si>
  <si>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</si>
  <si>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</si>
  <si>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</si>
  <si>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</si>
  <si>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</si>
  <si>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</si>
  <si>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</si>
  <si>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</si>
  <si>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</si>
  <si>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</si>
  <si>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</si>
  <si>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</si>
  <si>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</si>
  <si>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</si>
  <si>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</si>
  <si>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</si>
  <si>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</si>
  <si>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</si>
  <si>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</si>
  <si>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</si>
  <si>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</si>
  <si>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</si>
  <si>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</si>
  <si>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</si>
  <si>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</si>
  <si>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</si>
  <si>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</si>
  <si>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</si>
  <si>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</si>
  <si>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</si>
  <si>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</si>
  <si>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</si>
  <si>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</si>
  <si>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</si>
  <si>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</si>
  <si>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</si>
  <si>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</si>
  <si>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</si>
  <si>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</si>
  <si>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</si>
  <si>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</si>
  <si>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</si>
  <si>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</si>
  <si>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</si>
  <si>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</si>
  <si>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</si>
  <si>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</si>
  <si>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</si>
  <si>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</si>
  <si>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</si>
  <si>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</si>
  <si>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</si>
  <si>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</si>
  <si>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</si>
  <si>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</si>
  <si>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</si>
  <si>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</si>
  <si>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</si>
  <si>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</si>
  <si>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</si>
  <si>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</si>
  <si>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</si>
  <si>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</si>
  <si>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</si>
  <si>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</si>
  <si>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</si>
  <si>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</si>
  <si>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</si>
  <si>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</si>
  <si>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</si>
  <si>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</si>
  <si>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</si>
  <si>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</si>
  <si>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</si>
  <si>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</si>
  <si>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</si>
  <si>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</si>
  <si>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</si>
  <si>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</si>
  <si>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</si>
  <si>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</si>
  <si>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</si>
  <si>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</si>
  <si>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</si>
  <si>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</si>
  <si>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</si>
  <si>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</si>
  <si>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</si>
  <si>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</si>
  <si>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</si>
  <si>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</si>
  <si>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</si>
  <si>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</si>
  <si>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</si>
  <si>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</si>
  <si>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</si>
  <si>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</si>
  <si>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</si>
  <si>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</si>
  <si>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</si>
  <si>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</si>
  <si>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</si>
  <si>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</si>
  <si>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</si>
  <si>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</si>
  <si>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</si>
  <si>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</si>
  <si>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</si>
  <si>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</si>
  <si>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</si>
  <si>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</si>
  <si>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</si>
  <si>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</si>
  <si>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</si>
  <si>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</si>
  <si>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</si>
  <si>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</si>
  <si>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</si>
  <si>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</si>
  <si>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</si>
  <si>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</si>
  <si>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</si>
  <si>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</si>
  <si>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</si>
  <si>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</si>
  <si>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</si>
  <si>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</si>
  <si>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</si>
  <si>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</si>
  <si>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</si>
  <si>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</si>
  <si>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</si>
  <si>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</si>
  <si>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</si>
  <si>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</si>
  <si>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</si>
  <si>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</si>
  <si>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</si>
  <si>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</si>
  <si>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</si>
  <si>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</si>
  <si>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</si>
  <si>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</si>
  <si>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</si>
  <si>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</si>
  <si>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</si>
  <si>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</si>
  <si>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RC CARD - YOUNIS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</si>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</sst>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9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60" totalsRowShown="0" headerRowDxfId="81" dataDxfId="80">
  <autoFilter ref="A1:R860" xr:uid="{97E63F84-BDFB-4C38-B1FD-28318E0D1D3F}"/>
  <tableColumns count="18">
    <tableColumn id="1" xr3:uid="{DEBB3640-E433-4779-93BC-95B8FB492623}" name="S.NO" dataDxfId="79">
      <calculatedColumnFormula>ROW()-1</calculatedColumnFormula>
    </tableColumn>
    <tableColumn id="13" xr3:uid="{86C56767-9BFE-4154-9FC1-CEA7C183815E}" name="APPLICATION NO." dataDxfId="78"/>
    <tableColumn id="2" xr3:uid="{6ABB4EDF-0F58-40D7-979C-D37D8D91A6BC}" name="CHASSIS" dataDxfId="77"/>
    <tableColumn id="17" xr3:uid="{0BBF5E4D-B8B0-4055-8D5F-3A6BB4D4A4DA}" name="ENGINE NO." dataDxfId="76"/>
    <tableColumn id="3" xr3:uid="{285CC4F4-4CD1-4FFC-A101-ED051DA40438}" name="NAME" dataDxfId="75"/>
    <tableColumn id="4" xr3:uid="{28DC8B59-EFA0-4502-86B0-033B0B60D615}" name="MODEL" dataDxfId="74"/>
    <tableColumn id="14" xr3:uid="{B25F5A6A-3B72-4772-B75C-D86670F35131}" name="COLOR" dataDxfId="73"/>
    <tableColumn id="15" xr3:uid="{22F5E9AE-FC4E-4EBD-ADBF-5C93F85B331F}" name="RTO" dataDxfId="7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1"/>
    <tableColumn id="6" xr3:uid="{9942893D-0703-456F-8072-CD136C7B4052}" name="DATE OF REG" dataDxfId="70"/>
    <tableColumn id="12" xr3:uid="{CC83ADC7-1924-4CE0-83FB-B2DFBEF7A193}" name="CONTACT" dataDxfId="69"/>
    <tableColumn id="7" xr3:uid="{3AD2B0D9-D7A5-46E0-B596-F6B7F1CDDEA6}" name="DSE" dataDxfId="68"/>
    <tableColumn id="8" xr3:uid="{475221AE-3FDC-4CED-B76C-4DA1DD4F8AD9}" name="RC RECEIVED BY" dataDxfId="67"/>
    <tableColumn id="9" xr3:uid="{F594ED7D-6966-47AC-A5C3-25754B73A3CC}" name="DATE" dataDxfId="66"/>
    <tableColumn id="10" xr3:uid="{452E3ECD-E927-4EC7-A8A2-4A866233750E}" name="FASTTAG" dataDxfId="65"/>
    <tableColumn id="11" xr3:uid="{CFEE5573-D700-4B26-B382-BCA8210C54C2}" name="DATED" dataDxfId="64"/>
    <tableColumn id="16" xr3:uid="{07363D0C-2FBE-403B-A617-BDB5768FAC43}" name="FT STATUS" dataDxfId="63"/>
    <tableColumn id="19" xr3:uid="{9456CF5E-F4D1-41FB-BAEA-332735A8583D}" name="REMARKS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1" dataDxfId="59" headerRowBorderDxfId="60" tableBorderDxfId="58">
  <autoFilter ref="A1:U1475" xr:uid="{D370B51C-D08F-47BE-AAB1-EC19B1CB5D0A}"/>
  <tableColumns count="21">
    <tableColumn id="1" xr3:uid="{F2AB5776-2910-4922-8F7A-A29B241AFBFB}" name="S.NO" dataDxfId="57"/>
    <tableColumn id="2" xr3:uid="{BD6FD91D-E737-4D6A-B00A-D80EC1A61CA8}" name="DATE" dataDxfId="56"/>
    <tableColumn id="3" xr3:uid="{523BFE7D-9361-4DD0-92B3-69A6F8F0C3E9}" name="CUSTOMER NAME" dataDxfId="55"/>
    <tableColumn id="4" xr3:uid="{D470DE80-5E84-419F-ABF9-6269311CD45E}" name="MARUTI" dataDxfId="54"/>
    <tableColumn id="5" xr3:uid="{89C10B6F-C9EE-4AD2-A610-262BFCF29B4E}" name="MODEL OR VARIANT" dataDxfId="53"/>
    <tableColumn id="6" xr3:uid="{9CB69D3E-706F-4EED-A315-D5399BE00D5C}" name="RTO" dataDxfId="52"/>
    <tableColumn id="7" xr3:uid="{2FB81954-C8D6-43B3-92E2-574B07BBFCCB}" name="VEHICLE CLASS" dataDxfId="51"/>
    <tableColumn id="8" xr3:uid="{1892A735-1187-4E6C-8786-9B173567AAD2}" name="REG. NO" dataDxfId="50"/>
    <tableColumn id="9" xr3:uid="{AFB37B1C-50E7-42BE-BC49-27B4D7E4E829}" name="VIN" dataDxfId="49"/>
    <tableColumn id="10" xr3:uid="{A3569458-1056-4E90-B079-94E3430A5743}" name="APPLICATION NO." dataDxfId="48"/>
    <tableColumn id="11" xr3:uid="{E25E7D92-4EC4-485D-93B8-A15B0538604A}" name="RTO AMMOUNT " dataDxfId="47"/>
    <tableColumn id="12" xr3:uid="{DB89535A-8F36-4EF8-B62C-86ABB378F51F}" name="HSRP" dataDxfId="46"/>
    <tableColumn id="13" xr3:uid="{6BD25826-954F-49C4-BE9E-24422B1B85BE}" name="ACCOUNT" dataDxfId="45"/>
    <tableColumn id="14" xr3:uid="{974951AE-D99C-487A-9DB5-065DA8DD25D4}" name="RM NAME" dataDxfId="44"/>
    <tableColumn id="15" xr3:uid="{FA4014CD-BE60-4554-9D6D-C0CC54B2CA05}" name="PAYMENT MODE" dataDxfId="43"/>
    <tableColumn id="16" xr3:uid="{84C48B22-72C9-4BD7-86AD-D8ECD87C3A64}" name="FILE PUNCHED BY" dataDxfId="42"/>
    <tableColumn id="17" xr3:uid="{87E46E14-6F6C-41D4-BBF8-CEAFAFE4CA8F}" name="PAYMENT ID" dataDxfId="41"/>
    <tableColumn id="18" xr3:uid="{0F2CD467-C868-4769-B436-AE2A25413B52}" name="RC STATUS" dataDxfId="40"/>
    <tableColumn id="19" xr3:uid="{0A9FDBF9-6418-4F2B-8B46-BE05C8150A04}" name="RC GIVEN DATE" dataDxfId="39"/>
    <tableColumn id="20" xr3:uid="{3A50F2B6-47D6-4A09-AA43-188FC568EA57}" name="FASTTAG ISSUE" dataDxfId="38"/>
    <tableColumn id="21" xr3:uid="{E4802D5D-D65F-42D3-B57E-E27729185964}" name="FASTTAG ISSUE DATE 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64" totalsRowShown="0" headerRowDxfId="36" dataDxfId="35">
  <autoFilter ref="A2:H564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4"/>
    <tableColumn id="11" xr3:uid="{7AA66E15-5D81-45A6-A480-BC2F7EFDEB4C}" name="Name" dataDxfId="33"/>
    <tableColumn id="10" xr3:uid="{DA1D923C-25B3-4F76-823C-435E6464FF55}" name="Contact" dataDxfId="32"/>
    <tableColumn id="2" xr3:uid="{5FEBD558-5EB7-4421-BA25-DCAC1134B168}" name="Barcode No." dataDxfId="31"/>
    <tableColumn id="12" xr3:uid="{77758C8B-F2C8-47C0-B104-570729F9693B}" name="Reg Num" dataDxfId="30"/>
    <tableColumn id="5" xr3:uid="{9AC97A3F-3009-4A59-ACCF-A178780E6F61}" name="Date" dataDxfId="29"/>
    <tableColumn id="7" xr3:uid="{82C8F4C5-8489-4228-83CC-0B9666328CDD}" name="CHANNEL" dataDxfId="28"/>
    <tableColumn id="8" xr3:uid="{DDF1FC61-A0D6-46E9-9515-6DDC5AB1E932}" name="Statu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6" dataDxfId="25">
  <autoFilter ref="A2:I9" xr:uid="{74ED0DA7-B29F-4043-B63E-2DC322D6021E}"/>
  <tableColumns count="9">
    <tableColumn id="1" xr3:uid="{245016D5-DEB3-4F3E-B449-3096C2EF947B}" name="S.No." dataDxfId="24">
      <calculatedColumnFormula>ROW()-2</calculatedColumnFormula>
    </tableColumn>
    <tableColumn id="2" xr3:uid="{77ED4F47-8FDC-4F18-AB35-3830D899313B}" name="Dated" dataDxfId="23"/>
    <tableColumn id="3" xr3:uid="{67393A8B-58A2-4A4E-AA68-362B9B4F4E28}" name="Vehicle Num." dataDxfId="22"/>
    <tableColumn id="4" xr3:uid="{2C031EFD-E44B-468B-BEF0-3C97412F5E2E}" name="Name" dataDxfId="21"/>
    <tableColumn id="5" xr3:uid="{73873638-799E-44F5-B857-93DAE5E0F2FF}" name="Payment Mode" dataDxfId="20"/>
    <tableColumn id="6" xr3:uid="{BFB6E8F7-43C7-4B39-8FF0-E41A5EA5B2D3}" name="Trans Id." dataDxfId="19"/>
    <tableColumn id="8" xr3:uid="{3B1BF0B9-13BC-4A4E-B215-A3056576D199}" name="Trans. Date" dataDxfId="18"/>
    <tableColumn id="9" xr3:uid="{F64CF3FC-8352-46AE-80D1-01DDCE0247AC}" name="Amount" dataDxfId="17"/>
    <tableColumn id="7" xr3:uid="{22AF1F96-D5EA-48BA-A958-A42C203B5287}" name="Remarks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28"/>
  <sheetViews>
    <sheetView tabSelected="1" topLeftCell="A850" zoomScaleNormal="100" workbookViewId="0">
      <selection activeCell="Q857" sqref="Q85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 t="shared" si="3"/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10669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10668</v>
      </c>
      <c r="J95" s="22">
        <v>45979</v>
      </c>
      <c r="K95" s="21">
        <v>9419687942</v>
      </c>
      <c r="L95" s="21" t="s">
        <v>47</v>
      </c>
      <c r="M95" s="23" t="s">
        <v>10870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 t="shared" si="3"/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 t="shared" si="3"/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 t="shared" si="3"/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 t="shared" si="3"/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 t="shared" si="3"/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 t="shared" si="5"/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 t="shared" si="5"/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 t="shared" si="5"/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 t="shared" si="5"/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 t="shared" si="5"/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 t="shared" si="5"/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 t="shared" si="5"/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 t="shared" si="5"/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 t="shared" si="5"/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 t="shared" si="7"/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 t="shared" si="6"/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 t="shared" si="7"/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 t="shared" si="7"/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 t="shared" si="7"/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 t="shared" si="9"/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 t="shared" si="9"/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 t="shared" si="9"/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 t="shared" si="11"/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 t="shared" si="11"/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 t="shared" si="10"/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 t="shared" si="11"/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 t="shared" si="11"/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 t="shared" si="11"/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 t="shared" si="11"/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 t="shared" si="13"/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 t="shared" si="13"/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 t="shared" si="12"/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 t="shared" si="13"/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 t="shared" si="15"/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8215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 t="shared" si="15"/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 t="shared" si="15"/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10286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 t="shared" si="17"/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 t="shared" si="17"/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9282</v>
      </c>
      <c r="C539" s="21" t="s">
        <v>9283</v>
      </c>
      <c r="D539" s="21" t="s">
        <v>9284</v>
      </c>
      <c r="E539" s="21" t="s">
        <v>1946</v>
      </c>
      <c r="F539" s="21" t="s">
        <v>6540</v>
      </c>
      <c r="G539" s="21" t="s">
        <v>6469</v>
      </c>
      <c r="H539" s="21" t="str">
        <f t="shared" si="17"/>
        <v>SHOPIAN</v>
      </c>
      <c r="I539" s="21" t="s">
        <v>9293</v>
      </c>
      <c r="J539" s="22">
        <v>46095</v>
      </c>
      <c r="K539" s="21">
        <v>7006544713</v>
      </c>
      <c r="L539" s="21" t="s">
        <v>9241</v>
      </c>
      <c r="M539" s="23" t="s">
        <v>7662</v>
      </c>
      <c r="N539" s="22">
        <v>46108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 t="shared" si="17"/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10085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10158</v>
      </c>
      <c r="J607" s="22">
        <v>46112</v>
      </c>
      <c r="K607" s="21">
        <v>9871157589</v>
      </c>
      <c r="L607" s="21" t="s">
        <v>10163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9769</v>
      </c>
      <c r="C624" s="21" t="s">
        <v>9766</v>
      </c>
      <c r="D624" s="21" t="s">
        <v>9767</v>
      </c>
      <c r="E624" s="21" t="s">
        <v>9768</v>
      </c>
      <c r="F624" s="21" t="s">
        <v>5</v>
      </c>
      <c r="G624" s="21" t="s">
        <v>196</v>
      </c>
      <c r="H624" s="21" t="str">
        <f t="shared" si="19"/>
        <v>BHARAT</v>
      </c>
      <c r="I624" s="21" t="s">
        <v>9825</v>
      </c>
      <c r="J624" s="22">
        <v>46119</v>
      </c>
      <c r="K624" s="21">
        <v>9149899595</v>
      </c>
      <c r="L624" s="21" t="s">
        <v>6564</v>
      </c>
      <c r="M624" s="23" t="s">
        <v>10468</v>
      </c>
      <c r="N624" s="22">
        <v>46120</v>
      </c>
      <c r="O624" s="21" t="s">
        <v>23</v>
      </c>
      <c r="P624" s="24">
        <v>46119</v>
      </c>
      <c r="Q624" s="21" t="s">
        <v>6454</v>
      </c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10027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10069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10069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10883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9950</v>
      </c>
      <c r="C645" s="21" t="s">
        <v>9951</v>
      </c>
      <c r="D645" s="21" t="s">
        <v>9952</v>
      </c>
      <c r="E645" s="21" t="s">
        <v>9953</v>
      </c>
      <c r="F645" s="21" t="s">
        <v>116</v>
      </c>
      <c r="G645" s="21" t="s">
        <v>197</v>
      </c>
      <c r="H645" s="21" t="str">
        <f t="shared" si="21"/>
        <v>SHOPIAN</v>
      </c>
      <c r="I645" s="21" t="s">
        <v>9955</v>
      </c>
      <c r="J645" s="22">
        <v>46123</v>
      </c>
      <c r="K645" s="21">
        <v>9541124924</v>
      </c>
      <c r="L645" s="21" t="s">
        <v>6564</v>
      </c>
      <c r="M645" s="23" t="s">
        <v>8302</v>
      </c>
      <c r="N645" s="22">
        <v>46140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10147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10144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10106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10670</v>
      </c>
      <c r="J655" s="22">
        <v>46126</v>
      </c>
      <c r="K655" s="21">
        <v>8492067254</v>
      </c>
      <c r="L655" s="21" t="s">
        <v>480</v>
      </c>
      <c r="M655" s="23"/>
      <c r="N655" s="22"/>
      <c r="O655" s="21"/>
      <c r="P655" s="24"/>
      <c r="Q655" s="21"/>
      <c r="R655" s="21" t="s">
        <v>10022</v>
      </c>
    </row>
    <row r="656" spans="1:18" x14ac:dyDescent="0.25">
      <c r="A656" s="21">
        <f t="shared" si="20"/>
        <v>655</v>
      </c>
      <c r="B656" s="21" t="s">
        <v>10026</v>
      </c>
      <c r="C656" s="21" t="s">
        <v>10023</v>
      </c>
      <c r="D656" s="21" t="s">
        <v>10024</v>
      </c>
      <c r="E656" s="21" t="s">
        <v>10025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10032</v>
      </c>
      <c r="J656" s="22">
        <v>46127</v>
      </c>
      <c r="K656" s="21">
        <v>6005336023</v>
      </c>
      <c r="L656" s="21" t="s">
        <v>173</v>
      </c>
      <c r="M656" s="23" t="s">
        <v>10127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10028</v>
      </c>
      <c r="C657" s="21" t="s">
        <v>10029</v>
      </c>
      <c r="D657" s="21" t="s">
        <v>10031</v>
      </c>
      <c r="E657" s="21" t="s">
        <v>10030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10033</v>
      </c>
      <c r="J657" s="22">
        <v>46127</v>
      </c>
      <c r="K657" s="21">
        <v>7780912719</v>
      </c>
      <c r="L657" s="21" t="s">
        <v>191</v>
      </c>
      <c r="M657" s="23" t="s">
        <v>10070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10034</v>
      </c>
      <c r="C658" s="21" t="s">
        <v>10035</v>
      </c>
      <c r="D658" s="21" t="s">
        <v>10036</v>
      </c>
      <c r="E658" s="21" t="s">
        <v>10037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10042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10038</v>
      </c>
      <c r="C659" s="21" t="s">
        <v>10040</v>
      </c>
      <c r="D659" s="21" t="s">
        <v>10041</v>
      </c>
      <c r="E659" s="21" t="s">
        <v>10039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10043</v>
      </c>
      <c r="J659" s="22">
        <v>46127</v>
      </c>
      <c r="K659" s="21">
        <v>8660969096</v>
      </c>
      <c r="L659" s="21" t="s">
        <v>10044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10045</v>
      </c>
      <c r="C660" s="21" t="s">
        <v>10046</v>
      </c>
      <c r="D660" s="21" t="s">
        <v>10047</v>
      </c>
      <c r="E660" s="21" t="s">
        <v>10048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10049</v>
      </c>
      <c r="J660" s="22">
        <v>46127</v>
      </c>
      <c r="K660" s="21">
        <v>9906899687</v>
      </c>
      <c r="L660" s="21" t="s">
        <v>59</v>
      </c>
      <c r="M660" s="23" t="s">
        <v>10066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10063</v>
      </c>
      <c r="C661" s="21" t="s">
        <v>10060</v>
      </c>
      <c r="D661" s="21" t="s">
        <v>10061</v>
      </c>
      <c r="E661" s="21" t="s">
        <v>10062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10064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10054</v>
      </c>
      <c r="C662" s="21" t="s">
        <v>10055</v>
      </c>
      <c r="D662" s="21" t="s">
        <v>10056</v>
      </c>
      <c r="E662" s="21" t="s">
        <v>10057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10059</v>
      </c>
      <c r="J662" s="22">
        <v>46128</v>
      </c>
      <c r="K662" s="21">
        <v>9906077990</v>
      </c>
      <c r="L662" s="21" t="s">
        <v>10058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10071</v>
      </c>
      <c r="C663" s="21" t="s">
        <v>10076</v>
      </c>
      <c r="D663" s="21" t="s">
        <v>10077</v>
      </c>
      <c r="E663" s="21" t="s">
        <v>10078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10079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10072</v>
      </c>
      <c r="C664" s="21" t="s">
        <v>10073</v>
      </c>
      <c r="D664" s="21" t="s">
        <v>10074</v>
      </c>
      <c r="E664" s="21" t="s">
        <v>10075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10080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10081</v>
      </c>
      <c r="C665" s="21" t="s">
        <v>10082</v>
      </c>
      <c r="D665" s="21" t="s">
        <v>10083</v>
      </c>
      <c r="E665" s="21" t="s">
        <v>10084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10095</v>
      </c>
      <c r="J665" s="22">
        <v>46129</v>
      </c>
      <c r="K665" s="21">
        <v>9596342716</v>
      </c>
      <c r="L665" s="21" t="s">
        <v>547</v>
      </c>
      <c r="M665" s="23" t="s">
        <v>10236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10086</v>
      </c>
      <c r="C666" s="21" t="s">
        <v>10087</v>
      </c>
      <c r="D666" s="21" t="s">
        <v>10088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10089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10090</v>
      </c>
      <c r="C667" s="21" t="s">
        <v>10091</v>
      </c>
      <c r="D667" s="21" t="s">
        <v>10092</v>
      </c>
      <c r="E667" s="21" t="s">
        <v>10093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10096</v>
      </c>
      <c r="J667" s="22">
        <v>46129</v>
      </c>
      <c r="K667" s="21">
        <v>9796113131</v>
      </c>
      <c r="L667" s="21" t="s">
        <v>2143</v>
      </c>
      <c r="M667" s="23" t="s">
        <v>10099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10100</v>
      </c>
      <c r="C668" s="21" t="s">
        <v>10101</v>
      </c>
      <c r="D668" s="21" t="s">
        <v>10102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10103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10110</v>
      </c>
      <c r="C669" s="21" t="s">
        <v>10107</v>
      </c>
      <c r="D669" s="21" t="s">
        <v>10108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10123</v>
      </c>
      <c r="J669" s="22">
        <v>46132</v>
      </c>
      <c r="K669" s="21">
        <v>7006271292</v>
      </c>
      <c r="L669" s="21" t="s">
        <v>10109</v>
      </c>
      <c r="M669" s="23" t="s">
        <v>10146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10111</v>
      </c>
      <c r="C670" s="21" t="s">
        <v>10112</v>
      </c>
      <c r="D670" s="21" t="s">
        <v>10113</v>
      </c>
      <c r="E670" s="21" t="s">
        <v>10114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10124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10118</v>
      </c>
      <c r="C671" s="21" t="s">
        <v>10119</v>
      </c>
      <c r="D671" s="21" t="s">
        <v>10121</v>
      </c>
      <c r="E671" s="21" t="s">
        <v>10120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10126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10115</v>
      </c>
      <c r="C672" s="21" t="s">
        <v>10116</v>
      </c>
      <c r="D672" s="21" t="s">
        <v>10122</v>
      </c>
      <c r="E672" s="21" t="s">
        <v>10117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10125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10129</v>
      </c>
      <c r="C673" s="21" t="s">
        <v>10130</v>
      </c>
      <c r="D673" s="21" t="s">
        <v>10141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10131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10132</v>
      </c>
      <c r="C674" s="21" t="s">
        <v>10133</v>
      </c>
      <c r="D674" s="21" t="s">
        <v>10139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10134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10135</v>
      </c>
      <c r="C675" s="21" t="s">
        <v>10136</v>
      </c>
      <c r="D675" s="21" t="s">
        <v>10140</v>
      </c>
      <c r="E675" s="21" t="s">
        <v>10137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10138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10152</v>
      </c>
      <c r="C676" s="21" t="s">
        <v>10148</v>
      </c>
      <c r="D676" s="21" t="s">
        <v>10149</v>
      </c>
      <c r="E676" s="21" t="s">
        <v>10150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10151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10159</v>
      </c>
      <c r="C677" s="21" t="s">
        <v>10160</v>
      </c>
      <c r="D677" s="21" t="s">
        <v>10161</v>
      </c>
      <c r="E677" s="21" t="s">
        <v>10162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10170</v>
      </c>
      <c r="J677" s="22">
        <v>46134</v>
      </c>
      <c r="K677" s="21">
        <v>7889536449</v>
      </c>
      <c r="L677" s="21" t="s">
        <v>10163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10165</v>
      </c>
      <c r="C678" s="21" t="s">
        <v>10166</v>
      </c>
      <c r="D678" s="21" t="s">
        <v>10168</v>
      </c>
      <c r="E678" s="21" t="s">
        <v>10167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10169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10177</v>
      </c>
      <c r="C679" s="21" t="s">
        <v>10178</v>
      </c>
      <c r="D679" s="21" t="s">
        <v>10179</v>
      </c>
      <c r="E679" s="21" t="s">
        <v>10180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10191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10153</v>
      </c>
      <c r="C680" s="21" t="s">
        <v>10154</v>
      </c>
      <c r="D680" s="21" t="s">
        <v>10155</v>
      </c>
      <c r="E680" s="21" t="s">
        <v>10156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10157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10181</v>
      </c>
      <c r="C681" s="21" t="s">
        <v>10182</v>
      </c>
      <c r="D681" s="21" t="s">
        <v>10183</v>
      </c>
      <c r="E681" s="21" t="s">
        <v>10184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10189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10188</v>
      </c>
      <c r="C682" s="21" t="s">
        <v>10185</v>
      </c>
      <c r="D682" s="21" t="s">
        <v>10186</v>
      </c>
      <c r="E682" s="21" t="s">
        <v>10187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10190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10198</v>
      </c>
      <c r="C683" s="21" t="s">
        <v>10196</v>
      </c>
      <c r="D683" s="21" t="s">
        <v>10197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10207</v>
      </c>
      <c r="J683" s="22">
        <v>46136</v>
      </c>
      <c r="K683" s="21">
        <v>9697385697</v>
      </c>
      <c r="L683" s="21" t="s">
        <v>104</v>
      </c>
      <c r="M683" s="23" t="s">
        <v>10435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10199</v>
      </c>
      <c r="C684" s="21" t="s">
        <v>10200</v>
      </c>
      <c r="D684" s="21" t="s">
        <v>10201</v>
      </c>
      <c r="E684" s="21" t="s">
        <v>10202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10208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10203</v>
      </c>
      <c r="C685" s="21" t="s">
        <v>10204</v>
      </c>
      <c r="D685" s="21" t="s">
        <v>10205</v>
      </c>
      <c r="E685" s="21" t="s">
        <v>10206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10209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10210</v>
      </c>
      <c r="C686" s="21" t="s">
        <v>10211</v>
      </c>
      <c r="D686" s="21" t="s">
        <v>10212</v>
      </c>
      <c r="E686" s="21" t="s">
        <v>10213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10220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10217</v>
      </c>
      <c r="C687" s="21" t="s">
        <v>10218</v>
      </c>
      <c r="D687" s="21" t="s">
        <v>10232</v>
      </c>
      <c r="E687" s="21" t="s">
        <v>10219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10216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10221</v>
      </c>
      <c r="C688" s="21" t="s">
        <v>10222</v>
      </c>
      <c r="D688" s="21" t="s">
        <v>10235</v>
      </c>
      <c r="E688" s="21" t="s">
        <v>10223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10228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10224</v>
      </c>
      <c r="C689" s="21" t="s">
        <v>10225</v>
      </c>
      <c r="D689" s="21" t="s">
        <v>10234</v>
      </c>
      <c r="E689" s="21" t="s">
        <v>10226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10227</v>
      </c>
      <c r="J689" s="22">
        <v>46136</v>
      </c>
      <c r="K689" s="21">
        <v>7006510365</v>
      </c>
      <c r="L689" s="21" t="s">
        <v>10243</v>
      </c>
      <c r="M689" s="23" t="s">
        <v>10236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10230</v>
      </c>
      <c r="C690" s="21" t="s">
        <v>10231</v>
      </c>
      <c r="D690" s="21" t="s">
        <v>10233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10229</v>
      </c>
      <c r="J690" s="22">
        <v>46136</v>
      </c>
      <c r="K690" s="21">
        <v>9622500584</v>
      </c>
      <c r="L690" s="21" t="s">
        <v>2168</v>
      </c>
      <c r="M690" s="23" t="s">
        <v>10346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10244</v>
      </c>
      <c r="C691" s="21" t="s">
        <v>10245</v>
      </c>
      <c r="D691" s="21" t="s">
        <v>10246</v>
      </c>
      <c r="E691" s="21" t="s">
        <v>10247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10248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10250</v>
      </c>
      <c r="C692" s="21" t="s">
        <v>10251</v>
      </c>
      <c r="D692" s="21" t="s">
        <v>10253</v>
      </c>
      <c r="E692" s="21" t="s">
        <v>10252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10254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10255</v>
      </c>
      <c r="C693" s="21" t="s">
        <v>10256</v>
      </c>
      <c r="D693" s="21" t="s">
        <v>10257</v>
      </c>
      <c r="E693" s="21" t="s">
        <v>10258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10259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10260</v>
      </c>
      <c r="C694" s="21" t="s">
        <v>10262</v>
      </c>
      <c r="D694" s="21" t="s">
        <v>10263</v>
      </c>
      <c r="E694" s="21" t="s">
        <v>10261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10264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10267</v>
      </c>
      <c r="C695" s="21" t="s">
        <v>10268</v>
      </c>
      <c r="D695" s="21" t="s">
        <v>10269</v>
      </c>
      <c r="E695" s="21" t="s">
        <v>10270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10271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10275</v>
      </c>
      <c r="C696" s="21" t="s">
        <v>10272</v>
      </c>
      <c r="D696" s="21" t="s">
        <v>10273</v>
      </c>
      <c r="E696" s="21" t="s">
        <v>10274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10281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10276</v>
      </c>
      <c r="C697" s="21" t="s">
        <v>10278</v>
      </c>
      <c r="D697" s="21" t="s">
        <v>10279</v>
      </c>
      <c r="E697" s="21" t="s">
        <v>10277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10280</v>
      </c>
      <c r="J697" s="22">
        <v>46140</v>
      </c>
      <c r="K697" s="21">
        <v>7006974580</v>
      </c>
      <c r="L697" s="21" t="s">
        <v>68</v>
      </c>
      <c r="M697" s="23" t="s">
        <v>10470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10282</v>
      </c>
      <c r="C698" s="21" t="s">
        <v>10283</v>
      </c>
      <c r="D698" s="21" t="s">
        <v>10284</v>
      </c>
      <c r="E698" s="21" t="s">
        <v>2977</v>
      </c>
      <c r="F698" s="21" t="s">
        <v>277</v>
      </c>
      <c r="G698" s="21" t="s">
        <v>197</v>
      </c>
      <c r="H698" s="21" t="str">
        <f t="shared" si="21"/>
        <v>SHOPIAN</v>
      </c>
      <c r="I698" s="21" t="s">
        <v>10285</v>
      </c>
      <c r="J698" s="22">
        <v>46140</v>
      </c>
      <c r="K698" s="21">
        <v>9797183691</v>
      </c>
      <c r="L698" s="21" t="s">
        <v>9241</v>
      </c>
      <c r="M698" s="23" t="s">
        <v>10469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 t="shared" si="20"/>
        <v>698</v>
      </c>
      <c r="B699" s="21" t="s">
        <v>10287</v>
      </c>
      <c r="C699" s="21" t="s">
        <v>10288</v>
      </c>
      <c r="D699" s="21" t="s">
        <v>10289</v>
      </c>
      <c r="E699" s="21" t="s">
        <v>10290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10295</v>
      </c>
      <c r="J699" s="22">
        <v>46140</v>
      </c>
      <c r="K699" s="21">
        <v>9906169445</v>
      </c>
      <c r="L699" s="21" t="s">
        <v>10109</v>
      </c>
      <c r="M699" s="23" t="s">
        <v>10347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10296</v>
      </c>
      <c r="C700" s="21" t="s">
        <v>10297</v>
      </c>
      <c r="D700" s="21" t="s">
        <v>10298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10307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10299</v>
      </c>
      <c r="C701" s="21" t="s">
        <v>10300</v>
      </c>
      <c r="D701" s="21" t="s">
        <v>10301</v>
      </c>
      <c r="E701" s="21" t="s">
        <v>10302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10308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10303</v>
      </c>
      <c r="C702" s="21" t="s">
        <v>10304</v>
      </c>
      <c r="D702" s="21" t="s">
        <v>10305</v>
      </c>
      <c r="E702" s="21" t="s">
        <v>10306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10309</v>
      </c>
      <c r="J702" s="22">
        <v>46141</v>
      </c>
      <c r="K702" s="21">
        <v>9906916201</v>
      </c>
      <c r="L702" s="21" t="s">
        <v>10243</v>
      </c>
      <c r="M702" s="23" t="s">
        <v>10236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10315</v>
      </c>
      <c r="C703" s="21" t="s">
        <v>10316</v>
      </c>
      <c r="D703" s="21" t="s">
        <v>10317</v>
      </c>
      <c r="E703" s="21" t="s">
        <v>10318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10320</v>
      </c>
      <c r="J703" s="22">
        <v>46141</v>
      </c>
      <c r="K703" s="21">
        <v>7780813464</v>
      </c>
      <c r="L703" s="21" t="s">
        <v>6534</v>
      </c>
      <c r="M703" s="23" t="s">
        <v>10471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10322</v>
      </c>
      <c r="C704" s="21" t="s">
        <v>10323</v>
      </c>
      <c r="D704" s="21" t="s">
        <v>10325</v>
      </c>
      <c r="E704" s="21" t="s">
        <v>10324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10336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10326</v>
      </c>
      <c r="C705" s="21" t="s">
        <v>10327</v>
      </c>
      <c r="D705" s="21" t="s">
        <v>10328</v>
      </c>
      <c r="E705" s="21" t="s">
        <v>10329</v>
      </c>
      <c r="F705" s="21" t="s">
        <v>98</v>
      </c>
      <c r="G705" s="21" t="s">
        <v>197</v>
      </c>
      <c r="H705" s="21" t="str">
        <f t="shared" si="21"/>
        <v>PULWAMA</v>
      </c>
      <c r="I705" s="21" t="s">
        <v>10335</v>
      </c>
      <c r="J705" s="22">
        <v>46142</v>
      </c>
      <c r="K705" s="21">
        <v>7006832228</v>
      </c>
      <c r="L705" s="21" t="s">
        <v>6564</v>
      </c>
      <c r="M705" s="23" t="s">
        <v>8930</v>
      </c>
      <c r="N705" s="22">
        <v>46167</v>
      </c>
      <c r="O705" s="21" t="s">
        <v>23</v>
      </c>
      <c r="P705" s="24">
        <v>46167</v>
      </c>
      <c r="Q705" s="21" t="s">
        <v>6454</v>
      </c>
      <c r="R705" s="21"/>
    </row>
    <row r="706" spans="1:18" x14ac:dyDescent="0.25">
      <c r="A706" s="21">
        <f t="shared" ref="A706:A769" si="22">ROW()-1</f>
        <v>705</v>
      </c>
      <c r="B706" s="21" t="s">
        <v>10330</v>
      </c>
      <c r="C706" s="21" t="s">
        <v>10331</v>
      </c>
      <c r="D706" s="21" t="s">
        <v>10332</v>
      </c>
      <c r="E706" s="21" t="s">
        <v>10333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10334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10337</v>
      </c>
      <c r="C707" s="21" t="s">
        <v>10341</v>
      </c>
      <c r="D707" s="21" t="s">
        <v>10342</v>
      </c>
      <c r="E707" s="21" t="s">
        <v>10343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10344</v>
      </c>
      <c r="J707" s="22">
        <v>46142</v>
      </c>
      <c r="K707" s="21">
        <v>9906742075</v>
      </c>
      <c r="L707" s="21" t="s">
        <v>68</v>
      </c>
      <c r="M707" s="23" t="s">
        <v>10721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10340</v>
      </c>
      <c r="C708" s="21" t="s">
        <v>10338</v>
      </c>
      <c r="D708" s="21" t="s">
        <v>10339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10345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10348</v>
      </c>
      <c r="C709" s="21" t="s">
        <v>10349</v>
      </c>
      <c r="D709" s="21" t="s">
        <v>10358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10376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10350</v>
      </c>
      <c r="C710" s="21" t="s">
        <v>10351</v>
      </c>
      <c r="D710" s="21" t="s">
        <v>10357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10383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10352</v>
      </c>
      <c r="C711" s="21" t="s">
        <v>10353</v>
      </c>
      <c r="D711" s="21" t="s">
        <v>10360</v>
      </c>
      <c r="E711" s="21" t="s">
        <v>10354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10377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10355</v>
      </c>
      <c r="C712" s="21" t="s">
        <v>10356</v>
      </c>
      <c r="D712" s="21" t="s">
        <v>10359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10380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10361</v>
      </c>
      <c r="C713" s="21" t="s">
        <v>10362</v>
      </c>
      <c r="D713" s="21" t="s">
        <v>10363</v>
      </c>
      <c r="E713" s="21" t="s">
        <v>10364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10381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10733</v>
      </c>
    </row>
    <row r="714" spans="1:18" x14ac:dyDescent="0.25">
      <c r="A714" s="21">
        <f t="shared" si="22"/>
        <v>713</v>
      </c>
      <c r="B714" s="21" t="s">
        <v>10365</v>
      </c>
      <c r="C714" s="21" t="s">
        <v>10367</v>
      </c>
      <c r="D714" s="21" t="s">
        <v>10368</v>
      </c>
      <c r="E714" s="21" t="s">
        <v>10366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10378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10369</v>
      </c>
      <c r="C715" s="21" t="s">
        <v>10370</v>
      </c>
      <c r="D715" s="21" t="s">
        <v>10371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10379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10372</v>
      </c>
      <c r="C716" s="21" t="s">
        <v>10373</v>
      </c>
      <c r="D716" s="21" t="s">
        <v>10374</v>
      </c>
      <c r="E716" s="21" t="s">
        <v>10375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10382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10403</v>
      </c>
      <c r="C717" s="21" t="s">
        <v>10404</v>
      </c>
      <c r="D717" s="21" t="s">
        <v>10405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10410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10399</v>
      </c>
      <c r="C718" s="21" t="s">
        <v>10400</v>
      </c>
      <c r="D718" s="21" t="s">
        <v>10401</v>
      </c>
      <c r="E718" s="21" t="s">
        <v>10402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10411</v>
      </c>
      <c r="J718" s="22">
        <v>46144</v>
      </c>
      <c r="K718" s="21">
        <v>7006898249</v>
      </c>
      <c r="L718" s="21" t="s">
        <v>6515</v>
      </c>
      <c r="M718" s="23" t="s">
        <v>10773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10395</v>
      </c>
      <c r="C719" s="21" t="s">
        <v>10396</v>
      </c>
      <c r="D719" s="21" t="s">
        <v>10397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10398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10406</v>
      </c>
      <c r="C720" s="21" t="s">
        <v>10412</v>
      </c>
      <c r="D720" s="21" t="s">
        <v>10407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10408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10394</v>
      </c>
      <c r="C721" s="21" t="s">
        <v>10392</v>
      </c>
      <c r="D721" s="21" t="s">
        <v>10393</v>
      </c>
      <c r="E721" s="21" t="s">
        <v>10391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10409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10473</v>
      </c>
    </row>
    <row r="722" spans="1:18" x14ac:dyDescent="0.25">
      <c r="A722" s="21">
        <f t="shared" si="22"/>
        <v>721</v>
      </c>
      <c r="B722" s="21" t="s">
        <v>10420</v>
      </c>
      <c r="C722" s="21" t="s">
        <v>10417</v>
      </c>
      <c r="D722" s="21" t="s">
        <v>10418</v>
      </c>
      <c r="E722" s="21" t="s">
        <v>10419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10429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10425</v>
      </c>
      <c r="C723" s="21" t="s">
        <v>10426</v>
      </c>
      <c r="D723" s="21" t="s">
        <v>10427</v>
      </c>
      <c r="E723" s="21" t="s">
        <v>10428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10430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10421</v>
      </c>
      <c r="C724" s="21" t="s">
        <v>10422</v>
      </c>
      <c r="D724" s="21" t="s">
        <v>10423</v>
      </c>
      <c r="E724" s="21" t="s">
        <v>10424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10438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10431</v>
      </c>
      <c r="C725" s="21" t="s">
        <v>10432</v>
      </c>
      <c r="D725" s="21" t="s">
        <v>10433</v>
      </c>
      <c r="E725" s="21" t="s">
        <v>10434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10437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10445</v>
      </c>
      <c r="C726" s="21" t="s">
        <v>10446</v>
      </c>
      <c r="D726" s="21" t="s">
        <v>10447</v>
      </c>
      <c r="E726" s="21" t="s">
        <v>10448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10454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10449</v>
      </c>
      <c r="C727" s="21" t="s">
        <v>10450</v>
      </c>
      <c r="D727" s="21" t="s">
        <v>10451</v>
      </c>
      <c r="E727" s="21" t="s">
        <v>10452</v>
      </c>
      <c r="F727" s="21" t="s">
        <v>10453</v>
      </c>
      <c r="G727" s="21" t="s">
        <v>196</v>
      </c>
      <c r="H727" s="21" t="str">
        <f t="shared" si="23"/>
        <v>SRINAGAR</v>
      </c>
      <c r="I727" s="21" t="s">
        <v>10455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10456</v>
      </c>
      <c r="C728" s="21" t="s">
        <v>10457</v>
      </c>
      <c r="D728" s="21" t="s">
        <v>10458</v>
      </c>
      <c r="E728" s="21" t="s">
        <v>10459</v>
      </c>
      <c r="F728" s="21" t="s">
        <v>12</v>
      </c>
      <c r="G728" s="21" t="s">
        <v>171</v>
      </c>
      <c r="H728" s="21" t="str">
        <f t="shared" si="23"/>
        <v>SRINAGAR</v>
      </c>
      <c r="I728" s="21" t="s">
        <v>10465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10460</v>
      </c>
      <c r="C729" s="21" t="s">
        <v>10461</v>
      </c>
      <c r="D729" s="21" t="s">
        <v>10462</v>
      </c>
      <c r="E729" s="21" t="s">
        <v>10463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10464</v>
      </c>
      <c r="J729" s="22">
        <v>46147</v>
      </c>
      <c r="K729" s="21">
        <v>9622856758</v>
      </c>
      <c r="L729" s="21" t="s">
        <v>2143</v>
      </c>
      <c r="M729" s="23" t="s">
        <v>11186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10474</v>
      </c>
      <c r="C730" s="21" t="s">
        <v>10475</v>
      </c>
      <c r="D730" s="21" t="s">
        <v>10476</v>
      </c>
      <c r="E730" s="21" t="s">
        <v>10477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10488</v>
      </c>
      <c r="J730" s="22">
        <v>46148</v>
      </c>
      <c r="K730" s="21">
        <v>6006411258</v>
      </c>
      <c r="L730" s="21" t="s">
        <v>6515</v>
      </c>
      <c r="M730" s="23" t="s">
        <v>10773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10478</v>
      </c>
      <c r="C731" s="21" t="s">
        <v>10479</v>
      </c>
      <c r="D731" s="21" t="s">
        <v>10480</v>
      </c>
      <c r="E731" s="21" t="s">
        <v>10481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10490</v>
      </c>
      <c r="J731" s="22">
        <v>46148</v>
      </c>
      <c r="K731" s="21">
        <v>9541581455</v>
      </c>
      <c r="L731" s="21" t="s">
        <v>10486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10482</v>
      </c>
      <c r="C732" s="21" t="s">
        <v>10483</v>
      </c>
      <c r="D732" s="21" t="s">
        <v>10484</v>
      </c>
      <c r="E732" s="21" t="s">
        <v>10485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10487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10509</v>
      </c>
      <c r="C733" s="21" t="s">
        <v>10516</v>
      </c>
      <c r="D733" s="21" t="s">
        <v>10510</v>
      </c>
      <c r="E733" s="21" t="s">
        <v>10511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10522</v>
      </c>
      <c r="J733" s="22">
        <v>46149</v>
      </c>
      <c r="K733" s="21">
        <v>8493884319</v>
      </c>
      <c r="L733" s="21" t="s">
        <v>6515</v>
      </c>
      <c r="M733" s="23" t="s">
        <v>10773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10495</v>
      </c>
      <c r="C734" s="21" t="s">
        <v>10496</v>
      </c>
      <c r="D734" s="21" t="s">
        <v>10497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10498</v>
      </c>
      <c r="J734" s="22">
        <v>46149</v>
      </c>
      <c r="K734" s="21">
        <v>9682180757</v>
      </c>
      <c r="L734" s="21" t="s">
        <v>10163</v>
      </c>
      <c r="M734" s="23" t="s">
        <v>10508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10499</v>
      </c>
      <c r="C735" s="21" t="s">
        <v>10500</v>
      </c>
      <c r="D735" s="21" t="s">
        <v>10501</v>
      </c>
      <c r="E735" s="21" t="s">
        <v>10502</v>
      </c>
      <c r="F735" s="21" t="s">
        <v>12</v>
      </c>
      <c r="G735" s="21" t="s">
        <v>197</v>
      </c>
      <c r="H735" s="21" t="str">
        <f t="shared" si="23"/>
        <v>SHOPIAN</v>
      </c>
      <c r="I735" s="21" t="s">
        <v>10503</v>
      </c>
      <c r="J735" s="22">
        <v>46149</v>
      </c>
      <c r="K735" s="21">
        <v>7006112317</v>
      </c>
      <c r="L735" s="21" t="s">
        <v>6564</v>
      </c>
      <c r="M735" s="23" t="s">
        <v>8930</v>
      </c>
      <c r="N735" s="22">
        <v>46167</v>
      </c>
      <c r="O735" s="21" t="s">
        <v>23</v>
      </c>
      <c r="P735" s="24">
        <v>46167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10512</v>
      </c>
      <c r="C736" s="21" t="s">
        <v>10513</v>
      </c>
      <c r="D736" s="21" t="s">
        <v>10514</v>
      </c>
      <c r="E736" s="21" t="s">
        <v>10515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10523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10517</v>
      </c>
      <c r="C737" s="21" t="s">
        <v>10518</v>
      </c>
      <c r="D737" s="21" t="s">
        <v>10519</v>
      </c>
      <c r="E737" s="21" t="s">
        <v>10520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10521</v>
      </c>
      <c r="J737" s="22">
        <v>46149</v>
      </c>
      <c r="K737" s="21">
        <v>9682364085</v>
      </c>
      <c r="L737" s="21" t="s">
        <v>303</v>
      </c>
      <c r="M737" s="23" t="s">
        <v>10775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10542</v>
      </c>
      <c r="C738" s="21" t="s">
        <v>10540</v>
      </c>
      <c r="D738" s="21" t="s">
        <v>10541</v>
      </c>
      <c r="E738" s="21" t="s">
        <v>10529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10550</v>
      </c>
      <c r="J738" s="22">
        <v>46151</v>
      </c>
      <c r="K738" s="21">
        <v>6006411019</v>
      </c>
      <c r="L738" s="21" t="s">
        <v>6515</v>
      </c>
      <c r="M738" s="23" t="s">
        <v>10773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10536</v>
      </c>
      <c r="C739" s="21" t="s">
        <v>10534</v>
      </c>
      <c r="D739" s="21" t="s">
        <v>10535</v>
      </c>
      <c r="E739" s="21" t="s">
        <v>10531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10547</v>
      </c>
      <c r="J739" s="22">
        <v>46151</v>
      </c>
      <c r="K739" s="21">
        <v>6006091335</v>
      </c>
      <c r="L739" s="21" t="s">
        <v>6515</v>
      </c>
      <c r="M739" s="23" t="s">
        <v>10773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10524</v>
      </c>
      <c r="C740" s="21" t="s">
        <v>10525</v>
      </c>
      <c r="D740" s="21" t="s">
        <v>10526</v>
      </c>
      <c r="E740" s="21" t="s">
        <v>10527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10548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10539</v>
      </c>
      <c r="C741" s="21" t="s">
        <v>10537</v>
      </c>
      <c r="D741" s="21" t="s">
        <v>10538</v>
      </c>
      <c r="E741" s="21" t="s">
        <v>10530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10546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10545</v>
      </c>
      <c r="C742" s="21" t="s">
        <v>10543</v>
      </c>
      <c r="D742" s="21" t="s">
        <v>10544</v>
      </c>
      <c r="E742" s="21" t="s">
        <v>10528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10549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10554</v>
      </c>
      <c r="C743" s="21" t="s">
        <v>10553</v>
      </c>
      <c r="D743" s="21" t="s">
        <v>10555</v>
      </c>
      <c r="E743" s="21" t="s">
        <v>10552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10556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10574</v>
      </c>
      <c r="C744" s="21" t="s">
        <v>10575</v>
      </c>
      <c r="D744" s="21" t="s">
        <v>10576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10577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10563</v>
      </c>
      <c r="C745" s="21" t="s">
        <v>10560</v>
      </c>
      <c r="D745" s="21" t="s">
        <v>10561</v>
      </c>
      <c r="E745" s="21" t="s">
        <v>10562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10578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10564</v>
      </c>
      <c r="C746" s="21" t="s">
        <v>10565</v>
      </c>
      <c r="D746" s="21" t="s">
        <v>10566</v>
      </c>
      <c r="E746" s="21" t="s">
        <v>10567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10573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10568</v>
      </c>
      <c r="C747" s="21" t="s">
        <v>10569</v>
      </c>
      <c r="D747" s="21" t="s">
        <v>10570</v>
      </c>
      <c r="E747" s="21" t="s">
        <v>10571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10572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10579</v>
      </c>
      <c r="C748" s="21" t="s">
        <v>10580</v>
      </c>
      <c r="D748" s="21" t="s">
        <v>10581</v>
      </c>
      <c r="E748" s="21" t="s">
        <v>10582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10587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10586</v>
      </c>
      <c r="C749" s="21" t="s">
        <v>10583</v>
      </c>
      <c r="D749" s="21" t="s">
        <v>10584</v>
      </c>
      <c r="E749" s="21" t="s">
        <v>10585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10588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10592</v>
      </c>
      <c r="C750" s="21" t="s">
        <v>10589</v>
      </c>
      <c r="D750" s="21" t="s">
        <v>10590</v>
      </c>
      <c r="E750" s="21" t="s">
        <v>10591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10598</v>
      </c>
      <c r="J750" s="22">
        <v>46155</v>
      </c>
      <c r="K750" s="21">
        <v>6006602208</v>
      </c>
      <c r="L750" s="21" t="s">
        <v>1122</v>
      </c>
      <c r="M750" s="23" t="s">
        <v>10626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10593</v>
      </c>
      <c r="C751" s="21" t="s">
        <v>10594</v>
      </c>
      <c r="D751" s="21" t="s">
        <v>10595</v>
      </c>
      <c r="E751" s="21" t="s">
        <v>10596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10597</v>
      </c>
      <c r="J751" s="22">
        <v>46155</v>
      </c>
      <c r="K751" s="21">
        <v>8492878158</v>
      </c>
      <c r="L751" s="21" t="s">
        <v>26</v>
      </c>
      <c r="M751" s="23" t="s">
        <v>11119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10607</v>
      </c>
      <c r="C752" s="21" t="s">
        <v>10604</v>
      </c>
      <c r="D752" s="21" t="s">
        <v>10605</v>
      </c>
      <c r="E752" s="21" t="s">
        <v>10606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10614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10608</v>
      </c>
      <c r="C753" s="21" t="s">
        <v>10609</v>
      </c>
      <c r="D753" s="21" t="s">
        <v>10610</v>
      </c>
      <c r="E753" s="21" t="s">
        <v>10611</v>
      </c>
      <c r="F753" s="21" t="s">
        <v>5</v>
      </c>
      <c r="G753" s="21" t="s">
        <v>197</v>
      </c>
      <c r="H753" s="21" t="str">
        <f t="shared" si="23"/>
        <v>PULWAMA</v>
      </c>
      <c r="I753" s="21" t="s">
        <v>10613</v>
      </c>
      <c r="J753" s="22">
        <v>46156</v>
      </c>
      <c r="K753" s="21">
        <v>7780989757</v>
      </c>
      <c r="L753" s="21" t="s">
        <v>6564</v>
      </c>
      <c r="M753" s="23" t="s">
        <v>8930</v>
      </c>
      <c r="N753" s="22">
        <v>46167</v>
      </c>
      <c r="O753" s="21" t="s">
        <v>23</v>
      </c>
      <c r="P753" s="24">
        <v>46167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10615</v>
      </c>
      <c r="C754" s="21" t="s">
        <v>10616</v>
      </c>
      <c r="D754" s="21" t="s">
        <v>10617</v>
      </c>
      <c r="E754" s="21" t="s">
        <v>10618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10623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10619</v>
      </c>
      <c r="C755" s="21" t="s">
        <v>10620</v>
      </c>
      <c r="D755" s="21" t="s">
        <v>10621</v>
      </c>
      <c r="E755" s="21" t="s">
        <v>10622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10624</v>
      </c>
      <c r="J755" s="22">
        <v>46156</v>
      </c>
      <c r="K755" s="21">
        <v>9906441078</v>
      </c>
      <c r="L755" s="21" t="s">
        <v>10671</v>
      </c>
      <c r="M755" s="23" t="s">
        <v>10971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10494</v>
      </c>
      <c r="C756" s="21" t="s">
        <v>10491</v>
      </c>
      <c r="D756" s="21" t="s">
        <v>10492</v>
      </c>
      <c r="E756" s="21" t="s">
        <v>10493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10627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10629</v>
      </c>
      <c r="C757" s="21" t="s">
        <v>10630</v>
      </c>
      <c r="D757" s="21" t="s">
        <v>10631</v>
      </c>
      <c r="E757" s="21" t="s">
        <v>10632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10638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10633</v>
      </c>
      <c r="C758" s="21" t="s">
        <v>10635</v>
      </c>
      <c r="D758" s="21" t="s">
        <v>10636</v>
      </c>
      <c r="E758" s="21" t="s">
        <v>10637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10634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10657</v>
      </c>
      <c r="C759" s="21" t="s">
        <v>10640</v>
      </c>
      <c r="D759" s="21" t="s">
        <v>10641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10650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10639</v>
      </c>
      <c r="C760" s="21" t="s">
        <v>10642</v>
      </c>
      <c r="D760" s="21" t="s">
        <v>10643</v>
      </c>
      <c r="E760" s="21" t="s">
        <v>10644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10649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10648</v>
      </c>
      <c r="C761" s="21" t="s">
        <v>10645</v>
      </c>
      <c r="D761" s="21" t="s">
        <v>10646</v>
      </c>
      <c r="E761" s="21" t="s">
        <v>10647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10651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10656</v>
      </c>
      <c r="C762" s="21" t="s">
        <v>10654</v>
      </c>
      <c r="D762" s="21" t="s">
        <v>10655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10660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10661</v>
      </c>
      <c r="C763" s="21" t="s">
        <v>10662</v>
      </c>
      <c r="D763" s="21" t="s">
        <v>10663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10673</v>
      </c>
      <c r="J763" s="22">
        <v>46158</v>
      </c>
      <c r="K763" s="21">
        <v>9797711481</v>
      </c>
      <c r="L763" s="21" t="s">
        <v>6515</v>
      </c>
      <c r="M763" s="23" t="s">
        <v>10773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10664</v>
      </c>
      <c r="C764" s="21" t="s">
        <v>10665</v>
      </c>
      <c r="D764" s="21" t="s">
        <v>10666</v>
      </c>
      <c r="E764" s="21" t="s">
        <v>10667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10672</v>
      </c>
      <c r="J764" s="22">
        <v>46158</v>
      </c>
      <c r="K764" s="21">
        <v>9622787355</v>
      </c>
      <c r="L764" s="21" t="s">
        <v>9902</v>
      </c>
      <c r="M764" s="23" t="s">
        <v>10773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10684</v>
      </c>
      <c r="C765" s="21" t="s">
        <v>10685</v>
      </c>
      <c r="D765" s="21" t="s">
        <v>10686</v>
      </c>
      <c r="E765" s="21" t="s">
        <v>10687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10688</v>
      </c>
      <c r="J765" s="22">
        <v>46158</v>
      </c>
      <c r="K765" s="21">
        <v>7006975068</v>
      </c>
      <c r="L765" s="21" t="s">
        <v>26</v>
      </c>
      <c r="M765" s="23" t="s">
        <v>11069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10692</v>
      </c>
      <c r="C766" s="21" t="s">
        <v>10690</v>
      </c>
      <c r="D766" s="21" t="s">
        <v>10691</v>
      </c>
      <c r="E766" s="21" t="s">
        <v>10689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10693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10695</v>
      </c>
      <c r="C767" s="21" t="s">
        <v>10696</v>
      </c>
      <c r="D767" s="21" t="s">
        <v>10697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10698</v>
      </c>
      <c r="J767" s="22">
        <v>46160</v>
      </c>
      <c r="K767" s="21">
        <v>7889482504</v>
      </c>
      <c r="L767" s="21" t="s">
        <v>10243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10702</v>
      </c>
      <c r="C768" s="21" t="s">
        <v>10699</v>
      </c>
      <c r="D768" s="21" t="s">
        <v>10700</v>
      </c>
      <c r="E768" s="21" t="s">
        <v>10701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10703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10707</v>
      </c>
      <c r="C769" s="21" t="s">
        <v>10704</v>
      </c>
      <c r="D769" s="21" t="s">
        <v>10705</v>
      </c>
      <c r="E769" s="21" t="s">
        <v>10706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10710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8" si="24">ROW()-1</f>
        <v>769</v>
      </c>
      <c r="B770" s="21" t="s">
        <v>10682</v>
      </c>
      <c r="C770" s="21" t="s">
        <v>10679</v>
      </c>
      <c r="D770" s="21" t="s">
        <v>10680</v>
      </c>
      <c r="E770" s="21" t="s">
        <v>10681</v>
      </c>
      <c r="F770" s="21" t="s">
        <v>12</v>
      </c>
      <c r="G770" s="21" t="s">
        <v>178</v>
      </c>
      <c r="H770" s="21" t="str">
        <f t="shared" ref="H770:H788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10720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10736</v>
      </c>
      <c r="C771" s="21" t="s">
        <v>10726</v>
      </c>
      <c r="D771" s="21" t="s">
        <v>10727</v>
      </c>
      <c r="E771" s="21" t="s">
        <v>10734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10728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10737</v>
      </c>
      <c r="C772" s="21" t="s">
        <v>10730</v>
      </c>
      <c r="D772" s="21" t="s">
        <v>10731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10729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10722</v>
      </c>
      <c r="C773" s="21" t="s">
        <v>10723</v>
      </c>
      <c r="D773" s="21" t="s">
        <v>10725</v>
      </c>
      <c r="E773" s="21" t="s">
        <v>10724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10751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10762</v>
      </c>
      <c r="C774" s="21" t="s">
        <v>10763</v>
      </c>
      <c r="D774" s="21" t="s">
        <v>10764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10765</v>
      </c>
      <c r="J774" s="22">
        <v>46162</v>
      </c>
      <c r="K774" s="21">
        <v>9596210841</v>
      </c>
      <c r="L774" s="21" t="s">
        <v>6515</v>
      </c>
      <c r="M774" s="23" t="s">
        <v>10773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10738</v>
      </c>
      <c r="C775" s="21" t="s">
        <v>10740</v>
      </c>
      <c r="D775" s="21" t="s">
        <v>10741</v>
      </c>
      <c r="E775" s="21" t="s">
        <v>10739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10749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10742</v>
      </c>
      <c r="C776" s="21" t="s">
        <v>10743</v>
      </c>
      <c r="D776" s="21" t="s">
        <v>10744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10750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10748</v>
      </c>
      <c r="C777" s="21" t="s">
        <v>10745</v>
      </c>
      <c r="D777" s="21" t="s">
        <v>10746</v>
      </c>
      <c r="E777" s="21" t="s">
        <v>10747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10752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10754</v>
      </c>
      <c r="C778" s="21" t="s">
        <v>10755</v>
      </c>
      <c r="D778" s="21" t="s">
        <v>10757</v>
      </c>
      <c r="E778" s="21" t="s">
        <v>10756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10766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10855</v>
      </c>
      <c r="R778" s="21"/>
    </row>
    <row r="779" spans="1:18" x14ac:dyDescent="0.25">
      <c r="A779" s="21">
        <f t="shared" si="24"/>
        <v>778</v>
      </c>
      <c r="B779" s="21" t="s">
        <v>10758</v>
      </c>
      <c r="C779" s="21" t="s">
        <v>10759</v>
      </c>
      <c r="D779" s="21" t="s">
        <v>10760</v>
      </c>
      <c r="E779" s="21" t="s">
        <v>10761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10767</v>
      </c>
      <c r="J779" s="22">
        <v>46162</v>
      </c>
      <c r="K779" s="21">
        <v>7889983618</v>
      </c>
      <c r="L779" s="21" t="s">
        <v>303</v>
      </c>
      <c r="M779" s="23" t="s">
        <v>11067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10769</v>
      </c>
      <c r="C780" s="21" t="s">
        <v>10770</v>
      </c>
      <c r="D780" s="21" t="s">
        <v>10771</v>
      </c>
      <c r="E780" s="21" t="s">
        <v>10772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10774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10779</v>
      </c>
      <c r="C781" s="21" t="s">
        <v>10780</v>
      </c>
      <c r="D781" s="21" t="s">
        <v>10781</v>
      </c>
      <c r="E781" s="21" t="s">
        <v>10782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10783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10776</v>
      </c>
      <c r="C782" s="21" t="s">
        <v>10777</v>
      </c>
      <c r="D782" s="21" t="s">
        <v>10778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10800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10785</v>
      </c>
      <c r="C783" s="21" t="s">
        <v>10786</v>
      </c>
      <c r="D783" s="21" t="s">
        <v>10787</v>
      </c>
      <c r="E783" s="21" t="s">
        <v>10788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10801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10792</v>
      </c>
      <c r="C784" s="21" t="s">
        <v>10789</v>
      </c>
      <c r="D784" s="21" t="s">
        <v>10790</v>
      </c>
      <c r="E784" s="21" t="s">
        <v>10791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10802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10793</v>
      </c>
      <c r="C785" s="21" t="s">
        <v>10794</v>
      </c>
      <c r="D785" s="21" t="s">
        <v>10795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10804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10796</v>
      </c>
      <c r="C786" s="21" t="s">
        <v>10797</v>
      </c>
      <c r="D786" s="21" t="s">
        <v>10798</v>
      </c>
      <c r="E786" s="21" t="s">
        <v>10799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10803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10814</v>
      </c>
      <c r="C787" s="21" t="s">
        <v>10811</v>
      </c>
      <c r="D787" s="21" t="s">
        <v>10812</v>
      </c>
      <c r="E787" s="21" t="s">
        <v>10813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10832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10817</v>
      </c>
      <c r="C788" s="21" t="s">
        <v>10815</v>
      </c>
      <c r="D788" s="21" t="s">
        <v>10816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10831</v>
      </c>
      <c r="J788" s="22">
        <v>46164</v>
      </c>
      <c r="K788" s="21">
        <v>9906666238</v>
      </c>
      <c r="L788" s="21" t="s">
        <v>68</v>
      </c>
      <c r="M788" s="23" t="s">
        <v>10990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10826</v>
      </c>
      <c r="C789" s="21" t="s">
        <v>10827</v>
      </c>
      <c r="D789" s="21" t="s">
        <v>10828</v>
      </c>
      <c r="E789" s="21" t="s">
        <v>10829</v>
      </c>
      <c r="F789" s="21" t="s">
        <v>12</v>
      </c>
      <c r="G789" s="21" t="s">
        <v>178</v>
      </c>
      <c r="H789" s="21" t="str">
        <f>IF(LEFT(I789,4)="JK13","PULWAMA",IF(LEFT(I789,4)="JK01","SRINAGAR",IF(LEFT(I789,4)="JK04","BUDGAM",IF(LEFT(I789,4)="JK03","ANANTNAG",IF(LEFT(I789,4)="LA01","KARGIL",IF(LEFT(I789,4)="JK05","BARAMULLA",IF(LEFT(I789,4)="26BH","BHARAT",IF(LEFT(I789,4)="25BH","BHARAT",IF(LEFT(I789,4)="JK12","POONCH",IF(LEFT(I789,4)="JK16","GANDERBAL",IF(LEFT(I789,4)="JK18","KULGAM",IF(LEFT(I789,4)="JK22","SHOPIAN",IF(LEFT(I789,4)="JK02","JAMMU",IF(LEFT(I789,4)="JK09","KUPWARA",IF(LEFT(I789,4)="JK15","BANDIPORA",IF(LEFT(I789,4)="JK17","KISHTWAR",IF(LEFT(I789,4)="LA01","KARGIL",IF(LEFT(I789,1)="T","TEMP","NEW"))))))))))))))))))</f>
        <v>SRINAGAR</v>
      </c>
      <c r="I789" s="21" t="s">
        <v>10830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10822</v>
      </c>
      <c r="C790" s="21" t="s">
        <v>10823</v>
      </c>
      <c r="D790" s="21" t="s">
        <v>10824</v>
      </c>
      <c r="E790" s="21" t="s">
        <v>10825</v>
      </c>
      <c r="F790" s="21" t="s">
        <v>12</v>
      </c>
      <c r="G790" s="21" t="s">
        <v>178</v>
      </c>
      <c r="H790" s="21" t="str">
        <f>IF(LEFT(I790,4)="JK13","PULWAMA",IF(LEFT(I790,4)="JK01","SRINAGAR",IF(LEFT(I790,4)="JK04","BUDGAM",IF(LEFT(I790,4)="JK03","ANANTNAG",IF(LEFT(I790,4)="LA01","KARGIL",IF(LEFT(I790,4)="JK05","BARAMULLA",IF(LEFT(I790,4)="26BH","BHARAT",IF(LEFT(I790,4)="25BH","BHARAT",IF(LEFT(I790,4)="JK12","POONCH",IF(LEFT(I790,4)="JK16","GANDERBAL",IF(LEFT(I790,4)="JK18","KULGAM",IF(LEFT(I790,4)="JK22","SHOPIAN",IF(LEFT(I790,4)="JK02","JAMMU",IF(LEFT(I790,4)="JK09","KUPWARA",IF(LEFT(I790,4)="JK15","BANDIPORA",IF(LEFT(I790,4)="JK17","KISHTWAR",IF(LEFT(I790,4)="LA01","KARGIL",IF(LEFT(I790,1)="T","TEMP","NEW"))))))))))))))))))</f>
        <v>TEMP</v>
      </c>
      <c r="I790" s="21" t="s">
        <v>10833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10844</v>
      </c>
      <c r="C791" s="21" t="s">
        <v>10841</v>
      </c>
      <c r="D791" s="21" t="s">
        <v>10842</v>
      </c>
      <c r="E791" s="21" t="s">
        <v>10843</v>
      </c>
      <c r="F791" s="21" t="s">
        <v>12</v>
      </c>
      <c r="G791" s="21" t="s">
        <v>178</v>
      </c>
      <c r="H791" s="21" t="str">
        <f t="shared" ref="H791:H800" si="26">IF(LEFT(I791,4)="JK13","PULWAMA",IF(LEFT(I791,4)="JK01","SRINAGAR",IF(LEFT(I791,4)="JK04","BUDGAM",IF(LEFT(I791,4)="JK03","ANANTNAG",IF(LEFT(I791,4)="LA01","KARGIL",IF(LEFT(I791,4)="JK05","BARAMULLA",IF(LEFT(I791,4)="26BH","BHARAT",IF(LEFT(I791,4)="25BH","BHARAT",IF(LEFT(I791,4)="JK12","POONCH",IF(LEFT(I791,4)="JK16","GANDERBAL",IF(LEFT(I791,4)="JK18","KULGAM",IF(LEFT(I791,4)="JK22","SHOPIAN",IF(LEFT(I791,4)="JK02","JAMMU",IF(LEFT(I791,4)="JK09","KUPWARA",IF(LEFT(I791,4)="JK15","BANDIPORA",IF(LEFT(I791,4)="JK17","KISHTWAR",IF(LEFT(I791,4)="LA01","KARGIL",IF(LEFT(I791,1)="T","TEMP","NEW"))))))))))))))))))</f>
        <v>SRINAGAR</v>
      </c>
      <c r="I791" s="21" t="s">
        <v>10867</v>
      </c>
      <c r="J791" s="22">
        <v>46164</v>
      </c>
      <c r="K791" s="21">
        <v>9419766402</v>
      </c>
      <c r="L791" s="21" t="s">
        <v>10243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10845</v>
      </c>
      <c r="C792" s="21" t="s">
        <v>10846</v>
      </c>
      <c r="D792" s="21" t="s">
        <v>10847</v>
      </c>
      <c r="E792" s="21" t="s">
        <v>10848</v>
      </c>
      <c r="F792" s="21" t="s">
        <v>5</v>
      </c>
      <c r="G792" s="21" t="s">
        <v>196</v>
      </c>
      <c r="H792" s="21" t="str">
        <f t="shared" si="26"/>
        <v>KUPWARA</v>
      </c>
      <c r="I792" s="21" t="s">
        <v>10866</v>
      </c>
      <c r="J792" s="22">
        <v>46164</v>
      </c>
      <c r="K792" s="21">
        <v>9797964101</v>
      </c>
      <c r="L792" s="21" t="s">
        <v>7689</v>
      </c>
      <c r="M792" s="23" t="s">
        <v>11068</v>
      </c>
      <c r="N792" s="22">
        <v>46174</v>
      </c>
      <c r="O792" s="21"/>
      <c r="P792" s="24"/>
      <c r="Q792" s="21"/>
      <c r="R792" s="21"/>
    </row>
    <row r="793" spans="1:18" x14ac:dyDescent="0.25">
      <c r="A793" s="21">
        <f t="shared" si="24"/>
        <v>792</v>
      </c>
      <c r="B793" s="21" t="s">
        <v>10861</v>
      </c>
      <c r="C793" s="21" t="s">
        <v>10858</v>
      </c>
      <c r="D793" s="21" t="s">
        <v>10859</v>
      </c>
      <c r="E793" s="21" t="s">
        <v>10860</v>
      </c>
      <c r="F793" s="21" t="s">
        <v>5</v>
      </c>
      <c r="G793" s="21" t="s">
        <v>196</v>
      </c>
      <c r="H793" s="21" t="str">
        <f t="shared" si="26"/>
        <v>KULGAM</v>
      </c>
      <c r="I793" s="21" t="s">
        <v>10869</v>
      </c>
      <c r="J793" s="22">
        <v>46165</v>
      </c>
      <c r="K793" s="21">
        <v>6006180214</v>
      </c>
      <c r="L793" s="21" t="s">
        <v>434</v>
      </c>
      <c r="M793" s="23" t="s">
        <v>11086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10862</v>
      </c>
      <c r="C794" s="21" t="s">
        <v>10863</v>
      </c>
      <c r="D794" s="21" t="s">
        <v>10864</v>
      </c>
      <c r="E794" s="21" t="s">
        <v>10865</v>
      </c>
      <c r="F794" s="21" t="s">
        <v>65</v>
      </c>
      <c r="G794" s="21" t="s">
        <v>197</v>
      </c>
      <c r="H794" s="21" t="str">
        <f t="shared" si="26"/>
        <v>PULWAMA</v>
      </c>
      <c r="I794" s="21" t="s">
        <v>10868</v>
      </c>
      <c r="J794" s="22">
        <v>46165</v>
      </c>
      <c r="K794" s="21">
        <v>9622728446</v>
      </c>
      <c r="L794" s="21" t="s">
        <v>7228</v>
      </c>
      <c r="M794" s="23"/>
      <c r="N794" s="22"/>
      <c r="O794" s="21"/>
      <c r="P794" s="24"/>
      <c r="Q794" s="21"/>
      <c r="R794" s="21"/>
    </row>
    <row r="795" spans="1:18" x14ac:dyDescent="0.25">
      <c r="A795" s="21">
        <f t="shared" si="24"/>
        <v>794</v>
      </c>
      <c r="B795" s="21" t="s">
        <v>10871</v>
      </c>
      <c r="C795" s="21" t="s">
        <v>10872</v>
      </c>
      <c r="D795" s="21" t="s">
        <v>10873</v>
      </c>
      <c r="E795" s="21" t="s">
        <v>10874</v>
      </c>
      <c r="F795" s="21" t="s">
        <v>190</v>
      </c>
      <c r="G795" s="21" t="s">
        <v>196</v>
      </c>
      <c r="H795" s="21" t="str">
        <f t="shared" si="26"/>
        <v>SRINAGAR</v>
      </c>
      <c r="I795" s="21" t="s">
        <v>10875</v>
      </c>
      <c r="J795" s="22">
        <v>46165</v>
      </c>
      <c r="K795" s="21">
        <v>6005528953</v>
      </c>
      <c r="L795" s="21" t="s">
        <v>2143</v>
      </c>
      <c r="M795" s="23" t="s">
        <v>8531</v>
      </c>
      <c r="N795" s="22">
        <v>46167</v>
      </c>
      <c r="O795" s="21" t="s">
        <v>23</v>
      </c>
      <c r="P795" s="24">
        <v>46165</v>
      </c>
      <c r="Q795" s="21" t="s">
        <v>6454</v>
      </c>
      <c r="R795" s="21"/>
    </row>
    <row r="796" spans="1:18" x14ac:dyDescent="0.25">
      <c r="A796" s="21">
        <f t="shared" si="24"/>
        <v>795</v>
      </c>
      <c r="B796" s="21" t="s">
        <v>10882</v>
      </c>
      <c r="C796" s="21" t="s">
        <v>10880</v>
      </c>
      <c r="D796" s="21" t="s">
        <v>10881</v>
      </c>
      <c r="E796" s="21" t="s">
        <v>10879</v>
      </c>
      <c r="F796" s="21" t="s">
        <v>12</v>
      </c>
      <c r="G796" s="21" t="s">
        <v>178</v>
      </c>
      <c r="H796" s="21" t="str">
        <f t="shared" si="26"/>
        <v>NEW</v>
      </c>
      <c r="I796" s="21" t="s">
        <v>10884</v>
      </c>
      <c r="J796" s="22">
        <v>46165</v>
      </c>
      <c r="K796" s="21">
        <v>9622281979</v>
      </c>
      <c r="L796" s="21" t="s">
        <v>547</v>
      </c>
      <c r="M796" s="23" t="s">
        <v>7445</v>
      </c>
      <c r="N796" s="22">
        <v>46183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10901</v>
      </c>
      <c r="C797" s="21" t="s">
        <v>10897</v>
      </c>
      <c r="D797" s="21" t="s">
        <v>10912</v>
      </c>
      <c r="E797" s="21" t="s">
        <v>10899</v>
      </c>
      <c r="F797" s="21" t="s">
        <v>5</v>
      </c>
      <c r="G797" s="21" t="s">
        <v>196</v>
      </c>
      <c r="H797" s="21" t="str">
        <f t="shared" si="26"/>
        <v>ANANTNAG</v>
      </c>
      <c r="I797" s="21" t="s">
        <v>10903</v>
      </c>
      <c r="J797" s="22">
        <v>46167</v>
      </c>
      <c r="K797" s="21">
        <v>9906564039</v>
      </c>
      <c r="L797" s="21" t="s">
        <v>10930</v>
      </c>
      <c r="M797" s="23" t="s">
        <v>11120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10902</v>
      </c>
      <c r="C798" s="21" t="s">
        <v>10898</v>
      </c>
      <c r="D798" s="21" t="s">
        <v>10913</v>
      </c>
      <c r="E798" s="21" t="s">
        <v>10900</v>
      </c>
      <c r="F798" s="21" t="s">
        <v>36</v>
      </c>
      <c r="G798" s="21" t="s">
        <v>196</v>
      </c>
      <c r="H798" s="21" t="str">
        <f>IF(LEFT(I798,4)="JK13","PULWAMA",IF(LEFT(I798,4)="JK01","SRINAGAR",IF(LEFT(I798,4)="JK04","BUDGAM",IF(LEFT(I798,4)="JK03","ANANTNAG",IF(LEFT(I798,4)="LA01","KARGIL",IF(LEFT(I798,4)="JK05","BARAMULLA",IF(LEFT(I798,4)="26BH","BHARAT",IF(LEFT(I798,4)="25BH","BHARAT",IF(LEFT(I798,4)="JK12","POONCH",IF(LEFT(I798,4)="JK16","GANDERBAL",IF(LEFT(I798,4)="JK18","KULGAM",IF(LEFT(I798,4)="JK22","SHOPIAN",IF(LEFT(I798,4)="JK02","JAMMU",IF(LEFT(I798,4)="JK09","KUPWARA",IF(LEFT(I798,4)="JK15","BANDIPORA",IF(LEFT(I798,4)="JK17","KISHTWAR",IF(LEFT(I798,4)="LA01","KARGIL",IF(LEFT(I798,1)="T","TEMP","NEW"))))))))))))))))))</f>
        <v>SRINAGAR</v>
      </c>
      <c r="I798" s="21" t="s">
        <v>10904</v>
      </c>
      <c r="J798" s="22">
        <v>46167</v>
      </c>
      <c r="K798" s="21">
        <v>6005323353</v>
      </c>
      <c r="L798" s="21" t="s">
        <v>73</v>
      </c>
      <c r="M798" s="23" t="s">
        <v>11169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10905</v>
      </c>
      <c r="C799" s="21" t="s">
        <v>10906</v>
      </c>
      <c r="D799" s="21" t="s">
        <v>10907</v>
      </c>
      <c r="E799" s="21" t="s">
        <v>10908</v>
      </c>
      <c r="F799" s="21" t="s">
        <v>98</v>
      </c>
      <c r="G799" s="21" t="s">
        <v>171</v>
      </c>
      <c r="H799" s="21" t="str">
        <f>IF(LEFT(I799,4)="JK13","PULWAMA",IF(LEFT(I799,4)="JK01","SRINAGAR",IF(LEFT(I799,4)="JK04","BUDGAM",IF(LEFT(I799,4)="JK03","ANANTNAG",IF(LEFT(I799,4)="LA01","KARGIL",IF(LEFT(I799,4)="JK05","BARAMULLA",IF(LEFT(I799,4)="26BH","BHARAT",IF(LEFT(I799,4)="25BH","BHARAT",IF(LEFT(I799,4)="JK12","POONCH",IF(LEFT(I799,4)="JK16","GANDERBAL",IF(LEFT(I799,4)="JK18","KULGAM",IF(LEFT(I799,4)="JK22","SHOPIAN",IF(LEFT(I799,4)="JK02","JAMMU",IF(LEFT(I799,4)="JK09","KUPWARA",IF(LEFT(I799,4)="JK15","BANDIPORA",IF(LEFT(I799,4)="JK17","KISHTWAR",IF(LEFT(I799,4)="LA01","KARGIL",IF(LEFT(I799,1)="T","TEMP","NEW"))))))))))))))))))</f>
        <v>BARAMULLA</v>
      </c>
      <c r="I799" s="21" t="s">
        <v>10915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10893</v>
      </c>
      <c r="C800" s="21" t="s">
        <v>10885</v>
      </c>
      <c r="D800" s="21" t="s">
        <v>10910</v>
      </c>
      <c r="E800" s="21" t="s">
        <v>10889</v>
      </c>
      <c r="F800" s="21" t="s">
        <v>98</v>
      </c>
      <c r="G800" s="21" t="s">
        <v>223</v>
      </c>
      <c r="H800" s="21" t="str">
        <f t="shared" si="26"/>
        <v>BUDGAM</v>
      </c>
      <c r="I800" s="21" t="s">
        <v>10917</v>
      </c>
      <c r="J800" s="22">
        <v>46167</v>
      </c>
      <c r="K800" s="21">
        <v>7889479226</v>
      </c>
      <c r="L800" s="21" t="s">
        <v>26</v>
      </c>
      <c r="M800" s="23" t="s">
        <v>10997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10894</v>
      </c>
      <c r="C801" s="21" t="s">
        <v>10886</v>
      </c>
      <c r="D801" s="21" t="s">
        <v>10911</v>
      </c>
      <c r="E801" s="21" t="s">
        <v>10890</v>
      </c>
      <c r="F801" s="21" t="s">
        <v>5</v>
      </c>
      <c r="G801" s="21" t="s">
        <v>196</v>
      </c>
      <c r="H801" s="21" t="str">
        <f t="shared" ref="H801:H806" si="27">IF(LEFT(I801,4)="JK13","PULWAMA",IF(LEFT(I801,4)="JK01","SRINAGAR",IF(LEFT(I801,4)="JK04","BUDGAM",IF(LEFT(I801,4)="JK03","ANANTNAG",IF(LEFT(I801,4)="LA01","KARGIL",IF(LEFT(I801,4)="JK05","BARAMULLA",IF(LEFT(I801,4)="26BH","BHARAT",IF(LEFT(I801,4)="25BH","BHARAT",IF(LEFT(I801,4)="JK12","POONCH",IF(LEFT(I801,4)="JK16","GANDERBAL",IF(LEFT(I801,4)="JK18","KULGAM",IF(LEFT(I801,4)="JK22","SHOPIAN",IF(LEFT(I801,4)="JK02","JAMMU",IF(LEFT(I801,4)="JK09","KUPWARA",IF(LEFT(I801,4)="JK15","BANDIPORA",IF(LEFT(I801,4)="JK17","KISHTWAR",IF(LEFT(I801,4)="LA01","KARGIL",IF(LEFT(I801,1)="T","TEMP","NEW"))))))))))))))))))</f>
        <v>BUDGAM</v>
      </c>
      <c r="I801" s="21" t="s">
        <v>10916</v>
      </c>
      <c r="J801" s="22">
        <v>46167</v>
      </c>
      <c r="K801" s="21">
        <v>9055028530</v>
      </c>
      <c r="L801" s="21" t="s">
        <v>68</v>
      </c>
      <c r="M801" s="23" t="s">
        <v>11118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10895</v>
      </c>
      <c r="C802" s="21" t="s">
        <v>10887</v>
      </c>
      <c r="D802" s="21" t="s">
        <v>10909</v>
      </c>
      <c r="E802" s="21" t="s">
        <v>10891</v>
      </c>
      <c r="F802" s="21" t="s">
        <v>12</v>
      </c>
      <c r="G802" s="21" t="s">
        <v>178</v>
      </c>
      <c r="H802" s="21" t="str">
        <f t="shared" si="27"/>
        <v>SRINAGAR</v>
      </c>
      <c r="I802" s="21" t="s">
        <v>10919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10896</v>
      </c>
      <c r="C803" s="21" t="s">
        <v>10888</v>
      </c>
      <c r="D803" s="21" t="s">
        <v>10914</v>
      </c>
      <c r="E803" s="21" t="s">
        <v>10892</v>
      </c>
      <c r="F803" s="21" t="s">
        <v>5</v>
      </c>
      <c r="G803" s="21" t="s">
        <v>197</v>
      </c>
      <c r="H803" s="21" t="str">
        <f t="shared" si="27"/>
        <v>SRINAGAR</v>
      </c>
      <c r="I803" s="21" t="s">
        <v>10918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10926</v>
      </c>
      <c r="C804" s="21" t="s">
        <v>10927</v>
      </c>
      <c r="D804" s="21" t="s">
        <v>10928</v>
      </c>
      <c r="E804" s="21" t="s">
        <v>10929</v>
      </c>
      <c r="F804" s="21" t="s">
        <v>98</v>
      </c>
      <c r="G804" s="21" t="s">
        <v>178</v>
      </c>
      <c r="H804" s="21" t="str">
        <f t="shared" si="27"/>
        <v>SRINAGAR</v>
      </c>
      <c r="I804" s="21" t="s">
        <v>10935</v>
      </c>
      <c r="J804" s="22">
        <v>46167</v>
      </c>
      <c r="K804" s="21">
        <v>7051923420</v>
      </c>
      <c r="L804" s="21" t="s">
        <v>10243</v>
      </c>
      <c r="M804" s="23"/>
      <c r="N804" s="22"/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10932</v>
      </c>
      <c r="C805" s="21" t="s">
        <v>10851</v>
      </c>
      <c r="D805" s="21" t="s">
        <v>10933</v>
      </c>
      <c r="E805" s="21" t="s">
        <v>10849</v>
      </c>
      <c r="F805" s="21" t="s">
        <v>277</v>
      </c>
      <c r="G805" s="21" t="s">
        <v>197</v>
      </c>
      <c r="H805" s="21" t="str">
        <f t="shared" si="27"/>
        <v>SRINAGAR</v>
      </c>
      <c r="I805" s="21" t="s">
        <v>10934</v>
      </c>
      <c r="J805" s="22">
        <v>46167</v>
      </c>
      <c r="K805" s="21">
        <v>9796990530</v>
      </c>
      <c r="L805" s="21" t="s">
        <v>73</v>
      </c>
      <c r="M805" s="23" t="s">
        <v>10979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10936</v>
      </c>
      <c r="C806" s="21" t="s">
        <v>10937</v>
      </c>
      <c r="D806" s="21" t="s">
        <v>10938</v>
      </c>
      <c r="E806" s="21" t="s">
        <v>10939</v>
      </c>
      <c r="F806" s="21" t="s">
        <v>36</v>
      </c>
      <c r="G806" s="21" t="s">
        <v>196</v>
      </c>
      <c r="H806" s="21" t="str">
        <f t="shared" si="27"/>
        <v>GANDERBAL</v>
      </c>
      <c r="I806" s="21" t="s">
        <v>10945</v>
      </c>
      <c r="J806" s="22">
        <v>46168</v>
      </c>
      <c r="K806" s="21">
        <v>7006256901</v>
      </c>
      <c r="L806" s="21" t="s">
        <v>10243</v>
      </c>
      <c r="M806" s="23" t="s">
        <v>11170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10940</v>
      </c>
      <c r="C807" s="21" t="s">
        <v>10941</v>
      </c>
      <c r="D807" s="21" t="s">
        <v>10942</v>
      </c>
      <c r="E807" s="21" t="s">
        <v>10943</v>
      </c>
      <c r="F807" s="21" t="s">
        <v>12</v>
      </c>
      <c r="G807" s="21" t="s">
        <v>171</v>
      </c>
      <c r="H807" s="21" t="str">
        <f t="shared" ref="H807:H819" si="28">IF(LEFT(I807,4)="JK13","PULWAMA",IF(LEFT(I807,4)="JK01","SRINAGAR",IF(LEFT(I807,4)="JK04","BUDGAM",IF(LEFT(I807,4)="JK03","ANANTNAG",IF(LEFT(I807,4)="LA01","KARGIL",IF(LEFT(I807,4)="JK05","BARAMULLA",IF(LEFT(I807,4)="26BH","BHARAT",IF(LEFT(I807,4)="25BH","BHARAT",IF(LEFT(I807,4)="JK12","POONCH",IF(LEFT(I807,4)="JK16","GANDERBAL",IF(LEFT(I807,4)="JK18","KULGAM",IF(LEFT(I807,4)="JK22","SHOPIAN",IF(LEFT(I807,4)="JK02","JAMMU",IF(LEFT(I807,4)="JK09","KUPWARA",IF(LEFT(I807,4)="JK15","BANDIPORA",IF(LEFT(I807,4)="JK17","KISHTWAR",IF(LEFT(I807,4)="LA01","KARGIL",IF(LEFT(I807,1)="T","TEMP","NEW"))))))))))))))))))</f>
        <v>SHOPIAN</v>
      </c>
      <c r="I807" s="21" t="s">
        <v>10944</v>
      </c>
      <c r="J807" s="22">
        <v>46168</v>
      </c>
      <c r="K807" s="21">
        <v>9149409685</v>
      </c>
      <c r="L807" s="21" t="s">
        <v>9902</v>
      </c>
      <c r="M807" s="23"/>
      <c r="N807" s="22"/>
      <c r="O807" s="21"/>
      <c r="P807" s="24"/>
      <c r="Q807" s="21"/>
      <c r="R807" s="21"/>
    </row>
    <row r="808" spans="1:18" x14ac:dyDescent="0.25">
      <c r="A808" s="21">
        <f t="shared" si="24"/>
        <v>807</v>
      </c>
      <c r="B808" s="21" t="s">
        <v>10951</v>
      </c>
      <c r="C808" s="21" t="s">
        <v>10952</v>
      </c>
      <c r="D808" s="21" t="s">
        <v>10953</v>
      </c>
      <c r="E808" s="21" t="s">
        <v>10954</v>
      </c>
      <c r="F808" s="21" t="s">
        <v>12</v>
      </c>
      <c r="G808" s="21" t="s">
        <v>178</v>
      </c>
      <c r="H808" s="21" t="str">
        <f t="shared" si="28"/>
        <v>SRINAGAR</v>
      </c>
      <c r="I808" s="21" t="s">
        <v>10969</v>
      </c>
      <c r="J808" s="22">
        <v>46168</v>
      </c>
      <c r="K808" s="21">
        <v>8825062872</v>
      </c>
      <c r="L808" s="21" t="s">
        <v>10163</v>
      </c>
      <c r="M808" s="23" t="s">
        <v>7765</v>
      </c>
      <c r="N808" s="22">
        <v>46172</v>
      </c>
      <c r="O808" s="21" t="s">
        <v>23</v>
      </c>
      <c r="P808" s="24">
        <v>46172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10955</v>
      </c>
      <c r="C809" s="21" t="s">
        <v>10956</v>
      </c>
      <c r="D809" s="21" t="s">
        <v>10957</v>
      </c>
      <c r="E809" s="21" t="s">
        <v>10958</v>
      </c>
      <c r="F809" s="21" t="s">
        <v>12</v>
      </c>
      <c r="G809" s="21" t="s">
        <v>197</v>
      </c>
      <c r="H809" s="21" t="str">
        <f t="shared" si="28"/>
        <v>SHOPIAN</v>
      </c>
      <c r="I809" s="21" t="s">
        <v>10970</v>
      </c>
      <c r="J809" s="22">
        <v>46168</v>
      </c>
      <c r="K809" s="21">
        <v>7006762518</v>
      </c>
      <c r="L809" s="21" t="s">
        <v>7228</v>
      </c>
      <c r="M809" s="23"/>
      <c r="N809" s="22"/>
      <c r="O809" s="21"/>
      <c r="P809" s="24"/>
      <c r="Q809" s="21"/>
      <c r="R809" s="21"/>
    </row>
    <row r="810" spans="1:18" x14ac:dyDescent="0.25">
      <c r="A810" s="21">
        <f t="shared" si="24"/>
        <v>809</v>
      </c>
      <c r="B810" s="21" t="s">
        <v>10959</v>
      </c>
      <c r="C810" s="21" t="s">
        <v>10966</v>
      </c>
      <c r="D810" s="21" t="s">
        <v>10960</v>
      </c>
      <c r="E810" s="21" t="s">
        <v>10961</v>
      </c>
      <c r="F810" s="21" t="s">
        <v>12</v>
      </c>
      <c r="G810" s="21" t="s">
        <v>197</v>
      </c>
      <c r="H810" s="21" t="str">
        <f t="shared" si="28"/>
        <v>BUDGAM</v>
      </c>
      <c r="I810" s="21" t="s">
        <v>10967</v>
      </c>
      <c r="J810" s="22">
        <v>46168</v>
      </c>
      <c r="K810" s="21">
        <v>7889540230</v>
      </c>
      <c r="L810" s="21" t="s">
        <v>10243</v>
      </c>
      <c r="M810" s="23" t="s">
        <v>11170</v>
      </c>
      <c r="N810" s="22">
        <v>46183</v>
      </c>
      <c r="O810" s="21" t="s">
        <v>23</v>
      </c>
      <c r="P810" s="24">
        <v>46168</v>
      </c>
      <c r="Q810" s="21" t="s">
        <v>6454</v>
      </c>
      <c r="R810" s="21"/>
    </row>
    <row r="811" spans="1:18" x14ac:dyDescent="0.25">
      <c r="A811" s="21">
        <f t="shared" si="24"/>
        <v>810</v>
      </c>
      <c r="B811" s="21" t="s">
        <v>10962</v>
      </c>
      <c r="C811" s="21" t="s">
        <v>10963</v>
      </c>
      <c r="D811" s="21" t="s">
        <v>10964</v>
      </c>
      <c r="E811" s="21" t="s">
        <v>10965</v>
      </c>
      <c r="F811" s="21" t="s">
        <v>5</v>
      </c>
      <c r="G811" s="21" t="s">
        <v>197</v>
      </c>
      <c r="H811" s="21" t="str">
        <f t="shared" si="28"/>
        <v>KUPWARA</v>
      </c>
      <c r="I811" s="21" t="s">
        <v>10968</v>
      </c>
      <c r="J811" s="22">
        <v>46168</v>
      </c>
      <c r="K811" s="21">
        <v>9682167032</v>
      </c>
      <c r="L811" s="21" t="s">
        <v>191</v>
      </c>
      <c r="M811" s="23" t="s">
        <v>7585</v>
      </c>
      <c r="N811" s="22">
        <v>46168</v>
      </c>
      <c r="O811" s="21" t="s">
        <v>23</v>
      </c>
      <c r="P811" s="24">
        <v>46168</v>
      </c>
      <c r="Q811" s="21" t="s">
        <v>6454</v>
      </c>
      <c r="R811" s="21"/>
    </row>
    <row r="812" spans="1:18" x14ac:dyDescent="0.25">
      <c r="A812" s="21">
        <f t="shared" si="24"/>
        <v>811</v>
      </c>
      <c r="B812" s="21" t="s">
        <v>10972</v>
      </c>
      <c r="C812" s="21" t="s">
        <v>10973</v>
      </c>
      <c r="D812" s="21" t="s">
        <v>10974</v>
      </c>
      <c r="E812" s="21" t="s">
        <v>10975</v>
      </c>
      <c r="F812" s="21" t="s">
        <v>12</v>
      </c>
      <c r="G812" s="21" t="s">
        <v>178</v>
      </c>
      <c r="H812" s="21" t="str">
        <f t="shared" si="28"/>
        <v>PULWAMA</v>
      </c>
      <c r="I812" s="21" t="s">
        <v>10980</v>
      </c>
      <c r="J812" s="22">
        <v>46168</v>
      </c>
      <c r="K812" s="21">
        <v>7889400213</v>
      </c>
      <c r="L812" s="21" t="s">
        <v>6515</v>
      </c>
      <c r="M812" s="23"/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10821</v>
      </c>
      <c r="C813" s="21" t="s">
        <v>10818</v>
      </c>
      <c r="D813" s="21" t="s">
        <v>10819</v>
      </c>
      <c r="E813" s="21" t="s">
        <v>10820</v>
      </c>
      <c r="F813" s="21" t="s">
        <v>12</v>
      </c>
      <c r="G813" s="21" t="s">
        <v>197</v>
      </c>
      <c r="H813" s="21" t="str">
        <f>IF(LEFT(I813,4)="JK13","PULWAMA",IF(LEFT(I813,4)="JK01","SRINAGAR",IF(LEFT(I813,4)="JK04","BUDGAM",IF(LEFT(I813,4)="JK03","ANANTNAG",IF(LEFT(I813,4)="LA01","KARGIL",IF(LEFT(I813,4)="JK05","BARAMULLA",IF(LEFT(I813,4)="26BH","BHARAT",IF(LEFT(I813,4)="25BH","BHARAT",IF(LEFT(I813,4)="JK12","POONCH",IF(LEFT(I813,4)="JK16","GANDERBAL",IF(LEFT(I813,4)="JK18","KULGAM",IF(LEFT(I813,4)="JK22","SHOPIAN",IF(LEFT(I813,4)="JK02","JAMMU",IF(LEFT(I813,4)="JK09","KUPWARA",IF(LEFT(I813,4)="JK15","BANDIPORA",IF(LEFT(I813,4)="JK17","KISHTWAR",IF(LEFT(I813,4)="LA01","KARGIL",IF(LEFT(I813,1)="T","TEMP","NEW"))))))))))))))))))</f>
        <v>BARAMULLA</v>
      </c>
      <c r="I813" s="21" t="s">
        <v>10981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10985</v>
      </c>
      <c r="C814" s="21" t="s">
        <v>10982</v>
      </c>
      <c r="D814" s="21" t="s">
        <v>10983</v>
      </c>
      <c r="E814" s="21" t="s">
        <v>10984</v>
      </c>
      <c r="F814" s="21" t="s">
        <v>3126</v>
      </c>
      <c r="G814" s="21" t="s">
        <v>6469</v>
      </c>
      <c r="H814" s="21" t="str">
        <f t="shared" si="28"/>
        <v>SHOPIAN</v>
      </c>
      <c r="I814" s="21" t="s">
        <v>10992</v>
      </c>
      <c r="J814" s="22">
        <v>46172</v>
      </c>
      <c r="K814" s="21">
        <v>9858414762</v>
      </c>
      <c r="L814" s="21" t="s">
        <v>7689</v>
      </c>
      <c r="M814" s="23" t="s">
        <v>8930</v>
      </c>
      <c r="N814" s="22">
        <v>46179</v>
      </c>
      <c r="O814" s="21" t="s">
        <v>23</v>
      </c>
      <c r="P814" s="24">
        <v>46174</v>
      </c>
      <c r="Q814" s="21" t="s">
        <v>6454</v>
      </c>
      <c r="R814" s="21"/>
    </row>
    <row r="815" spans="1:18" x14ac:dyDescent="0.25">
      <c r="A815" s="21">
        <f t="shared" si="24"/>
        <v>814</v>
      </c>
      <c r="B815" s="21" t="s">
        <v>10987</v>
      </c>
      <c r="C815" s="21" t="s">
        <v>10986</v>
      </c>
      <c r="D815" s="21" t="s">
        <v>10988</v>
      </c>
      <c r="E815" s="21" t="s">
        <v>10989</v>
      </c>
      <c r="F815" s="21" t="s">
        <v>116</v>
      </c>
      <c r="G815" s="21" t="s">
        <v>197</v>
      </c>
      <c r="H815" s="21" t="str">
        <f t="shared" si="28"/>
        <v>SRINAGAR</v>
      </c>
      <c r="I815" s="21" t="s">
        <v>10991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10993</v>
      </c>
      <c r="C816" s="21" t="s">
        <v>10994</v>
      </c>
      <c r="D816" s="21" t="s">
        <v>10995</v>
      </c>
      <c r="E816" s="21" t="s">
        <v>10996</v>
      </c>
      <c r="F816" s="21" t="s">
        <v>5</v>
      </c>
      <c r="G816" s="21" t="s">
        <v>197</v>
      </c>
      <c r="H816" s="21" t="str">
        <f t="shared" si="28"/>
        <v>BANDIPORA</v>
      </c>
      <c r="I816" s="21" t="s">
        <v>11012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11001</v>
      </c>
      <c r="C817" s="21" t="s">
        <v>10998</v>
      </c>
      <c r="D817" s="21" t="s">
        <v>10999</v>
      </c>
      <c r="E817" s="21" t="s">
        <v>11000</v>
      </c>
      <c r="F817" s="21" t="s">
        <v>12</v>
      </c>
      <c r="G817" s="21" t="s">
        <v>197</v>
      </c>
      <c r="H817" s="21" t="str">
        <f t="shared" si="28"/>
        <v>BARAMULLA</v>
      </c>
      <c r="I817" s="21" t="s">
        <v>11013</v>
      </c>
      <c r="J817" s="22">
        <v>46172</v>
      </c>
      <c r="K817" s="21">
        <v>9682555158</v>
      </c>
      <c r="L817" s="21" t="s">
        <v>1122</v>
      </c>
      <c r="M817" s="23" t="s">
        <v>6436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11005</v>
      </c>
      <c r="C818" s="21" t="s">
        <v>11002</v>
      </c>
      <c r="D818" s="21" t="s">
        <v>11003</v>
      </c>
      <c r="E818" s="21" t="s">
        <v>11004</v>
      </c>
      <c r="F818" s="21" t="s">
        <v>12</v>
      </c>
      <c r="G818" s="21" t="s">
        <v>197</v>
      </c>
      <c r="H818" s="21" t="str">
        <f t="shared" si="28"/>
        <v>SRINAGAR</v>
      </c>
      <c r="I818" s="21" t="s">
        <v>11011</v>
      </c>
      <c r="J818" s="22">
        <v>46172</v>
      </c>
      <c r="K818" s="21">
        <v>9596263355</v>
      </c>
      <c r="L818" s="21" t="s">
        <v>10243</v>
      </c>
      <c r="M818" s="23" t="s">
        <v>11083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11010</v>
      </c>
      <c r="C819" s="21" t="s">
        <v>11007</v>
      </c>
      <c r="D819" s="21" t="s">
        <v>11008</v>
      </c>
      <c r="E819" s="21" t="s">
        <v>11006</v>
      </c>
      <c r="F819" s="21" t="s">
        <v>12</v>
      </c>
      <c r="G819" s="21" t="s">
        <v>197</v>
      </c>
      <c r="H819" s="21" t="str">
        <f t="shared" si="28"/>
        <v>SRINAGAR</v>
      </c>
      <c r="I819" s="21" t="s">
        <v>11014</v>
      </c>
      <c r="J819" s="22">
        <v>46172</v>
      </c>
      <c r="K819" s="21">
        <v>7889461451</v>
      </c>
      <c r="L819" s="21" t="s">
        <v>11009</v>
      </c>
      <c r="M819" s="23" t="s">
        <v>11122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11018</v>
      </c>
      <c r="C820" s="21" t="s">
        <v>11015</v>
      </c>
      <c r="D820" s="21" t="s">
        <v>11016</v>
      </c>
      <c r="E820" s="21" t="s">
        <v>2634</v>
      </c>
      <c r="F820" s="21" t="s">
        <v>5</v>
      </c>
      <c r="G820" s="21" t="s">
        <v>197</v>
      </c>
      <c r="H820" s="21" t="str">
        <f t="shared" ref="H820:H824" si="29">IF(LEFT(I820,4)="JK13","PULWAMA",IF(LEFT(I820,4)="JK01","SRINAGAR",IF(LEFT(I820,4)="JK04","BUDGAM",IF(LEFT(I820,4)="JK03","ANANTNAG",IF(LEFT(I820,4)="LA01","KARGIL",IF(LEFT(I820,4)="JK05","BARAMULLA",IF(LEFT(I820,4)="26BH","BHARAT",IF(LEFT(I820,4)="25BH","BHARAT",IF(LEFT(I820,4)="JK12","POONCH",IF(LEFT(I820,4)="JK16","GANDERBAL",IF(LEFT(I820,4)="JK18","KULGAM",IF(LEFT(I820,4)="JK22","SHOPIAN",IF(LEFT(I820,4)="JK02","JAMMU",IF(LEFT(I820,4)="JK09","KUPWARA",IF(LEFT(I820,4)="JK15","BANDIPORA",IF(LEFT(I820,4)="JK17","KISHTWAR",IF(LEFT(I820,4)="LA01","KARGIL",IF(LEFT(I820,1)="T","TEMP","NEW"))))))))))))))))))</f>
        <v>BANDIPORA</v>
      </c>
      <c r="I820" s="21" t="s">
        <v>11029</v>
      </c>
      <c r="J820" s="22">
        <v>46172</v>
      </c>
      <c r="K820" s="21">
        <v>7298499896</v>
      </c>
      <c r="L820" s="21" t="s">
        <v>11017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11019</v>
      </c>
      <c r="C821" s="21" t="s">
        <v>11020</v>
      </c>
      <c r="D821" s="21" t="s">
        <v>11021</v>
      </c>
      <c r="E821" s="21" t="s">
        <v>11022</v>
      </c>
      <c r="F821" s="21" t="s">
        <v>3126</v>
      </c>
      <c r="G821" s="21" t="s">
        <v>197</v>
      </c>
      <c r="H821" s="21" t="str">
        <f t="shared" si="29"/>
        <v>PULWAMA</v>
      </c>
      <c r="I821" s="21" t="s">
        <v>11028</v>
      </c>
      <c r="J821" s="22">
        <v>46172</v>
      </c>
      <c r="K821" s="21">
        <v>7889312502</v>
      </c>
      <c r="L821" s="21" t="s">
        <v>9241</v>
      </c>
      <c r="M821" s="23" t="s">
        <v>11255</v>
      </c>
      <c r="N821" s="22">
        <v>46185</v>
      </c>
      <c r="O821" s="21" t="s">
        <v>23</v>
      </c>
      <c r="P821" s="24">
        <v>46174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11023</v>
      </c>
      <c r="C822" s="21" t="s">
        <v>11024</v>
      </c>
      <c r="D822" s="21" t="s">
        <v>11025</v>
      </c>
      <c r="E822" s="21" t="s">
        <v>11026</v>
      </c>
      <c r="F822" s="21" t="s">
        <v>12</v>
      </c>
      <c r="G822" s="21" t="s">
        <v>197</v>
      </c>
      <c r="H822" s="21" t="str">
        <f t="shared" si="29"/>
        <v>KULGAM</v>
      </c>
      <c r="I822" s="21" t="s">
        <v>11027</v>
      </c>
      <c r="J822" s="22">
        <v>46172</v>
      </c>
      <c r="K822" s="21">
        <v>8825051434</v>
      </c>
      <c r="L822" s="21" t="s">
        <v>11078</v>
      </c>
      <c r="M822" s="23" t="s">
        <v>11168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11030</v>
      </c>
      <c r="C823" s="21" t="s">
        <v>11031</v>
      </c>
      <c r="D823" s="21" t="s">
        <v>11032</v>
      </c>
      <c r="E823" s="21" t="s">
        <v>11033</v>
      </c>
      <c r="F823" s="21" t="s">
        <v>12</v>
      </c>
      <c r="G823" s="21" t="s">
        <v>197</v>
      </c>
      <c r="H823" s="21" t="str">
        <f t="shared" si="29"/>
        <v>BARAMULLA</v>
      </c>
      <c r="I823" s="21" t="s">
        <v>11035</v>
      </c>
      <c r="J823" s="22">
        <v>46172</v>
      </c>
      <c r="K823" s="21">
        <v>9906912046</v>
      </c>
      <c r="L823" s="21" t="s">
        <v>7240</v>
      </c>
      <c r="M823" s="23"/>
      <c r="N823" s="22"/>
      <c r="O823" s="21"/>
      <c r="P823" s="24"/>
      <c r="Q823" s="21"/>
      <c r="R823" s="21"/>
    </row>
    <row r="824" spans="1:18" x14ac:dyDescent="0.25">
      <c r="A824" s="21">
        <f t="shared" si="24"/>
        <v>823</v>
      </c>
      <c r="B824" s="21" t="s">
        <v>11034</v>
      </c>
      <c r="C824" s="21" t="s">
        <v>11040</v>
      </c>
      <c r="D824" s="21" t="s">
        <v>11041</v>
      </c>
      <c r="E824" s="21" t="s">
        <v>11042</v>
      </c>
      <c r="F824" s="21" t="s">
        <v>36</v>
      </c>
      <c r="G824" s="21" t="s">
        <v>196</v>
      </c>
      <c r="H824" s="21" t="str">
        <f t="shared" si="29"/>
        <v>SRINAGAR</v>
      </c>
      <c r="I824" s="21" t="s">
        <v>11043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11036</v>
      </c>
      <c r="C825" s="21" t="s">
        <v>11037</v>
      </c>
      <c r="D825" s="21" t="s">
        <v>11038</v>
      </c>
      <c r="E825" s="21" t="s">
        <v>11039</v>
      </c>
      <c r="F825" s="21" t="s">
        <v>98</v>
      </c>
      <c r="G825" s="21" t="s">
        <v>178</v>
      </c>
      <c r="H825" s="21" t="str">
        <f t="shared" ref="H825:H828" si="30">IF(LEFT(I825,4)="JK13","PULWAMA",IF(LEFT(I825,4)="JK01","SRINAGAR",IF(LEFT(I825,4)="JK04","BUDGAM",IF(LEFT(I825,4)="JK03","ANANTNAG",IF(LEFT(I825,4)="LA01","KARGIL",IF(LEFT(I825,4)="JK05","BARAMULLA",IF(LEFT(I825,4)="26BH","BHARAT",IF(LEFT(I825,4)="25BH","BHARAT",IF(LEFT(I825,4)="JK12","POONCH",IF(LEFT(I825,4)="JK16","GANDERBAL",IF(LEFT(I825,4)="JK18","KULGAM",IF(LEFT(I825,4)="JK22","SHOPIAN",IF(LEFT(I825,4)="JK02","JAMMU",IF(LEFT(I825,4)="JK09","KUPWARA",IF(LEFT(I825,4)="JK15","BANDIPORA",IF(LEFT(I825,4)="JK17","KISHTWAR",IF(LEFT(I825,4)="LA01","KARGIL",IF(LEFT(I825,1)="T","TEMP","NEW"))))))))))))))))))</f>
        <v>PULWAMA</v>
      </c>
      <c r="I825" s="21" t="s">
        <v>11048</v>
      </c>
      <c r="J825" s="22">
        <v>46172</v>
      </c>
      <c r="K825" s="21">
        <v>9596577125</v>
      </c>
      <c r="L825" s="21" t="s">
        <v>10044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11047</v>
      </c>
      <c r="C826" s="21" t="s">
        <v>11045</v>
      </c>
      <c r="D826" s="21" t="s">
        <v>11046</v>
      </c>
      <c r="E826" s="21" t="s">
        <v>11044</v>
      </c>
      <c r="F826" s="21" t="s">
        <v>12</v>
      </c>
      <c r="G826" s="21" t="s">
        <v>197</v>
      </c>
      <c r="H826" s="21" t="str">
        <f t="shared" si="30"/>
        <v>SRINAGAR</v>
      </c>
      <c r="I826" s="21" t="s">
        <v>11049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11060</v>
      </c>
      <c r="C827" s="21" t="s">
        <v>11061</v>
      </c>
      <c r="D827" s="21" t="s">
        <v>11062</v>
      </c>
      <c r="E827" s="21" t="s">
        <v>11063</v>
      </c>
      <c r="F827" s="21" t="s">
        <v>5</v>
      </c>
      <c r="G827" s="21" t="s">
        <v>196</v>
      </c>
      <c r="H827" s="21" t="str">
        <f t="shared" si="30"/>
        <v>BARAMULLA</v>
      </c>
      <c r="I827" s="21" t="s">
        <v>11065</v>
      </c>
      <c r="J827" s="22">
        <v>46173</v>
      </c>
      <c r="K827" s="21">
        <v>7780954780</v>
      </c>
      <c r="L827" s="21" t="s">
        <v>42</v>
      </c>
      <c r="M827" s="23" t="s">
        <v>11117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11074</v>
      </c>
      <c r="C828" s="21" t="s">
        <v>11075</v>
      </c>
      <c r="D828" s="21" t="s">
        <v>11076</v>
      </c>
      <c r="E828" s="21" t="s">
        <v>11077</v>
      </c>
      <c r="F828" s="21" t="s">
        <v>3126</v>
      </c>
      <c r="G828" s="21" t="s">
        <v>197</v>
      </c>
      <c r="H828" s="21" t="str">
        <f t="shared" si="30"/>
        <v>SRINAGAR</v>
      </c>
      <c r="I828" s="21" t="s">
        <v>11079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11082</v>
      </c>
      <c r="C829" s="21" t="s">
        <v>11080</v>
      </c>
      <c r="D829" s="21" t="s">
        <v>11081</v>
      </c>
      <c r="E829" s="21" t="s">
        <v>519</v>
      </c>
      <c r="F829" s="21" t="s">
        <v>98</v>
      </c>
      <c r="G829" s="21" t="s">
        <v>171</v>
      </c>
      <c r="H829" s="21" t="str">
        <f t="shared" ref="H829:H841" si="31">IF(LEFT(I829,4)="JK13","PULWAMA",IF(LEFT(I829,4)="JK01","SRINAGAR",IF(LEFT(I829,4)="JK04","BUDGAM",IF(LEFT(I829,4)="JK03","ANANTNAG",IF(LEFT(I829,4)="LA01","KARGIL",IF(LEFT(I829,4)="JK05","BARAMULLA",IF(LEFT(I829,4)="26BH","BHARAT",IF(LEFT(I829,4)="25BH","BHARAT",IF(LEFT(I829,4)="JK12","POONCH",IF(LEFT(I829,4)="JK16","GANDERBAL",IF(LEFT(I829,4)="JK18","KULGAM",IF(LEFT(I829,4)="JK22","SHOPIAN",IF(LEFT(I829,4)="JK02","JAMMU",IF(LEFT(I829,4)="JK09","KUPWARA",IF(LEFT(I829,4)="JK15","BANDIPORA",IF(LEFT(I829,4)="JK17","KISHTWAR",IF(LEFT(I829,4)="LA01","KARGIL",IF(LEFT(I829,1)="T","TEMP","NEW"))))))))))))))))))</f>
        <v>SRINAGAR</v>
      </c>
      <c r="I829" s="21" t="s">
        <v>11084</v>
      </c>
      <c r="J829" s="22">
        <v>46175</v>
      </c>
      <c r="K829" s="21">
        <v>9797443504</v>
      </c>
      <c r="L829" s="21" t="s">
        <v>10243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11091</v>
      </c>
      <c r="C830" s="21" t="s">
        <v>11087</v>
      </c>
      <c r="D830" s="21" t="s">
        <v>11088</v>
      </c>
      <c r="E830" s="21" t="s">
        <v>11089</v>
      </c>
      <c r="F830" s="21" t="s">
        <v>36</v>
      </c>
      <c r="G830" s="21" t="s">
        <v>197</v>
      </c>
      <c r="H830" s="21" t="str">
        <f t="shared" si="31"/>
        <v>KULGAM</v>
      </c>
      <c r="I830" s="21" t="s">
        <v>11090</v>
      </c>
      <c r="J830" s="22">
        <v>46177</v>
      </c>
      <c r="K830" s="21">
        <v>8899693028</v>
      </c>
      <c r="L830" s="21" t="s">
        <v>26</v>
      </c>
      <c r="M830" s="23" t="s">
        <v>8802</v>
      </c>
      <c r="N830" s="22">
        <v>46185</v>
      </c>
      <c r="O830" s="21" t="s">
        <v>23</v>
      </c>
      <c r="P830" s="24">
        <v>46181</v>
      </c>
      <c r="Q830" s="21" t="s">
        <v>6454</v>
      </c>
      <c r="R830" s="21"/>
    </row>
    <row r="831" spans="1:18" x14ac:dyDescent="0.25">
      <c r="A831" s="21">
        <f t="shared" si="24"/>
        <v>830</v>
      </c>
      <c r="B831" s="21" t="s">
        <v>11092</v>
      </c>
      <c r="C831" s="21" t="s">
        <v>11093</v>
      </c>
      <c r="D831" s="21" t="s">
        <v>11094</v>
      </c>
      <c r="E831" s="21" t="s">
        <v>11095</v>
      </c>
      <c r="F831" s="21" t="s">
        <v>98</v>
      </c>
      <c r="G831" s="21" t="s">
        <v>197</v>
      </c>
      <c r="H831" s="21" t="str">
        <f t="shared" si="31"/>
        <v>BARAMULLA</v>
      </c>
      <c r="I831" s="21" t="s">
        <v>11096</v>
      </c>
      <c r="J831" s="22">
        <v>46178</v>
      </c>
      <c r="K831" s="21">
        <v>9596863815</v>
      </c>
      <c r="L831" s="21" t="s">
        <v>7240</v>
      </c>
      <c r="M831" s="23" t="s">
        <v>7765</v>
      </c>
      <c r="N831" s="22">
        <v>46182</v>
      </c>
      <c r="O831" s="21"/>
      <c r="P831" s="24"/>
      <c r="Q831" s="21"/>
      <c r="R831" s="21"/>
    </row>
    <row r="832" spans="1:18" x14ac:dyDescent="0.25">
      <c r="A832" s="21">
        <f t="shared" si="24"/>
        <v>831</v>
      </c>
      <c r="B832" s="21" t="s">
        <v>11097</v>
      </c>
      <c r="C832" s="21" t="s">
        <v>11098</v>
      </c>
      <c r="D832" s="21" t="s">
        <v>11099</v>
      </c>
      <c r="E832" s="21" t="s">
        <v>11100</v>
      </c>
      <c r="F832" s="21" t="s">
        <v>98</v>
      </c>
      <c r="G832" s="21" t="s">
        <v>178</v>
      </c>
      <c r="H832" s="21" t="str">
        <f t="shared" si="31"/>
        <v>PULWAMA</v>
      </c>
      <c r="I832" s="21" t="s">
        <v>11101</v>
      </c>
      <c r="J832" s="22">
        <v>46178</v>
      </c>
      <c r="K832" s="21">
        <v>7889385480</v>
      </c>
      <c r="L832" s="21" t="s">
        <v>6446</v>
      </c>
      <c r="M832" s="23"/>
      <c r="N832" s="22"/>
      <c r="O832" s="21"/>
      <c r="P832" s="24"/>
      <c r="Q832" s="21"/>
      <c r="R832" s="21"/>
    </row>
    <row r="833" spans="1:18" x14ac:dyDescent="0.25">
      <c r="A833" s="21">
        <f t="shared" ref="A833:A860" si="32">ROW()-1</f>
        <v>832</v>
      </c>
      <c r="B833" s="21" t="s">
        <v>11106</v>
      </c>
      <c r="C833" s="21" t="s">
        <v>11105</v>
      </c>
      <c r="D833" s="21" t="s">
        <v>11115</v>
      </c>
      <c r="E833" s="21" t="s">
        <v>11102</v>
      </c>
      <c r="F833" s="21" t="s">
        <v>10453</v>
      </c>
      <c r="G833" s="21" t="s">
        <v>197</v>
      </c>
      <c r="H833" s="21" t="str">
        <f t="shared" si="31"/>
        <v>SRINAGAR</v>
      </c>
      <c r="I833" s="21" t="s">
        <v>11112</v>
      </c>
      <c r="J833" s="22">
        <v>46178</v>
      </c>
      <c r="K833" s="21">
        <v>9622566678</v>
      </c>
      <c r="L833" s="21" t="s">
        <v>163</v>
      </c>
      <c r="M833" s="23"/>
      <c r="N833" s="22"/>
      <c r="O833" s="21" t="s">
        <v>23</v>
      </c>
      <c r="P833" s="24">
        <v>46179</v>
      </c>
      <c r="Q833" s="21" t="s">
        <v>6454</v>
      </c>
      <c r="R833" s="21"/>
    </row>
    <row r="834" spans="1:18" x14ac:dyDescent="0.25">
      <c r="A834" s="21">
        <f t="shared" si="32"/>
        <v>833</v>
      </c>
      <c r="B834" s="21" t="s">
        <v>11107</v>
      </c>
      <c r="C834" s="21" t="s">
        <v>11108</v>
      </c>
      <c r="D834" s="21" t="s">
        <v>11114</v>
      </c>
      <c r="E834" s="21" t="s">
        <v>11103</v>
      </c>
      <c r="F834" s="21" t="s">
        <v>98</v>
      </c>
      <c r="G834" s="21" t="s">
        <v>178</v>
      </c>
      <c r="H834" s="21" t="str">
        <f t="shared" si="31"/>
        <v>PULWAMA</v>
      </c>
      <c r="I834" s="21" t="s">
        <v>11113</v>
      </c>
      <c r="J834" s="22">
        <v>46177</v>
      </c>
      <c r="K834" s="21">
        <v>9622785141</v>
      </c>
      <c r="L834" s="21" t="s">
        <v>6515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32"/>
        <v>834</v>
      </c>
      <c r="B835" s="21" t="s">
        <v>11109</v>
      </c>
      <c r="C835" s="21" t="s">
        <v>11110</v>
      </c>
      <c r="D835" s="21" t="s">
        <v>11116</v>
      </c>
      <c r="E835" s="21" t="s">
        <v>11104</v>
      </c>
      <c r="F835" s="21" t="s">
        <v>277</v>
      </c>
      <c r="G835" s="21" t="s">
        <v>196</v>
      </c>
      <c r="H835" s="21" t="str">
        <f t="shared" si="31"/>
        <v>SRINAGAR</v>
      </c>
      <c r="I835" s="21" t="s">
        <v>11111</v>
      </c>
      <c r="J835" s="22">
        <v>46177</v>
      </c>
      <c r="K835" s="21">
        <v>9596300301</v>
      </c>
      <c r="L835" s="21" t="s">
        <v>18</v>
      </c>
      <c r="M835" s="23" t="s">
        <v>7604</v>
      </c>
      <c r="N835" s="22">
        <v>46183</v>
      </c>
      <c r="O835" s="21" t="s">
        <v>23</v>
      </c>
      <c r="P835" s="24">
        <v>46181</v>
      </c>
      <c r="Q835" s="21" t="s">
        <v>6454</v>
      </c>
      <c r="R835" s="21"/>
    </row>
    <row r="836" spans="1:18" x14ac:dyDescent="0.25">
      <c r="A836" s="21">
        <f t="shared" si="32"/>
        <v>835</v>
      </c>
      <c r="B836" s="21" t="s">
        <v>11123</v>
      </c>
      <c r="C836" s="21" t="s">
        <v>11124</v>
      </c>
      <c r="D836" s="21" t="s">
        <v>11125</v>
      </c>
      <c r="E836" s="21" t="s">
        <v>11126</v>
      </c>
      <c r="F836" s="21" t="s">
        <v>3126</v>
      </c>
      <c r="G836" s="21" t="s">
        <v>197</v>
      </c>
      <c r="H836" s="21" t="str">
        <f t="shared" si="31"/>
        <v>TEMP</v>
      </c>
      <c r="I836" s="21" t="s">
        <v>11128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/>
    </row>
    <row r="837" spans="1:18" x14ac:dyDescent="0.25">
      <c r="A837" s="21">
        <f t="shared" si="32"/>
        <v>836</v>
      </c>
      <c r="B837" s="21" t="s">
        <v>11133</v>
      </c>
      <c r="C837" s="21" t="s">
        <v>11130</v>
      </c>
      <c r="D837" s="21" t="s">
        <v>11131</v>
      </c>
      <c r="E837" s="21" t="s">
        <v>11132</v>
      </c>
      <c r="F837" s="21" t="s">
        <v>5</v>
      </c>
      <c r="G837" s="21" t="s">
        <v>197</v>
      </c>
      <c r="H837" s="21" t="str">
        <f t="shared" si="31"/>
        <v>PULWAMA</v>
      </c>
      <c r="I837" s="21" t="s">
        <v>11135</v>
      </c>
      <c r="J837" s="22">
        <v>46181</v>
      </c>
      <c r="K837" s="21">
        <v>9596422011</v>
      </c>
      <c r="L837" s="21" t="s">
        <v>26</v>
      </c>
      <c r="M837" s="23"/>
      <c r="N837" s="22"/>
      <c r="O837" s="21"/>
      <c r="P837" s="24"/>
      <c r="Q837" s="21"/>
      <c r="R837" s="21"/>
    </row>
    <row r="838" spans="1:18" x14ac:dyDescent="0.25">
      <c r="A838" s="21">
        <f t="shared" si="24"/>
        <v>837</v>
      </c>
      <c r="B838" s="21" t="s">
        <v>10840</v>
      </c>
      <c r="C838" s="21" t="s">
        <v>10837</v>
      </c>
      <c r="D838" s="21" t="s">
        <v>10838</v>
      </c>
      <c r="E838" s="21" t="s">
        <v>10839</v>
      </c>
      <c r="F838" s="21" t="s">
        <v>277</v>
      </c>
      <c r="G838" s="21" t="s">
        <v>178</v>
      </c>
      <c r="H838" s="21" t="str">
        <f>IF(LEFT(I838,4)="JK13","PULWAMA",IF(LEFT(I838,4)="JK01","SRINAGAR",IF(LEFT(I838,4)="JK04","BUDGAM",IF(LEFT(I838,4)="JK03","ANANTNAG",IF(LEFT(I838,4)="LA01","KARGIL",IF(LEFT(I838,4)="JK05","BARAMULLA",IF(LEFT(I838,4)="26BH","BHARAT",IF(LEFT(I838,4)="25BH","BHARAT",IF(LEFT(I838,4)="JK12","POONCH",IF(LEFT(I838,4)="JK16","GANDERBAL",IF(LEFT(I838,4)="JK18","KULGAM",IF(LEFT(I838,4)="JK22","SHOPIAN",IF(LEFT(I838,4)="JK02","JAMMU",IF(LEFT(I838,4)="JK09","KUPWARA",IF(LEFT(I838,4)="JK15","BANDIPORA",IF(LEFT(I838,4)="JK17","KISHTWAR",IF(LEFT(I838,4)="LA01","KARGIL",IF(LEFT(I838,1)="T","TEMP","NEW"))))))))))))))))))</f>
        <v>BHARAT</v>
      </c>
      <c r="I838" s="21" t="s">
        <v>11134</v>
      </c>
      <c r="J838" s="22">
        <v>46181</v>
      </c>
      <c r="K838" s="21">
        <v>8979091582</v>
      </c>
      <c r="L838" s="21" t="s">
        <v>6823</v>
      </c>
      <c r="M838" s="23"/>
      <c r="N838" s="22"/>
      <c r="O838" s="21"/>
      <c r="P838" s="24"/>
      <c r="Q838" s="21"/>
      <c r="R838" s="21"/>
    </row>
    <row r="839" spans="1:18" x14ac:dyDescent="0.25">
      <c r="A839" s="21">
        <f t="shared" si="32"/>
        <v>838</v>
      </c>
      <c r="B839" s="21" t="s">
        <v>11142</v>
      </c>
      <c r="C839" s="21" t="s">
        <v>11139</v>
      </c>
      <c r="D839" s="21" t="s">
        <v>11140</v>
      </c>
      <c r="E839" s="21" t="s">
        <v>11141</v>
      </c>
      <c r="F839" s="21" t="s">
        <v>98</v>
      </c>
      <c r="G839" s="21" t="s">
        <v>178</v>
      </c>
      <c r="H839" s="21" t="str">
        <f t="shared" si="31"/>
        <v>SRINAGAR</v>
      </c>
      <c r="I839" s="21" t="s">
        <v>11143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32"/>
        <v>839</v>
      </c>
      <c r="B840" s="21" t="s">
        <v>11144</v>
      </c>
      <c r="C840" s="21" t="s">
        <v>11145</v>
      </c>
      <c r="D840" s="21" t="s">
        <v>11146</v>
      </c>
      <c r="E840" s="21" t="s">
        <v>11147</v>
      </c>
      <c r="F840" s="21" t="s">
        <v>100</v>
      </c>
      <c r="G840" s="21" t="s">
        <v>197</v>
      </c>
      <c r="H840" s="21" t="str">
        <f t="shared" si="31"/>
        <v>SRINAGAR</v>
      </c>
      <c r="I840" s="21" t="s">
        <v>11162</v>
      </c>
      <c r="J840" s="22">
        <v>46182</v>
      </c>
      <c r="K840" s="21">
        <v>7006213927</v>
      </c>
      <c r="L840" s="21" t="s">
        <v>26</v>
      </c>
      <c r="M840" s="23"/>
      <c r="N840" s="22"/>
      <c r="O840" s="21" t="s">
        <v>23</v>
      </c>
      <c r="P840" s="24">
        <v>46183</v>
      </c>
      <c r="Q840" s="21" t="s">
        <v>6454</v>
      </c>
      <c r="R840" s="21"/>
    </row>
    <row r="841" spans="1:18" x14ac:dyDescent="0.25">
      <c r="A841" s="21">
        <f t="shared" si="32"/>
        <v>840</v>
      </c>
      <c r="B841" s="21" t="s">
        <v>11148</v>
      </c>
      <c r="C841" s="21" t="s">
        <v>11149</v>
      </c>
      <c r="D841" s="21" t="s">
        <v>11150</v>
      </c>
      <c r="E841" s="21" t="s">
        <v>11151</v>
      </c>
      <c r="F841" s="21" t="s">
        <v>65</v>
      </c>
      <c r="G841" s="21" t="s">
        <v>223</v>
      </c>
      <c r="H841" s="21" t="str">
        <f t="shared" si="31"/>
        <v>KUPWARA</v>
      </c>
      <c r="I841" s="21" t="s">
        <v>11160</v>
      </c>
      <c r="J841" s="22">
        <v>46182</v>
      </c>
      <c r="K841" s="21">
        <v>9797763096</v>
      </c>
      <c r="L841" s="21" t="s">
        <v>8857</v>
      </c>
      <c r="M841" s="23"/>
      <c r="N841" s="22"/>
      <c r="O841" s="21"/>
      <c r="P841" s="24"/>
      <c r="Q841" s="21"/>
      <c r="R841" s="21"/>
    </row>
    <row r="842" spans="1:18" x14ac:dyDescent="0.25">
      <c r="A842" s="21">
        <f t="shared" si="32"/>
        <v>841</v>
      </c>
      <c r="B842" s="21" t="s">
        <v>11152</v>
      </c>
      <c r="C842" s="21" t="s">
        <v>11153</v>
      </c>
      <c r="D842" s="21" t="s">
        <v>11154</v>
      </c>
      <c r="E842" s="21" t="s">
        <v>11155</v>
      </c>
      <c r="F842" s="21" t="s">
        <v>98</v>
      </c>
      <c r="G842" s="21" t="s">
        <v>197</v>
      </c>
      <c r="H842" s="21" t="str">
        <f t="shared" ref="H842:H846" si="33">IF(LEFT(I842,4)="JK13","PULWAMA",IF(LEFT(I842,4)="JK01","SRINAGAR",IF(LEFT(I842,4)="JK04","BUDGAM",IF(LEFT(I842,4)="JK03","ANANTNAG",IF(LEFT(I842,4)="LA01","KARGIL",IF(LEFT(I842,4)="JK05","BARAMULLA",IF(LEFT(I842,4)="26BH","BHARAT",IF(LEFT(I842,4)="25BH","BHARAT",IF(LEFT(I842,4)="JK12","POONCH",IF(LEFT(I842,4)="JK16","GANDERBAL",IF(LEFT(I842,4)="JK18","KULGAM",IF(LEFT(I842,4)="JK22","SHOPIAN",IF(LEFT(I842,4)="JK02","JAMMU",IF(LEFT(I842,4)="JK09","KUPWARA",IF(LEFT(I842,4)="JK15","BANDIPORA",IF(LEFT(I842,4)="JK17","KISHTWAR",IF(LEFT(I842,4)="LA01","KARGIL",IF(LEFT(I842,1)="T","TEMP","NEW"))))))))))))))))))</f>
        <v>PULWAMA</v>
      </c>
      <c r="I842" s="21" t="s">
        <v>11161</v>
      </c>
      <c r="J842" s="22">
        <v>46182</v>
      </c>
      <c r="K842" s="21">
        <v>9149490632</v>
      </c>
      <c r="L842" s="21" t="s">
        <v>6515</v>
      </c>
      <c r="M842" s="23"/>
      <c r="N842" s="22"/>
      <c r="O842" s="21"/>
      <c r="P842" s="24"/>
      <c r="Q842" s="21"/>
      <c r="R842" s="21"/>
    </row>
    <row r="843" spans="1:18" x14ac:dyDescent="0.25">
      <c r="A843" s="21">
        <f t="shared" si="32"/>
        <v>842</v>
      </c>
      <c r="B843" s="21" t="s">
        <v>11166</v>
      </c>
      <c r="C843" s="21" t="s">
        <v>11156</v>
      </c>
      <c r="D843" s="21" t="s">
        <v>11157</v>
      </c>
      <c r="E843" s="21" t="s">
        <v>11158</v>
      </c>
      <c r="F843" s="21" t="s">
        <v>12</v>
      </c>
      <c r="G843" s="21" t="s">
        <v>197</v>
      </c>
      <c r="H843" s="21" t="str">
        <f t="shared" si="33"/>
        <v>KULGAM</v>
      </c>
      <c r="I843" s="21" t="s">
        <v>11159</v>
      </c>
      <c r="J843" s="22">
        <v>46182</v>
      </c>
      <c r="K843" s="21">
        <v>7006471404</v>
      </c>
      <c r="L843" s="21"/>
      <c r="M843" s="23"/>
      <c r="N843" s="22"/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32"/>
        <v>843</v>
      </c>
      <c r="B844" s="21" t="s">
        <v>11165</v>
      </c>
      <c r="C844" s="21" t="s">
        <v>11163</v>
      </c>
      <c r="D844" s="21" t="s">
        <v>11167</v>
      </c>
      <c r="E844" s="21" t="s">
        <v>10078</v>
      </c>
      <c r="F844" s="21" t="s">
        <v>12</v>
      </c>
      <c r="G844" s="21" t="s">
        <v>178</v>
      </c>
      <c r="H844" s="21" t="str">
        <f t="shared" si="33"/>
        <v>PULWAMA</v>
      </c>
      <c r="I844" s="21" t="s">
        <v>11164</v>
      </c>
      <c r="J844" s="22">
        <v>46182</v>
      </c>
      <c r="K844" s="21">
        <v>9596522616</v>
      </c>
      <c r="L844" s="21" t="s">
        <v>6515</v>
      </c>
      <c r="M844" s="23"/>
      <c r="N844" s="22"/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32"/>
        <v>844</v>
      </c>
      <c r="B845" s="21" t="s">
        <v>11175</v>
      </c>
      <c r="C845" s="21" t="s">
        <v>11176</v>
      </c>
      <c r="D845" s="21" t="s">
        <v>11177</v>
      </c>
      <c r="E845" s="21" t="s">
        <v>11178</v>
      </c>
      <c r="F845" s="21" t="s">
        <v>12</v>
      </c>
      <c r="G845" s="21" t="s">
        <v>171</v>
      </c>
      <c r="H845" s="21" t="str">
        <f t="shared" si="33"/>
        <v>PULWAMA</v>
      </c>
      <c r="I845" s="21" t="s">
        <v>11183</v>
      </c>
      <c r="J845" s="22">
        <v>46183</v>
      </c>
      <c r="K845" s="21">
        <v>7889402189</v>
      </c>
      <c r="L845" s="21" t="s">
        <v>6515</v>
      </c>
      <c r="M845" s="23"/>
      <c r="N845" s="22"/>
      <c r="O845" s="21"/>
      <c r="P845" s="24"/>
      <c r="Q845" s="21"/>
      <c r="R845" s="21"/>
    </row>
    <row r="846" spans="1:18" x14ac:dyDescent="0.25">
      <c r="A846" s="21">
        <f t="shared" si="32"/>
        <v>845</v>
      </c>
      <c r="B846" s="21" t="s">
        <v>11179</v>
      </c>
      <c r="C846" s="21" t="s">
        <v>11180</v>
      </c>
      <c r="D846" s="21" t="s">
        <v>11181</v>
      </c>
      <c r="E846" s="21" t="s">
        <v>11182</v>
      </c>
      <c r="F846" s="21" t="s">
        <v>36</v>
      </c>
      <c r="G846" s="21" t="s">
        <v>197</v>
      </c>
      <c r="H846" s="21" t="str">
        <f t="shared" si="33"/>
        <v>SRINAGAR</v>
      </c>
      <c r="I846" s="21" t="s">
        <v>11184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32"/>
        <v>846</v>
      </c>
      <c r="B847" s="21" t="s">
        <v>11190</v>
      </c>
      <c r="C847" s="21" t="s">
        <v>11187</v>
      </c>
      <c r="D847" s="21" t="s">
        <v>11188</v>
      </c>
      <c r="E847" s="21" t="s">
        <v>11189</v>
      </c>
      <c r="F847" s="21" t="s">
        <v>5</v>
      </c>
      <c r="G847" s="21" t="s">
        <v>196</v>
      </c>
      <c r="H847" s="21" t="str">
        <f t="shared" ref="H847:H851" si="34">IF(LEFT(I847,4)="JK13","PULWAMA",IF(LEFT(I847,4)="JK01","SRINAGAR",IF(LEFT(I847,4)="JK04","BUDGAM",IF(LEFT(I847,4)="JK03","ANANTNAG",IF(LEFT(I847,4)="LA01","KARGIL",IF(LEFT(I847,4)="JK05","BARAMULLA",IF(LEFT(I847,4)="26BH","BHARAT",IF(LEFT(I847,4)="25BH","BHARAT",IF(LEFT(I847,4)="JK12","POONCH",IF(LEFT(I847,4)="JK16","GANDERBAL",IF(LEFT(I847,4)="JK18","KULGAM",IF(LEFT(I847,4)="JK22","SHOPIAN",IF(LEFT(I847,4)="JK02","JAMMU",IF(LEFT(I847,4)="JK09","KUPWARA",IF(LEFT(I847,4)="JK15","BANDIPORA",IF(LEFT(I847,4)="JK17","KISHTWAR",IF(LEFT(I847,4)="LA01","KARGIL",IF(LEFT(I847,1)="T","TEMP","NEW"))))))))))))))))))</f>
        <v>SRINAGAR</v>
      </c>
      <c r="I847" s="21" t="s">
        <v>11196</v>
      </c>
      <c r="J847" s="22">
        <v>46184</v>
      </c>
      <c r="K847" s="21">
        <v>7889775854</v>
      </c>
      <c r="L847" s="21" t="s">
        <v>73</v>
      </c>
      <c r="M847" s="23"/>
      <c r="N847" s="22"/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32"/>
        <v>847</v>
      </c>
      <c r="B848" s="21" t="s">
        <v>11195</v>
      </c>
      <c r="C848" s="21" t="s">
        <v>11191</v>
      </c>
      <c r="D848" s="21" t="s">
        <v>11192</v>
      </c>
      <c r="E848" s="21" t="s">
        <v>11193</v>
      </c>
      <c r="F848" s="21" t="s">
        <v>98</v>
      </c>
      <c r="G848" s="21" t="s">
        <v>171</v>
      </c>
      <c r="H848" s="21" t="str">
        <f t="shared" si="34"/>
        <v>BARAMULLA</v>
      </c>
      <c r="I848" s="21" t="s">
        <v>11197</v>
      </c>
      <c r="J848" s="22">
        <v>46184</v>
      </c>
      <c r="K848" s="21">
        <v>9149465922</v>
      </c>
      <c r="L848" s="21" t="s">
        <v>11194</v>
      </c>
      <c r="M848" s="23"/>
      <c r="N848" s="22"/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32"/>
        <v>848</v>
      </c>
      <c r="B849" s="21" t="s">
        <v>11207</v>
      </c>
      <c r="C849" s="21" t="s">
        <v>11203</v>
      </c>
      <c r="D849" s="21" t="s">
        <v>11204</v>
      </c>
      <c r="E849" s="21" t="s">
        <v>11205</v>
      </c>
      <c r="F849" s="21" t="s">
        <v>12</v>
      </c>
      <c r="G849" s="21" t="s">
        <v>197</v>
      </c>
      <c r="H849" s="21" t="str">
        <f>IF(LEFT(I849,4)="JK13","PULWAMA",IF(LEFT(I849,4)="JK01","SRINAGAR",IF(LEFT(I849,4)="JK04","BUDGAM",IF(LEFT(I849,4)="JK03","ANANTNAG",IF(LEFT(I849,4)="LA01","KARGIL",IF(LEFT(I849,4)="JK05","BARAMULLA",IF(LEFT(I849,4)="26BH","BHARAT",IF(LEFT(I849,4)="25BH","BHARAT",IF(LEFT(I849,4)="JK12","POONCH",IF(LEFT(I849,4)="JK16","GANDERBAL",IF(LEFT(I849,4)="JK18","KULGAM",IF(LEFT(I849,4)="JK22","SHOPIAN",IF(LEFT(I849,4)="JK02","JAMMU",IF(LEFT(I849,4)="JK09","KUPWARA",IF(LEFT(I849,4)="JK15","BANDIPORA",IF(LEFT(I849,4)="JK17","KISHTWAR",IF(LEFT(I849,4)="LA01","KARGIL",IF(LEFT(I849,1)="T","TEMP","NEW"))))))))))))))))))</f>
        <v>SHOPIAN</v>
      </c>
      <c r="I849" s="21" t="s">
        <v>11202</v>
      </c>
      <c r="J849" s="22">
        <v>46184</v>
      </c>
      <c r="K849" s="21">
        <v>7889410052</v>
      </c>
      <c r="L849" s="21" t="s">
        <v>11206</v>
      </c>
      <c r="M849" s="23"/>
      <c r="N849" s="22"/>
      <c r="O849" s="21"/>
      <c r="P849" s="24"/>
      <c r="Q849" s="21"/>
      <c r="R849" s="21"/>
    </row>
    <row r="850" spans="1:18" x14ac:dyDescent="0.25">
      <c r="A850" s="21">
        <f t="shared" si="32"/>
        <v>849</v>
      </c>
      <c r="B850" s="21" t="s">
        <v>11217</v>
      </c>
      <c r="C850" s="21" t="s">
        <v>11213</v>
      </c>
      <c r="D850" s="21" t="s">
        <v>11214</v>
      </c>
      <c r="E850" s="21" t="s">
        <v>11215</v>
      </c>
      <c r="F850" s="21" t="s">
        <v>5</v>
      </c>
      <c r="G850" s="21" t="s">
        <v>196</v>
      </c>
      <c r="H850" s="21" t="str">
        <f>IF(LEFT(I850,4)="JK13","PULWAMA",IF(LEFT(I850,4)="JK01","SRINAGAR",IF(LEFT(I850,4)="JK04","BUDGAM",IF(LEFT(I850,4)="JK03","ANANTNAG",IF(LEFT(I850,4)="LA01","KARGIL",IF(LEFT(I850,4)="JK05","BARAMULLA",IF(LEFT(I850,4)="26BH","BHARAT",IF(LEFT(I850,4)="25BH","BHARAT",IF(LEFT(I850,4)="JK12","POONCH",IF(LEFT(I850,4)="JK16","GANDERBAL",IF(LEFT(I850,4)="JK18","KULGAM",IF(LEFT(I850,4)="JK22","SHOPIAN",IF(LEFT(I850,4)="JK02","JAMMU",IF(LEFT(I850,4)="JK09","KUPWARA",IF(LEFT(I850,4)="JK15","BANDIPORA",IF(LEFT(I850,4)="JK17","KISHTWAR",IF(LEFT(I850,4)="LA01","KARGIL",IF(LEFT(I850,1)="T","TEMP","NEW"))))))))))))))))))</f>
        <v>BUDGAM</v>
      </c>
      <c r="I850" s="21" t="s">
        <v>11222</v>
      </c>
      <c r="J850" s="22">
        <v>46184</v>
      </c>
      <c r="K850" s="21">
        <v>7006462336</v>
      </c>
      <c r="L850" s="21" t="s">
        <v>11216</v>
      </c>
      <c r="M850" s="23"/>
      <c r="N850" s="22"/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32"/>
        <v>850</v>
      </c>
      <c r="B851" s="21" t="s">
        <v>11201</v>
      </c>
      <c r="C851" s="21" t="s">
        <v>11199</v>
      </c>
      <c r="D851" s="21" t="s">
        <v>11200</v>
      </c>
      <c r="E851" s="21" t="s">
        <v>11198</v>
      </c>
      <c r="F851" s="21" t="s">
        <v>12</v>
      </c>
      <c r="G851" s="21" t="s">
        <v>178</v>
      </c>
      <c r="H851" s="21" t="str">
        <f t="shared" si="34"/>
        <v>NEW</v>
      </c>
      <c r="I851" s="21"/>
      <c r="J851" s="22">
        <v>46184</v>
      </c>
      <c r="K851" s="21">
        <v>7006588862</v>
      </c>
      <c r="L851" s="21" t="s">
        <v>7240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32"/>
        <v>851</v>
      </c>
      <c r="B852" s="21" t="s">
        <v>11221</v>
      </c>
      <c r="C852" s="21" t="s">
        <v>11218</v>
      </c>
      <c r="D852" s="21" t="s">
        <v>11219</v>
      </c>
      <c r="E852" s="21" t="s">
        <v>11220</v>
      </c>
      <c r="F852" s="21" t="s">
        <v>98</v>
      </c>
      <c r="G852" s="21" t="s">
        <v>197</v>
      </c>
      <c r="H852" s="21" t="str">
        <f t="shared" ref="H852:H854" si="35">IF(LEFT(I852,4)="JK13","PULWAMA",IF(LEFT(I852,4)="JK01","SRINAGAR",IF(LEFT(I852,4)="JK04","BUDGAM",IF(LEFT(I852,4)="JK03","ANANTNAG",IF(LEFT(I852,4)="LA01","KARGIL",IF(LEFT(I852,4)="JK05","BARAMULLA",IF(LEFT(I852,4)="26BH","BHARAT",IF(LEFT(I852,4)="25BH","BHARAT",IF(LEFT(I852,4)="JK12","POONCH",IF(LEFT(I852,4)="JK16","GANDERBAL",IF(LEFT(I852,4)="JK18","KULGAM",IF(LEFT(I852,4)="JK22","SHOPIAN",IF(LEFT(I852,4)="JK02","JAMMU",IF(LEFT(I852,4)="JK09","KUPWARA",IF(LEFT(I852,4)="JK15","BANDIPORA",IF(LEFT(I852,4)="JK17","KISHTWAR",IF(LEFT(I852,4)="LA01","KARGIL",IF(LEFT(I852,1)="T","TEMP","NEW"))))))))))))))))))</f>
        <v>SRINAGAR</v>
      </c>
      <c r="I852" s="21" t="s">
        <v>11237</v>
      </c>
      <c r="J852" s="22">
        <v>46184</v>
      </c>
      <c r="K852" s="21">
        <v>7006966825</v>
      </c>
      <c r="L852" s="21" t="s">
        <v>2168</v>
      </c>
      <c r="M852" s="23"/>
      <c r="N852" s="22"/>
      <c r="O852" s="21"/>
      <c r="P852" s="24"/>
      <c r="Q852" s="21"/>
      <c r="R852" s="21"/>
    </row>
    <row r="853" spans="1:18" x14ac:dyDescent="0.25">
      <c r="A853" s="21">
        <f t="shared" si="32"/>
        <v>852</v>
      </c>
      <c r="B853" s="21" t="s">
        <v>11223</v>
      </c>
      <c r="C853" s="21" t="s">
        <v>11224</v>
      </c>
      <c r="D853" s="21" t="s">
        <v>11225</v>
      </c>
      <c r="E853" s="21" t="s">
        <v>11226</v>
      </c>
      <c r="F853" s="21" t="s">
        <v>12</v>
      </c>
      <c r="G853" s="21" t="s">
        <v>197</v>
      </c>
      <c r="H853" s="21" t="str">
        <f t="shared" si="35"/>
        <v>BARAMULLA</v>
      </c>
      <c r="I853" s="21" t="s">
        <v>11238</v>
      </c>
      <c r="J853" s="22">
        <v>46185</v>
      </c>
      <c r="K853" s="21">
        <v>7006510242</v>
      </c>
      <c r="L853" s="21" t="s">
        <v>6823</v>
      </c>
      <c r="M853" s="23"/>
      <c r="N853" s="22"/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32"/>
        <v>853</v>
      </c>
      <c r="B854" s="21" t="s">
        <v>11231</v>
      </c>
      <c r="C854" s="21" t="s">
        <v>11227</v>
      </c>
      <c r="D854" s="21" t="s">
        <v>11228</v>
      </c>
      <c r="E854" s="21" t="s">
        <v>11229</v>
      </c>
      <c r="F854" s="21" t="s">
        <v>11230</v>
      </c>
      <c r="G854" s="21" t="s">
        <v>196</v>
      </c>
      <c r="H854" s="21" t="str">
        <f t="shared" si="35"/>
        <v>SRINAGAR</v>
      </c>
      <c r="I854" s="21" t="s">
        <v>11236</v>
      </c>
      <c r="J854" s="22">
        <v>46185</v>
      </c>
      <c r="K854" s="21">
        <v>9419009819</v>
      </c>
      <c r="L854" s="21" t="s">
        <v>18</v>
      </c>
      <c r="M854" s="23"/>
      <c r="N854" s="22"/>
      <c r="O854" s="21"/>
      <c r="P854" s="24"/>
      <c r="Q854" s="21"/>
      <c r="R854" s="21"/>
    </row>
    <row r="855" spans="1:18" x14ac:dyDescent="0.25">
      <c r="A855" s="21">
        <f t="shared" si="32"/>
        <v>854</v>
      </c>
      <c r="B855" s="21" t="s">
        <v>11232</v>
      </c>
      <c r="C855" s="21" t="s">
        <v>11233</v>
      </c>
      <c r="D855" s="21" t="s">
        <v>11234</v>
      </c>
      <c r="E855" s="21" t="s">
        <v>11235</v>
      </c>
      <c r="F855" s="21" t="s">
        <v>98</v>
      </c>
      <c r="G855" s="21" t="s">
        <v>197</v>
      </c>
      <c r="H855" s="54" t="str">
        <f t="shared" ref="H855:H860" si="36">IF(LEFT(I855,4)="JK13","PULWAMA",IF(LEFT(I855,4)="JK01","SRINAGAR",IF(LEFT(I855,4)="JK04","BUDGAM",IF(LEFT(I855,4)="JK03","ANANTNAG",IF(LEFT(I855,4)="LA01","KARGIL",IF(LEFT(I855,4)="JK05","BARAMULLA",IF(LEFT(I855,4)="26BH","BHARAT",IF(LEFT(I855,4)="25BH","BHARAT",IF(LEFT(I855,4)="JK12","POONCH",IF(LEFT(I855,4)="JK16","GANDERBAL",IF(LEFT(I855,4)="JK18","KULGAM",IF(LEFT(I855,4)="JK22","SHOPIAN",IF(LEFT(I855,4)="JK02","JAMMU",IF(LEFT(I855,4)="JK09","KUPWARA",IF(LEFT(I855,4)="JK15","BANDIPORA",IF(LEFT(I855,4)="JK17","KISHTWAR",IF(LEFT(I855,4)="LA01","KARGIL",IF(LEFT(I855,1)="T","TEMP","NEW"))))))))))))))))))</f>
        <v>SRINAGAR</v>
      </c>
      <c r="I855" s="21" t="s">
        <v>11239</v>
      </c>
      <c r="J855" s="55">
        <v>46185</v>
      </c>
      <c r="K855" s="21">
        <v>7006783199</v>
      </c>
      <c r="L855" s="53" t="s">
        <v>10243</v>
      </c>
      <c r="M855" s="57"/>
      <c r="N855" s="55"/>
      <c r="O855" s="53"/>
      <c r="P855" s="58"/>
      <c r="Q855" s="53"/>
      <c r="R855" s="53"/>
    </row>
    <row r="856" spans="1:18" x14ac:dyDescent="0.25">
      <c r="A856" s="21">
        <f t="shared" si="32"/>
        <v>855</v>
      </c>
      <c r="B856" s="21" t="s">
        <v>11240</v>
      </c>
      <c r="C856" s="21" t="s">
        <v>11241</v>
      </c>
      <c r="D856" s="21" t="s">
        <v>11242</v>
      </c>
      <c r="E856" s="21" t="s">
        <v>11243</v>
      </c>
      <c r="F856" s="21" t="s">
        <v>12</v>
      </c>
      <c r="G856" s="21" t="s">
        <v>178</v>
      </c>
      <c r="H856" s="54" t="str">
        <f t="shared" si="36"/>
        <v>SRINAGAR</v>
      </c>
      <c r="I856" s="21" t="s">
        <v>11248</v>
      </c>
      <c r="J856" s="55">
        <v>46185</v>
      </c>
      <c r="K856" s="21">
        <v>7006819755</v>
      </c>
      <c r="L856" s="53" t="s">
        <v>303</v>
      </c>
      <c r="M856" s="57"/>
      <c r="N856" s="55"/>
      <c r="O856" s="53" t="s">
        <v>23</v>
      </c>
      <c r="P856" s="58">
        <v>46185</v>
      </c>
      <c r="Q856" s="53" t="s">
        <v>6454</v>
      </c>
      <c r="R856" s="53"/>
    </row>
    <row r="857" spans="1:18" x14ac:dyDescent="0.25">
      <c r="A857" s="21">
        <f t="shared" si="32"/>
        <v>856</v>
      </c>
      <c r="B857" s="21" t="s">
        <v>11244</v>
      </c>
      <c r="C857" s="21" t="s">
        <v>11245</v>
      </c>
      <c r="D857" s="21" t="s">
        <v>11246</v>
      </c>
      <c r="E857" s="21" t="s">
        <v>11247</v>
      </c>
      <c r="F857" s="21" t="s">
        <v>5</v>
      </c>
      <c r="G857" s="21" t="s">
        <v>197</v>
      </c>
      <c r="H857" s="54" t="str">
        <f t="shared" si="36"/>
        <v>SHOPIAN</v>
      </c>
      <c r="I857" s="21" t="s">
        <v>11249</v>
      </c>
      <c r="J857" s="55">
        <v>46185</v>
      </c>
      <c r="K857" s="21">
        <v>9906265335</v>
      </c>
      <c r="L857" s="53" t="s">
        <v>6534</v>
      </c>
      <c r="M857" s="57"/>
      <c r="N857" s="55"/>
      <c r="O857" s="53" t="s">
        <v>23</v>
      </c>
      <c r="P857" s="58">
        <v>46185</v>
      </c>
      <c r="Q857" s="53" t="s">
        <v>6454</v>
      </c>
      <c r="R857" s="53"/>
    </row>
    <row r="858" spans="1:18" x14ac:dyDescent="0.25">
      <c r="A858" s="21">
        <f t="shared" si="32"/>
        <v>857</v>
      </c>
      <c r="B858" s="53"/>
      <c r="C858" s="53"/>
      <c r="D858" s="53"/>
      <c r="E858" s="53"/>
      <c r="F858" s="53"/>
      <c r="G858" s="53"/>
      <c r="H858" s="54" t="str">
        <f t="shared" si="36"/>
        <v>NEW</v>
      </c>
      <c r="I858" s="53"/>
      <c r="J858" s="55"/>
      <c r="K858" s="56"/>
      <c r="L858" s="53"/>
      <c r="M858" s="57"/>
      <c r="N858" s="55"/>
      <c r="O858" s="53"/>
      <c r="P858" s="58"/>
      <c r="Q858" s="53"/>
      <c r="R858" s="53"/>
    </row>
    <row r="859" spans="1:18" x14ac:dyDescent="0.25">
      <c r="A859" s="21">
        <f t="shared" si="32"/>
        <v>858</v>
      </c>
      <c r="B859" s="53"/>
      <c r="C859" s="53"/>
      <c r="D859" s="53"/>
      <c r="E859" s="53"/>
      <c r="F859" s="53"/>
      <c r="G859" s="53"/>
      <c r="H859" s="54" t="str">
        <f t="shared" si="36"/>
        <v>NEW</v>
      </c>
      <c r="I859" s="53"/>
      <c r="J859" s="55"/>
      <c r="K859" s="56"/>
      <c r="L859" s="53"/>
      <c r="M859" s="57"/>
      <c r="N859" s="55"/>
      <c r="O859" s="53"/>
      <c r="P859" s="58"/>
      <c r="Q859" s="53"/>
      <c r="R859" s="53"/>
    </row>
    <row r="860" spans="1:18" x14ac:dyDescent="0.25">
      <c r="A860" s="21">
        <f t="shared" si="32"/>
        <v>859</v>
      </c>
      <c r="B860" s="53"/>
      <c r="C860" s="53"/>
      <c r="D860" s="53"/>
      <c r="E860" s="53"/>
      <c r="F860" s="53"/>
      <c r="G860" s="53"/>
      <c r="H860" s="54" t="str">
        <f t="shared" si="36"/>
        <v>NEW</v>
      </c>
      <c r="I860" s="53"/>
      <c r="J860" s="55"/>
      <c r="K860" s="56"/>
      <c r="L860" s="53"/>
      <c r="M860" s="57"/>
      <c r="N860" s="55"/>
      <c r="O860" s="53"/>
      <c r="P860" s="58"/>
      <c r="Q860" s="53"/>
      <c r="R860" s="53"/>
    </row>
    <row r="861" spans="1:18" ht="15.75" x14ac:dyDescent="0.25">
      <c r="A861" s="21"/>
      <c r="B861" s="21"/>
      <c r="C861" s="21"/>
      <c r="D861" s="21"/>
      <c r="E861" s="21"/>
      <c r="F861" s="21"/>
      <c r="G861" s="21"/>
      <c r="H861" s="21"/>
      <c r="I861" s="21"/>
      <c r="J861" s="12"/>
      <c r="K861" s="21"/>
      <c r="L861" s="21"/>
      <c r="M861" t="s">
        <v>43</v>
      </c>
    </row>
    <row r="862" spans="1:18" ht="15.75" x14ac:dyDescent="0.25">
      <c r="A862" s="21"/>
      <c r="B862" s="21"/>
      <c r="C862" s="21"/>
      <c r="D862" s="21"/>
      <c r="E862" s="21"/>
      <c r="F862" s="21"/>
      <c r="G862" s="21"/>
      <c r="H862" s="1"/>
      <c r="I862" s="13"/>
      <c r="K862" s="21"/>
      <c r="L862" s="21"/>
    </row>
    <row r="863" spans="1:18" x14ac:dyDescent="0.25">
      <c r="K863" s="21"/>
    </row>
    <row r="864" spans="1:18" x14ac:dyDescent="0.25">
      <c r="K864" s="21"/>
    </row>
    <row r="865" spans="11:11" x14ac:dyDescent="0.25">
      <c r="K865" s="21"/>
    </row>
    <row r="866" spans="11:11" x14ac:dyDescent="0.25">
      <c r="K866" s="21"/>
    </row>
    <row r="867" spans="11:11" x14ac:dyDescent="0.25">
      <c r="K867" s="21"/>
    </row>
    <row r="868" spans="11:11" x14ac:dyDescent="0.25">
      <c r="K868" s="21"/>
    </row>
    <row r="869" spans="11:11" x14ac:dyDescent="0.25">
      <c r="K869" s="21"/>
    </row>
    <row r="870" spans="11:11" x14ac:dyDescent="0.25">
      <c r="K870" s="21"/>
    </row>
    <row r="871" spans="11:11" x14ac:dyDescent="0.25">
      <c r="K871" s="21"/>
    </row>
    <row r="872" spans="11:11" x14ac:dyDescent="0.25">
      <c r="K872" s="21"/>
    </row>
    <row r="873" spans="11:11" x14ac:dyDescent="0.25">
      <c r="K873" s="21"/>
    </row>
    <row r="874" spans="11:11" x14ac:dyDescent="0.25">
      <c r="K874" s="21"/>
    </row>
    <row r="875" spans="11:11" x14ac:dyDescent="0.25">
      <c r="K875" s="21"/>
    </row>
    <row r="876" spans="11:11" x14ac:dyDescent="0.25">
      <c r="K876" s="21"/>
    </row>
    <row r="877" spans="11:11" x14ac:dyDescent="0.25">
      <c r="K877" s="21"/>
    </row>
    <row r="878" spans="11:11" x14ac:dyDescent="0.25">
      <c r="K878" s="21"/>
    </row>
    <row r="879" spans="11:11" x14ac:dyDescent="0.25">
      <c r="K879" s="21"/>
    </row>
    <row r="880" spans="11:11" x14ac:dyDescent="0.25">
      <c r="K880" s="21"/>
    </row>
    <row r="881" spans="11:11" x14ac:dyDescent="0.25">
      <c r="K881" s="21"/>
    </row>
    <row r="882" spans="11:11" x14ac:dyDescent="0.25">
      <c r="K882" s="21"/>
    </row>
    <row r="883" spans="11:11" x14ac:dyDescent="0.25">
      <c r="K883" s="21"/>
    </row>
    <row r="884" spans="11:11" x14ac:dyDescent="0.25">
      <c r="K884" s="21"/>
    </row>
    <row r="885" spans="11:11" x14ac:dyDescent="0.25">
      <c r="K885" s="21"/>
    </row>
    <row r="886" spans="11:11" x14ac:dyDescent="0.25">
      <c r="K886" s="21"/>
    </row>
    <row r="887" spans="11:11" x14ac:dyDescent="0.25">
      <c r="K887" s="21"/>
    </row>
    <row r="888" spans="11:11" x14ac:dyDescent="0.25">
      <c r="K888" s="21"/>
    </row>
    <row r="889" spans="11:11" x14ac:dyDescent="0.25">
      <c r="K889" s="21"/>
    </row>
    <row r="890" spans="11:11" x14ac:dyDescent="0.25">
      <c r="K890" s="21"/>
    </row>
    <row r="891" spans="11:11" x14ac:dyDescent="0.25">
      <c r="K891" s="21"/>
    </row>
    <row r="892" spans="11:11" x14ac:dyDescent="0.25">
      <c r="K892" s="21"/>
    </row>
    <row r="893" spans="11:11" x14ac:dyDescent="0.25">
      <c r="K893" s="21"/>
    </row>
    <row r="894" spans="11:11" x14ac:dyDescent="0.25">
      <c r="K894" s="21"/>
    </row>
    <row r="895" spans="11:11" x14ac:dyDescent="0.25">
      <c r="K895" s="21"/>
    </row>
    <row r="896" spans="11:11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x14ac:dyDescent="0.25">
      <c r="K901" s="21"/>
    </row>
    <row r="902" spans="11:11" x14ac:dyDescent="0.25">
      <c r="K902" s="21"/>
    </row>
    <row r="903" spans="11:11" x14ac:dyDescent="0.25">
      <c r="K903" s="21"/>
    </row>
    <row r="904" spans="11:11" x14ac:dyDescent="0.25">
      <c r="K904" s="21"/>
    </row>
    <row r="905" spans="11:11" x14ac:dyDescent="0.25">
      <c r="K905" s="21"/>
    </row>
    <row r="906" spans="11:11" x14ac:dyDescent="0.25">
      <c r="K906" s="21"/>
    </row>
    <row r="907" spans="11:11" x14ac:dyDescent="0.25">
      <c r="K907" s="21"/>
    </row>
    <row r="908" spans="11:11" x14ac:dyDescent="0.25">
      <c r="K908" s="21"/>
    </row>
    <row r="909" spans="11:11" x14ac:dyDescent="0.25">
      <c r="K909" s="21"/>
    </row>
    <row r="910" spans="11:11" x14ac:dyDescent="0.25">
      <c r="K910" s="21"/>
    </row>
    <row r="911" spans="11:11" x14ac:dyDescent="0.25">
      <c r="K911" s="21"/>
    </row>
    <row r="912" spans="11:11" x14ac:dyDescent="0.25">
      <c r="K912" s="21"/>
    </row>
    <row r="913" spans="11:11" x14ac:dyDescent="0.25">
      <c r="K913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x14ac:dyDescent="0.25">
      <c r="K922" s="21"/>
    </row>
    <row r="923" spans="11:11" x14ac:dyDescent="0.25">
      <c r="K923" s="21"/>
    </row>
    <row r="924" spans="11:11" x14ac:dyDescent="0.25">
      <c r="K924" s="21"/>
    </row>
    <row r="925" spans="11:11" x14ac:dyDescent="0.25">
      <c r="K925" s="21"/>
    </row>
    <row r="926" spans="11:11" x14ac:dyDescent="0.25">
      <c r="K926" s="21"/>
    </row>
    <row r="927" spans="11:11" x14ac:dyDescent="0.25">
      <c r="K927" s="21"/>
    </row>
    <row r="928" spans="11:11" x14ac:dyDescent="0.25">
      <c r="K928" s="21"/>
    </row>
    <row r="929" spans="11:11" x14ac:dyDescent="0.25">
      <c r="K929" s="21"/>
    </row>
    <row r="930" spans="11:11" x14ac:dyDescent="0.25">
      <c r="K930" s="21"/>
    </row>
    <row r="931" spans="11:11" x14ac:dyDescent="0.25">
      <c r="K931" s="21"/>
    </row>
    <row r="932" spans="11:11" x14ac:dyDescent="0.25">
      <c r="K932" s="21"/>
    </row>
    <row r="933" spans="11:11" x14ac:dyDescent="0.25">
      <c r="K933" s="21"/>
    </row>
    <row r="934" spans="11:11" x14ac:dyDescent="0.25">
      <c r="K934" s="21"/>
    </row>
    <row r="935" spans="11:11" x14ac:dyDescent="0.25">
      <c r="K935" s="21"/>
    </row>
    <row r="936" spans="11:11" x14ac:dyDescent="0.25">
      <c r="K936" s="21"/>
    </row>
    <row r="937" spans="11:11" x14ac:dyDescent="0.25">
      <c r="K937" s="21"/>
    </row>
    <row r="938" spans="11:11" x14ac:dyDescent="0.25">
      <c r="K938" s="21"/>
    </row>
    <row r="939" spans="11:11" x14ac:dyDescent="0.25">
      <c r="K939" s="21"/>
    </row>
    <row r="940" spans="11:11" x14ac:dyDescent="0.25">
      <c r="K940" s="21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  <row r="945" spans="11:11" ht="15.75" x14ac:dyDescent="0.25">
      <c r="K945" s="12"/>
    </row>
    <row r="946" spans="11:11" ht="15.75" x14ac:dyDescent="0.25">
      <c r="K946" s="12"/>
    </row>
    <row r="947" spans="11:11" ht="15.75" x14ac:dyDescent="0.25">
      <c r="K947" s="12"/>
    </row>
    <row r="948" spans="11:11" ht="15.75" x14ac:dyDescent="0.25">
      <c r="K948" s="12"/>
    </row>
    <row r="949" spans="11:11" ht="15.75" x14ac:dyDescent="0.25">
      <c r="K949" s="12"/>
    </row>
    <row r="950" spans="11:11" ht="15.75" x14ac:dyDescent="0.25">
      <c r="K950" s="12"/>
    </row>
    <row r="951" spans="11:11" ht="15.75" x14ac:dyDescent="0.25">
      <c r="K951" s="12"/>
    </row>
    <row r="952" spans="11:11" ht="15.75" x14ac:dyDescent="0.25">
      <c r="K952" s="12"/>
    </row>
    <row r="953" spans="11:11" ht="15.75" x14ac:dyDescent="0.25">
      <c r="K953" s="12"/>
    </row>
    <row r="954" spans="11:11" ht="15.75" x14ac:dyDescent="0.25">
      <c r="K954" s="12"/>
    </row>
    <row r="955" spans="11:11" ht="15.75" x14ac:dyDescent="0.25">
      <c r="K955" s="12"/>
    </row>
    <row r="956" spans="11:11" ht="15.75" x14ac:dyDescent="0.25">
      <c r="K956" s="12"/>
    </row>
    <row r="957" spans="11:11" ht="15.75" x14ac:dyDescent="0.25">
      <c r="K957" s="12"/>
    </row>
    <row r="958" spans="11:11" ht="15.75" x14ac:dyDescent="0.25">
      <c r="K958" s="12"/>
    </row>
    <row r="959" spans="11:11" ht="15.75" x14ac:dyDescent="0.25">
      <c r="K959" s="12"/>
    </row>
    <row r="960" spans="11:11" ht="15.75" x14ac:dyDescent="0.25">
      <c r="K960" s="12"/>
    </row>
    <row r="961" spans="11:11" ht="15.75" x14ac:dyDescent="0.25">
      <c r="K961" s="12"/>
    </row>
    <row r="962" spans="11:11" ht="15.75" x14ac:dyDescent="0.25">
      <c r="K962" s="12"/>
    </row>
    <row r="963" spans="11:11" ht="15.75" x14ac:dyDescent="0.25">
      <c r="K963" s="12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ht="15.75" x14ac:dyDescent="0.25">
      <c r="K971" s="12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x14ac:dyDescent="0.25">
      <c r="K990" s="20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ht="15.75" x14ac:dyDescent="0.25">
      <c r="K1013" s="12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ht="15.75" x14ac:dyDescent="0.25">
      <c r="K1023" s="12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5 I765:J765 B765:H768 A767:A796 B768:G770 H769 H770:R770 O771 B771:H784 K771:K784 I772:I794 J773 J775:J784 L777:R790 B777:G795 G785:H788 J785:K791 B789:H790 H791:H793 K791:R832 J792:J794 G794:H794 A795:J795 B796:C796 E796:J798 D796:D801 A797:C801 B799:J805 A802:H803 B802:G824 A804:A849 I805:I827 B806:H806 J806:J813 H807:H813 H813:J815 H816:H823 J816:J827 G824:H824 B825:H826 B826:G831 H827 H828:L828 H829:J829 I829:I835 H830 J830:J835 B830:F839 G831:H831 B832:H834 K832:K836 L833:R834 H835 K835:R835 B835:G839 H836:R837 A838:J838 K838:R852 G839:J839 I839:I845 J840:J845 B840:H846 B843:G849 I846:J846 A850:R850 B847:J850 K861:L862 A851:H851 L853:R860 A852:A860 H858:J860 K852:K857 B852:H857 I851:J857">
    <cfRule type="expression" dxfId="15" priority="20">
      <formula>CELL("row")=ROW()</formula>
    </cfRule>
  </conditionalFormatting>
  <conditionalFormatting sqref="B257:G290 B291:B300 C291:G301">
    <cfRule type="expression" dxfId="14" priority="18">
      <formula>CELL("row")=ROW()</formula>
    </cfRule>
  </conditionalFormatting>
  <conditionalFormatting sqref="B772:G772">
    <cfRule type="expression" dxfId="13" priority="1">
      <formula>CELL("row")=ROW()</formula>
    </cfRule>
  </conditionalFormatting>
  <conditionalFormatting sqref="F398">
    <cfRule type="expression" dxfId="12" priority="13">
      <formula>CELL("row")=ROW()</formula>
    </cfRule>
  </conditionalFormatting>
  <conditionalFormatting sqref="F420">
    <cfRule type="expression" dxfId="11" priority="12">
      <formula>CELL("row")=ROW()</formula>
    </cfRule>
  </conditionalFormatting>
  <conditionalFormatting sqref="F326:G326">
    <cfRule type="expression" dxfId="10" priority="15">
      <formula>CELL("row")=ROW()</formula>
    </cfRule>
  </conditionalFormatting>
  <conditionalFormatting sqref="G266">
    <cfRule type="expression" dxfId="9" priority="17">
      <formula>CELL("row")=ROW()</formula>
    </cfRule>
  </conditionalFormatting>
  <conditionalFormatting sqref="I558">
    <cfRule type="expression" dxfId="8" priority="8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I758:J758 K758:R761 I758:I764 J759:J764 A766:E766 I766:R772 J773:R773 I774:J774 K774:R776 A861:I861 A862:G862 K862:K940">
    <cfRule type="expression" dxfId="7" priority="6">
      <formula>CELL("row")=ROW()</formula>
    </cfRule>
  </conditionalFormatting>
  <conditionalFormatting sqref="K672:K697 K698:L700 L701">
    <cfRule type="expression" dxfId="6" priority="5">
      <formula>CELL("row")=ROW()</formula>
    </cfRule>
  </conditionalFormatting>
  <conditionalFormatting sqref="L532:L535">
    <cfRule type="expression" dxfId="5" priority="10">
      <formula>CELL("row")=ROW()</formula>
    </cfRule>
  </conditionalFormatting>
  <conditionalFormatting sqref="M861:O862">
    <cfRule type="expression" dxfId="4" priority="29">
      <formula>ROW(O93)=HighlightRow</formula>
    </cfRule>
  </conditionalFormatting>
  <conditionalFormatting sqref="N698">
    <cfRule type="expression" dxfId="3" priority="3">
      <formula>CELL("row")=ROW()</formula>
    </cfRule>
  </conditionalFormatting>
  <conditionalFormatting sqref="P861:Q862">
    <cfRule type="expression" dxfId="2" priority="33">
      <formula>ROW(S93)=HighlightRow</formula>
    </cfRule>
  </conditionalFormatting>
  <conditionalFormatting sqref="S105:XFD105">
    <cfRule type="expression" dxfId="1" priority="34">
      <formula>ROW(T94)=HighlightRow</formula>
    </cfRule>
  </conditionalFormatting>
  <conditionalFormatting sqref="S106:XFD114">
    <cfRule type="expression" dxfId="0" priority="31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922" zoomScaleNormal="100" workbookViewId="0">
      <selection activeCell="R943" sqref="R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10683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11127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64"/>
  <sheetViews>
    <sheetView topLeftCell="A539" zoomScaleNormal="100" workbookViewId="0">
      <selection activeCell="E560" sqref="E560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10039</v>
      </c>
      <c r="C402" s="21">
        <v>8660969096</v>
      </c>
      <c r="D402" s="21" t="s">
        <v>10050</v>
      </c>
      <c r="E402" s="21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10030</v>
      </c>
      <c r="C403" s="21">
        <v>9541554947</v>
      </c>
      <c r="D403" s="21" t="s">
        <v>10051</v>
      </c>
      <c r="E403" s="21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10025</v>
      </c>
      <c r="C404" s="21">
        <v>6005336023</v>
      </c>
      <c r="D404" s="21" t="s">
        <v>10052</v>
      </c>
      <c r="E404" s="21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10053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10048</v>
      </c>
      <c r="C406" s="21">
        <v>9906899687</v>
      </c>
      <c r="D406" s="21" t="s">
        <v>10065</v>
      </c>
      <c r="E406" s="21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10037</v>
      </c>
      <c r="C407" s="21">
        <v>6005089007</v>
      </c>
      <c r="D407" s="21" t="s">
        <v>10067</v>
      </c>
      <c r="E407" s="21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10062</v>
      </c>
      <c r="C408" s="21">
        <v>6006239070</v>
      </c>
      <c r="D408" s="21" t="s">
        <v>10068</v>
      </c>
      <c r="E408" s="21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10075</v>
      </c>
      <c r="C409" s="21">
        <v>9622584881</v>
      </c>
      <c r="D409" s="21" t="s">
        <v>10094</v>
      </c>
      <c r="E409" s="21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10078</v>
      </c>
      <c r="C410" s="21">
        <v>9149775608</v>
      </c>
      <c r="D410" s="21" t="s">
        <v>10097</v>
      </c>
      <c r="E410" s="21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10084</v>
      </c>
      <c r="C411" s="21">
        <v>9596342716</v>
      </c>
      <c r="D411" s="21" t="s">
        <v>10098</v>
      </c>
      <c r="E411" s="21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10104</v>
      </c>
      <c r="E412" s="21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10093</v>
      </c>
      <c r="C413" s="21">
        <v>9796113131</v>
      </c>
      <c r="D413" s="21" t="s">
        <v>10105</v>
      </c>
      <c r="E413" s="21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10128</v>
      </c>
      <c r="E414" s="21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10142</v>
      </c>
      <c r="E415" s="21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10137</v>
      </c>
      <c r="C416" s="21"/>
      <c r="D416" s="21" t="s">
        <v>10143</v>
      </c>
      <c r="E416" s="21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10145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10164</v>
      </c>
      <c r="E418" s="21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10120</v>
      </c>
      <c r="C419" s="21">
        <v>9906599599</v>
      </c>
      <c r="D419" s="21" t="s">
        <v>10171</v>
      </c>
      <c r="E419" s="21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10162</v>
      </c>
      <c r="C420" s="21">
        <v>7889536449</v>
      </c>
      <c r="D420" s="21" t="s">
        <v>10172</v>
      </c>
      <c r="E420" s="21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10173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10176</v>
      </c>
      <c r="C422" s="21">
        <v>6005669330</v>
      </c>
      <c r="D422" s="21" t="s">
        <v>10174</v>
      </c>
      <c r="E422" s="21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10150</v>
      </c>
      <c r="C423" s="21">
        <v>6005538221</v>
      </c>
      <c r="D423" s="21" t="s">
        <v>10175</v>
      </c>
      <c r="E423" s="21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10187</v>
      </c>
      <c r="C424" s="21">
        <v>9622844543</v>
      </c>
      <c r="D424" s="21" t="s">
        <v>10192</v>
      </c>
      <c r="E424" s="21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10194</v>
      </c>
      <c r="C425" s="21">
        <v>9797996370</v>
      </c>
      <c r="D425" s="21" t="s">
        <v>10193</v>
      </c>
      <c r="E425" s="21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10184</v>
      </c>
      <c r="C426" s="21">
        <v>7780959516</v>
      </c>
      <c r="D426" s="21" t="s">
        <v>10195</v>
      </c>
      <c r="E426" s="21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10214</v>
      </c>
      <c r="C427" s="21">
        <v>8825098042</v>
      </c>
      <c r="D427" s="21" t="s">
        <v>10215</v>
      </c>
      <c r="E427" s="21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10202</v>
      </c>
      <c r="C428" s="21">
        <v>7889667593</v>
      </c>
      <c r="D428" s="21" t="s">
        <v>10237</v>
      </c>
      <c r="E428" s="21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10238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10239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10240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10241</v>
      </c>
      <c r="E432" s="21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10223</v>
      </c>
      <c r="C433" s="21">
        <v>9797242450</v>
      </c>
      <c r="D433" s="21" t="s">
        <v>10242</v>
      </c>
      <c r="E433" s="21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10213</v>
      </c>
      <c r="C434" s="21">
        <v>9682368636</v>
      </c>
      <c r="D434" s="21" t="s">
        <v>10249</v>
      </c>
      <c r="E434" s="21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10252</v>
      </c>
      <c r="C435" s="21">
        <v>9419274448</v>
      </c>
      <c r="D435" s="21" t="s">
        <v>10265</v>
      </c>
      <c r="E435" s="21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10261</v>
      </c>
      <c r="C436" s="21">
        <v>7006563570</v>
      </c>
      <c r="D436" s="21" t="s">
        <v>10266</v>
      </c>
      <c r="E436" s="21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10291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10274</v>
      </c>
      <c r="C438" s="21">
        <v>8493061512</v>
      </c>
      <c r="D438" s="21" t="s">
        <v>10292</v>
      </c>
      <c r="E438" s="21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10293</v>
      </c>
      <c r="E439" s="21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10277</v>
      </c>
      <c r="C440" s="21">
        <v>7006974580</v>
      </c>
      <c r="D440" s="21" t="s">
        <v>10294</v>
      </c>
      <c r="E440" s="21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10302</v>
      </c>
      <c r="C441" s="21">
        <v>9622793345</v>
      </c>
      <c r="D441" s="21" t="s">
        <v>10311</v>
      </c>
      <c r="E441" s="21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10270</v>
      </c>
      <c r="C442" s="21">
        <v>7780838222</v>
      </c>
      <c r="D442" s="21" t="s">
        <v>10312</v>
      </c>
      <c r="E442" s="21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10310</v>
      </c>
      <c r="C443" s="21">
        <v>7889514057</v>
      </c>
      <c r="D443" s="21" t="s">
        <v>10313</v>
      </c>
      <c r="E443" s="21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10314</v>
      </c>
      <c r="E444" s="21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10306</v>
      </c>
      <c r="C445" s="21">
        <v>9906916201</v>
      </c>
      <c r="D445" s="21" t="s">
        <v>10319</v>
      </c>
      <c r="E445" s="21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10318</v>
      </c>
      <c r="C446" s="21">
        <v>7780813464</v>
      </c>
      <c r="D446" s="21" t="s">
        <v>10321</v>
      </c>
      <c r="E446" s="21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10333</v>
      </c>
      <c r="C447" s="21">
        <v>9906838909</v>
      </c>
      <c r="D447" s="21" t="s">
        <v>10384</v>
      </c>
      <c r="E447" s="21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10343</v>
      </c>
      <c r="C448" s="21">
        <v>9906742075</v>
      </c>
      <c r="D448" s="21" t="s">
        <v>10385</v>
      </c>
      <c r="E448" s="21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10324</v>
      </c>
      <c r="C449" s="21">
        <v>9596304308</v>
      </c>
      <c r="D449" s="21" t="s">
        <v>10386</v>
      </c>
      <c r="E449" s="21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10387</v>
      </c>
      <c r="E450" s="21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10388</v>
      </c>
      <c r="E451" s="21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10366</v>
      </c>
      <c r="C452" s="21">
        <v>9858469144</v>
      </c>
      <c r="D452" s="21" t="s">
        <v>10389</v>
      </c>
      <c r="E452" s="21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10354</v>
      </c>
      <c r="C453" s="21">
        <v>9906005757</v>
      </c>
      <c r="D453" s="21" t="s">
        <v>10390</v>
      </c>
      <c r="E453" s="21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10413</v>
      </c>
      <c r="E454" s="21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10391</v>
      </c>
      <c r="C455" s="21">
        <v>6005066384</v>
      </c>
      <c r="D455" s="21" t="s">
        <v>10414</v>
      </c>
      <c r="E455" s="21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10415</v>
      </c>
      <c r="E456" s="21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10416</v>
      </c>
      <c r="E457" s="21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10436</v>
      </c>
      <c r="E458" s="21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10439</v>
      </c>
      <c r="C459" s="21">
        <v>9682376321</v>
      </c>
      <c r="D459" s="21" t="s">
        <v>10440</v>
      </c>
      <c r="E459" s="21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10441</v>
      </c>
      <c r="E460" s="21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10428</v>
      </c>
      <c r="C461" s="21">
        <v>9596000703</v>
      </c>
      <c r="D461" s="21" t="s">
        <v>10442</v>
      </c>
      <c r="E461" s="21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10434</v>
      </c>
      <c r="C462" s="21">
        <v>9596999599</v>
      </c>
      <c r="D462" s="21" t="s">
        <v>10443</v>
      </c>
      <c r="E462" s="21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10364</v>
      </c>
      <c r="C463" s="21">
        <v>7006471127</v>
      </c>
      <c r="D463" s="21" t="s">
        <v>10444</v>
      </c>
      <c r="E463" s="21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10452</v>
      </c>
      <c r="C464" s="21">
        <v>9797666466</v>
      </c>
      <c r="D464" s="21" t="s">
        <v>10466</v>
      </c>
      <c r="E464" s="21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10424</v>
      </c>
      <c r="C465" s="21">
        <v>7780954751</v>
      </c>
      <c r="D465" s="21" t="s">
        <v>10467</v>
      </c>
      <c r="E465" s="21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10505</v>
      </c>
      <c r="C466" s="21">
        <v>7889743548</v>
      </c>
      <c r="D466" s="21" t="s">
        <v>10489</v>
      </c>
      <c r="E466" s="21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10485</v>
      </c>
      <c r="C467" s="21">
        <v>9622985718</v>
      </c>
      <c r="D467" s="21" t="s">
        <v>10504</v>
      </c>
      <c r="E467" s="21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10507</v>
      </c>
      <c r="E468" s="21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10532</v>
      </c>
      <c r="C469" s="21">
        <v>9682364085</v>
      </c>
      <c r="D469" s="21" t="s">
        <v>10533</v>
      </c>
      <c r="E469" s="21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10528</v>
      </c>
      <c r="C470" s="21">
        <v>9419590065</v>
      </c>
      <c r="D470" s="21" t="s">
        <v>10551</v>
      </c>
      <c r="E470" s="21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10557</v>
      </c>
      <c r="C471" s="21">
        <v>7889456974</v>
      </c>
      <c r="D471" s="21" t="s">
        <v>10558</v>
      </c>
      <c r="E471" s="21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10515</v>
      </c>
      <c r="C472" s="21">
        <v>6005859681</v>
      </c>
      <c r="D472" s="21" t="s">
        <v>10559</v>
      </c>
      <c r="E472" s="21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10463</v>
      </c>
      <c r="C473" s="21">
        <v>9622856758</v>
      </c>
      <c r="D473" s="21" t="s">
        <v>10599</v>
      </c>
      <c r="E473" s="21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10481</v>
      </c>
      <c r="C474" s="21">
        <v>9541581455</v>
      </c>
      <c r="D474" s="21" t="s">
        <v>10600</v>
      </c>
      <c r="E474" s="21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10591</v>
      </c>
      <c r="C475" s="21">
        <v>6006602208</v>
      </c>
      <c r="D475" s="21" t="s">
        <v>10601</v>
      </c>
      <c r="E475" s="21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10585</v>
      </c>
      <c r="C476" s="21">
        <v>9541013033</v>
      </c>
      <c r="D476" s="21" t="s">
        <v>10602</v>
      </c>
      <c r="E476" s="21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10582</v>
      </c>
      <c r="C477" s="21">
        <v>7051749282</v>
      </c>
      <c r="D477" s="21" t="s">
        <v>10603</v>
      </c>
      <c r="E477" s="21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10567</v>
      </c>
      <c r="C478" s="21">
        <v>9541234994</v>
      </c>
      <c r="D478" s="21" t="s">
        <v>10612</v>
      </c>
      <c r="E478" s="21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10606</v>
      </c>
      <c r="C479" s="21">
        <v>7006655788</v>
      </c>
      <c r="D479" s="21" t="s">
        <v>10625</v>
      </c>
      <c r="E479" s="21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10527</v>
      </c>
      <c r="C480" s="21">
        <v>8899923120</v>
      </c>
      <c r="D480" s="21" t="s">
        <v>10628</v>
      </c>
      <c r="E480" s="21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10493</v>
      </c>
      <c r="C481" s="21">
        <v>8825019298</v>
      </c>
      <c r="D481" s="21" t="s">
        <v>10652</v>
      </c>
      <c r="E481" s="21" t="s">
        <v>10627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10632</v>
      </c>
      <c r="C482" s="21">
        <v>7051777629</v>
      </c>
      <c r="D482" s="21" t="s">
        <v>10653</v>
      </c>
      <c r="E482" s="21" t="s">
        <v>10638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10637</v>
      </c>
      <c r="C483" s="21">
        <v>9906260598</v>
      </c>
      <c r="D483" s="21" t="s">
        <v>10658</v>
      </c>
      <c r="E483" s="21" t="s">
        <v>10634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10678</v>
      </c>
      <c r="C484" s="21">
        <v>9971997124</v>
      </c>
      <c r="D484" s="21" t="s">
        <v>10659</v>
      </c>
      <c r="E484" s="21" t="s">
        <v>10651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10622</v>
      </c>
      <c r="C485" s="21">
        <v>9906441078</v>
      </c>
      <c r="D485" s="21" t="s">
        <v>10674</v>
      </c>
      <c r="E485" s="21" t="s">
        <v>10624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10675</v>
      </c>
      <c r="C486" s="21">
        <v>9419002969</v>
      </c>
      <c r="D486" s="21" t="s">
        <v>10676</v>
      </c>
      <c r="E486" s="21" t="s">
        <v>10650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10618</v>
      </c>
      <c r="C487" s="21">
        <v>7006333483</v>
      </c>
      <c r="D487" s="21" t="s">
        <v>10677</v>
      </c>
      <c r="E487" s="21" t="s">
        <v>10623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10644</v>
      </c>
      <c r="C488" s="21">
        <v>9797214183</v>
      </c>
      <c r="D488" s="21" t="s">
        <v>10694</v>
      </c>
      <c r="E488" s="21" t="s">
        <v>10649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10708</v>
      </c>
      <c r="E489" s="21" t="s">
        <v>10698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10687</v>
      </c>
      <c r="C490" s="21">
        <v>7006975068</v>
      </c>
      <c r="D490" s="21" t="s">
        <v>10709</v>
      </c>
      <c r="E490" s="21" t="s">
        <v>10688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10701</v>
      </c>
      <c r="C491" s="21">
        <v>9797979206</v>
      </c>
      <c r="D491" s="21" t="s">
        <v>10711</v>
      </c>
      <c r="E491" s="21" t="s">
        <v>10703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10689</v>
      </c>
      <c r="C492" s="21">
        <v>7889405476</v>
      </c>
      <c r="D492" s="21" t="s">
        <v>10712</v>
      </c>
      <c r="E492" s="21" t="s">
        <v>10690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10706</v>
      </c>
      <c r="C493" s="21">
        <v>8803043296</v>
      </c>
      <c r="D493" s="21" t="s">
        <v>10719</v>
      </c>
      <c r="E493" s="21" t="s">
        <v>10710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10681</v>
      </c>
      <c r="C494" s="21">
        <v>7006036071</v>
      </c>
      <c r="D494" s="21" t="s">
        <v>10732</v>
      </c>
      <c r="E494" s="21" t="s">
        <v>10720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10734</v>
      </c>
      <c r="C495" s="21">
        <v>8825065703</v>
      </c>
      <c r="D495" s="21" t="s">
        <v>10735</v>
      </c>
      <c r="E495" s="21" t="s">
        <v>10728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10724</v>
      </c>
      <c r="C496" s="21">
        <v>8899288728</v>
      </c>
      <c r="D496" s="21" t="s">
        <v>10753</v>
      </c>
      <c r="E496" s="21" t="s">
        <v>10751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10747</v>
      </c>
      <c r="C497" s="21">
        <v>9797984252</v>
      </c>
      <c r="D497" s="21" t="s">
        <v>10768</v>
      </c>
      <c r="E497" s="21" t="s">
        <v>10752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10761</v>
      </c>
      <c r="C498" s="21">
        <v>7889983618</v>
      </c>
      <c r="D498" s="21" t="s">
        <v>10784</v>
      </c>
      <c r="E498" s="21" t="s">
        <v>10767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10805</v>
      </c>
      <c r="C499" s="21">
        <v>9797928475</v>
      </c>
      <c r="D499" s="21" t="s">
        <v>10806</v>
      </c>
      <c r="E499" s="21" t="s">
        <v>10801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10807</v>
      </c>
      <c r="C500" s="21">
        <v>9906598118</v>
      </c>
      <c r="D500" s="21" t="s">
        <v>10808</v>
      </c>
      <c r="E500" s="21" t="s">
        <v>10749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10791</v>
      </c>
      <c r="C501" s="21">
        <v>7006694541</v>
      </c>
      <c r="D501" s="21" t="s">
        <v>10809</v>
      </c>
      <c r="E501" s="21" t="s">
        <v>10802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10782</v>
      </c>
      <c r="C502" s="21">
        <v>8825010525</v>
      </c>
      <c r="D502" s="21" t="s">
        <v>10810</v>
      </c>
      <c r="E502" s="21" t="s">
        <v>10783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10226</v>
      </c>
      <c r="C503" s="21">
        <v>7889390665</v>
      </c>
      <c r="D503" s="21" t="s">
        <v>10834</v>
      </c>
      <c r="E503" s="21" t="s">
        <v>10227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10835</v>
      </c>
      <c r="E504" s="21" t="s">
        <v>10804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10825</v>
      </c>
      <c r="C505" s="21">
        <v>9484057404</v>
      </c>
      <c r="D505" s="21" t="s">
        <v>10836</v>
      </c>
      <c r="E505" s="21" t="s">
        <v>10823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10849</v>
      </c>
      <c r="C506" s="21">
        <v>9796990530</v>
      </c>
      <c r="D506" s="21" t="s">
        <v>10850</v>
      </c>
      <c r="E506" s="21" t="s">
        <v>10934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10813</v>
      </c>
      <c r="C507" s="21">
        <v>6006286690</v>
      </c>
      <c r="D507" s="21" t="s">
        <v>10852</v>
      </c>
      <c r="E507" s="21" t="s">
        <v>10832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10853</v>
      </c>
      <c r="E508" s="21" t="s">
        <v>10831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10829</v>
      </c>
      <c r="C509" s="21">
        <v>7006107410</v>
      </c>
      <c r="D509" s="21" t="s">
        <v>10854</v>
      </c>
      <c r="E509" s="21" t="s">
        <v>10830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10756</v>
      </c>
      <c r="C510" s="21"/>
      <c r="D510" s="21" t="s">
        <v>10856</v>
      </c>
      <c r="E510" s="21" t="s">
        <v>10766</v>
      </c>
      <c r="F510" s="14">
        <v>46162</v>
      </c>
      <c r="G510" s="14" t="s">
        <v>337</v>
      </c>
      <c r="H510" s="12" t="s">
        <v>10857</v>
      </c>
    </row>
    <row r="511" spans="1:8" ht="15.75" x14ac:dyDescent="0.25">
      <c r="A511" s="12">
        <f t="shared" si="7"/>
        <v>509</v>
      </c>
      <c r="B511" s="21" t="s">
        <v>10874</v>
      </c>
      <c r="C511" s="21">
        <v>6005528953</v>
      </c>
      <c r="D511" s="21" t="s">
        <v>10876</v>
      </c>
      <c r="E511" s="21" t="s">
        <v>10875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10860</v>
      </c>
      <c r="C512" s="21">
        <v>6006180214</v>
      </c>
      <c r="D512" s="21" t="s">
        <v>10877</v>
      </c>
      <c r="E512" s="21" t="s">
        <v>10869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10843</v>
      </c>
      <c r="C513" s="21">
        <v>9419766402</v>
      </c>
      <c r="D513" s="21" t="s">
        <v>10878</v>
      </c>
      <c r="E513" s="21" t="s">
        <v>10867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10908</v>
      </c>
      <c r="C514" s="21">
        <v>7006418329</v>
      </c>
      <c r="D514" s="21" t="s">
        <v>10920</v>
      </c>
      <c r="E514" s="21" t="s">
        <v>10915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10611</v>
      </c>
      <c r="C515" s="21">
        <v>7780989757</v>
      </c>
      <c r="D515" s="21" t="s">
        <v>10921</v>
      </c>
      <c r="E515" s="21" t="s">
        <v>10613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10329</v>
      </c>
      <c r="C516" s="21">
        <v>7006832228</v>
      </c>
      <c r="D516" s="21" t="s">
        <v>10922</v>
      </c>
      <c r="E516" s="21" t="s">
        <v>10335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10900</v>
      </c>
      <c r="C517" s="21">
        <v>6005323353</v>
      </c>
      <c r="D517" s="21" t="s">
        <v>10923</v>
      </c>
      <c r="E517" s="21" t="s">
        <v>10904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10924</v>
      </c>
      <c r="C518" s="21">
        <v>7006112317</v>
      </c>
      <c r="D518" s="21" t="s">
        <v>10925</v>
      </c>
      <c r="E518" s="21" t="s">
        <v>10503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64" si="8">ROW()-2</f>
        <v>517</v>
      </c>
      <c r="B519" s="21" t="s">
        <v>10899</v>
      </c>
      <c r="C519" s="21">
        <v>9906564039</v>
      </c>
      <c r="D519" s="21" t="s">
        <v>10931</v>
      </c>
      <c r="E519" s="21" t="s">
        <v>10903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10891</v>
      </c>
      <c r="C520" s="21">
        <v>8825097876</v>
      </c>
      <c r="D520" s="21" t="s">
        <v>10946</v>
      </c>
      <c r="E520" s="21" t="s">
        <v>10919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10890</v>
      </c>
      <c r="C521" s="21">
        <v>9055028530</v>
      </c>
      <c r="D521" s="21" t="s">
        <v>10947</v>
      </c>
      <c r="E521" s="21" t="s">
        <v>10916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10929</v>
      </c>
      <c r="C522" s="21">
        <v>9796979654</v>
      </c>
      <c r="D522" s="21" t="s">
        <v>10948</v>
      </c>
      <c r="E522" s="21" t="s">
        <v>10935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10889</v>
      </c>
      <c r="C523" s="21">
        <v>9103686998</v>
      </c>
      <c r="D523" s="21" t="s">
        <v>10949</v>
      </c>
      <c r="E523" s="21" t="s">
        <v>10917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10892</v>
      </c>
      <c r="C524" s="21">
        <v>9149773196</v>
      </c>
      <c r="D524" s="21" t="s">
        <v>10950</v>
      </c>
      <c r="E524" s="21" t="s">
        <v>10918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10965</v>
      </c>
      <c r="C525" s="21">
        <v>9682167032</v>
      </c>
      <c r="D525" s="21" t="s">
        <v>10976</v>
      </c>
      <c r="E525" s="21" t="s">
        <v>10968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10939</v>
      </c>
      <c r="C526" s="21">
        <v>7006256901</v>
      </c>
      <c r="D526" s="21" t="s">
        <v>10977</v>
      </c>
      <c r="E526" s="21" t="s">
        <v>10945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10961</v>
      </c>
      <c r="C527" s="21">
        <v>7889540230</v>
      </c>
      <c r="D527" s="21" t="s">
        <v>10978</v>
      </c>
      <c r="E527" s="21" t="s">
        <v>10967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10954</v>
      </c>
      <c r="C528" s="21">
        <v>8825062872</v>
      </c>
      <c r="D528" s="21" t="s">
        <v>11050</v>
      </c>
      <c r="E528" s="21" t="s">
        <v>10969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11004</v>
      </c>
      <c r="C529" s="21">
        <v>9596263355</v>
      </c>
      <c r="D529" s="21" t="s">
        <v>11051</v>
      </c>
      <c r="E529" s="21" t="s">
        <v>11011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11000</v>
      </c>
      <c r="C530" s="21">
        <v>9682555158</v>
      </c>
      <c r="D530" s="21" t="s">
        <v>11052</v>
      </c>
      <c r="E530" s="21" t="s">
        <v>11013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10820</v>
      </c>
      <c r="C531" s="21">
        <v>8493839221</v>
      </c>
      <c r="D531" s="21" t="s">
        <v>11053</v>
      </c>
      <c r="E531" s="21" t="s">
        <v>10981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11042</v>
      </c>
      <c r="C532" s="21">
        <v>7006893741</v>
      </c>
      <c r="D532" s="21" t="s">
        <v>11054</v>
      </c>
      <c r="E532" s="21" t="s">
        <v>11043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11026</v>
      </c>
      <c r="C533" s="21">
        <v>8825051434</v>
      </c>
      <c r="D533" s="21" t="s">
        <v>11055</v>
      </c>
      <c r="E533" s="21" t="s">
        <v>11027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11056</v>
      </c>
      <c r="E534" s="21" t="s">
        <v>11029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11057</v>
      </c>
      <c r="C535" s="21">
        <v>7006180324</v>
      </c>
      <c r="D535" s="21" t="s">
        <v>11058</v>
      </c>
      <c r="E535" s="21" t="s">
        <v>11012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11006</v>
      </c>
      <c r="C536" s="21">
        <v>7889461451</v>
      </c>
      <c r="D536" s="21" t="s">
        <v>11059</v>
      </c>
      <c r="E536" s="21" t="s">
        <v>11014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11039</v>
      </c>
      <c r="C537" s="21">
        <v>9596577125</v>
      </c>
      <c r="D537" s="21" t="s">
        <v>11064</v>
      </c>
      <c r="E537" s="21" t="s">
        <v>11048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11044</v>
      </c>
      <c r="C538" s="21">
        <v>6006124106</v>
      </c>
      <c r="D538" s="21" t="s">
        <v>11066</v>
      </c>
      <c r="E538" s="21" t="s">
        <v>11049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10984</v>
      </c>
      <c r="C539" s="21">
        <v>9858414762</v>
      </c>
      <c r="D539" s="21" t="s">
        <v>11072</v>
      </c>
      <c r="E539" s="21" t="s">
        <v>10992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11063</v>
      </c>
      <c r="C540" s="21">
        <v>7780954780</v>
      </c>
      <c r="D540" s="21" t="s">
        <v>11073</v>
      </c>
      <c r="E540" s="21" t="s">
        <v>11065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11070</v>
      </c>
      <c r="C541" s="21">
        <v>7889312502</v>
      </c>
      <c r="D541" s="21" t="s">
        <v>11071</v>
      </c>
      <c r="E541" s="21" t="s">
        <v>11028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11085</v>
      </c>
      <c r="E542" s="21" t="s">
        <v>11084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11102</v>
      </c>
      <c r="C543" s="21">
        <v>9622566678</v>
      </c>
      <c r="D543" s="21" t="s">
        <v>11121</v>
      </c>
      <c r="E543" s="21" t="s">
        <v>11112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11126</v>
      </c>
      <c r="C544" s="21">
        <v>7051636983</v>
      </c>
      <c r="D544" s="21" t="s">
        <v>11129</v>
      </c>
      <c r="E544" s="21" t="s">
        <v>11124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11089</v>
      </c>
      <c r="C545" s="21">
        <v>8899693028</v>
      </c>
      <c r="D545" s="21" t="s">
        <v>11136</v>
      </c>
      <c r="E545" s="21" t="s">
        <v>11090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11104</v>
      </c>
      <c r="C546" s="21">
        <v>9596300301</v>
      </c>
      <c r="D546" s="21" t="s">
        <v>11137</v>
      </c>
      <c r="E546" s="21" t="s">
        <v>11111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11132</v>
      </c>
      <c r="C547" s="21">
        <v>9596422011</v>
      </c>
      <c r="D547" s="21" t="s">
        <v>11138</v>
      </c>
      <c r="E547" s="21" t="s">
        <v>11135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10078</v>
      </c>
      <c r="C548" s="21">
        <v>9596522616</v>
      </c>
      <c r="D548" s="21" t="s">
        <v>11171</v>
      </c>
      <c r="E548" s="21" t="s">
        <v>11164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11158</v>
      </c>
      <c r="C549" s="21">
        <v>7006471404</v>
      </c>
      <c r="D549" s="21" t="s">
        <v>11172</v>
      </c>
      <c r="E549" s="21" t="s">
        <v>11159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11141</v>
      </c>
      <c r="C550" s="21">
        <v>7889943024</v>
      </c>
      <c r="D550" s="21" t="s">
        <v>11173</v>
      </c>
      <c r="E550" s="21" t="s">
        <v>11143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11147</v>
      </c>
      <c r="C551" s="21">
        <v>7006213927</v>
      </c>
      <c r="D551" s="21" t="s">
        <v>11174</v>
      </c>
      <c r="E551" s="21" t="s">
        <v>11162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11182</v>
      </c>
      <c r="C552" s="21">
        <v>7006626147</v>
      </c>
      <c r="D552" s="21" t="s">
        <v>11185</v>
      </c>
      <c r="E552" s="21" t="s">
        <v>11184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11208</v>
      </c>
      <c r="C553" s="21">
        <v>9906216462</v>
      </c>
      <c r="D553" s="21" t="s">
        <v>11209</v>
      </c>
      <c r="E553" s="21" t="s">
        <v>11210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11193</v>
      </c>
      <c r="C554" s="21"/>
      <c r="D554" s="21" t="s">
        <v>11211</v>
      </c>
      <c r="E554" s="21" t="s">
        <v>11197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11189</v>
      </c>
      <c r="C555" s="21">
        <v>7889775854</v>
      </c>
      <c r="D555" s="21" t="s">
        <v>11212</v>
      </c>
      <c r="E555" s="21" t="s">
        <v>11196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11254</v>
      </c>
      <c r="C556" s="21">
        <v>7006012723</v>
      </c>
      <c r="D556" s="21" t="s">
        <v>11250</v>
      </c>
      <c r="E556" s="21" t="s">
        <v>11248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11215</v>
      </c>
      <c r="C557" s="21">
        <v>7006462336</v>
      </c>
      <c r="D557" s="21" t="s">
        <v>11251</v>
      </c>
      <c r="E557" s="21" t="s">
        <v>11222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11226</v>
      </c>
      <c r="C558" s="21">
        <v>7006510242</v>
      </c>
      <c r="D558" s="21" t="s">
        <v>11252</v>
      </c>
      <c r="E558" s="21" t="s">
        <v>11238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11253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11247</v>
      </c>
      <c r="C560" s="21">
        <v>9906265335</v>
      </c>
      <c r="D560" s="21" t="s">
        <v>11256</v>
      </c>
      <c r="E560" s="21" t="s">
        <v>11249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12"/>
      <c r="C561" s="12"/>
      <c r="D561" s="12"/>
      <c r="E561" s="12"/>
      <c r="F561" s="14"/>
      <c r="G561" s="14"/>
      <c r="H561" s="12"/>
    </row>
    <row r="562" spans="1:8" ht="15.75" x14ac:dyDescent="0.25">
      <c r="A562" s="12">
        <f t="shared" si="8"/>
        <v>560</v>
      </c>
      <c r="B562" s="12"/>
      <c r="C562" s="12"/>
      <c r="D562" s="12"/>
      <c r="E562" s="12"/>
      <c r="F562" s="14"/>
      <c r="G562" s="14"/>
      <c r="H562" s="12"/>
    </row>
    <row r="563" spans="1:8" ht="15.75" x14ac:dyDescent="0.25">
      <c r="A563" s="12">
        <f t="shared" si="8"/>
        <v>561</v>
      </c>
      <c r="B563" s="12"/>
      <c r="C563" s="12"/>
      <c r="D563" s="12"/>
      <c r="E563" s="12"/>
      <c r="F563" s="14"/>
      <c r="G563" s="14"/>
      <c r="H563" s="12"/>
    </row>
    <row r="564" spans="1:8" ht="15.75" x14ac:dyDescent="0.25">
      <c r="A564" s="12">
        <f t="shared" si="8"/>
        <v>562</v>
      </c>
      <c r="B564" s="12"/>
      <c r="C564" s="12"/>
      <c r="D564" s="12"/>
      <c r="E564" s="12"/>
      <c r="F564" s="14"/>
      <c r="G564" s="14"/>
      <c r="H564" s="12"/>
    </row>
  </sheetData>
  <mergeCells count="1">
    <mergeCell ref="A1:H1"/>
  </mergeCells>
  <phoneticPr fontId="26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</sheetPr>
  <dimension ref="A1:I9"/>
  <sheetViews>
    <sheetView workbookViewId="0">
      <selection activeCell="F22" sqref="F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9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1"/>
      <c r="C8" s="21"/>
      <c r="D8" s="21"/>
      <c r="E8" s="21"/>
      <c r="F8" s="21"/>
      <c r="G8" s="21"/>
      <c r="H8" s="21"/>
      <c r="I8" s="21"/>
    </row>
    <row r="9" spans="1:9" x14ac:dyDescent="0.25">
      <c r="A9" s="21">
        <f t="shared" si="0"/>
        <v>7</v>
      </c>
      <c r="B9" s="21"/>
      <c r="C9" s="21"/>
      <c r="D9" s="21"/>
      <c r="E9" s="21"/>
      <c r="F9" s="21"/>
      <c r="G9" s="21"/>
      <c r="H9" s="21"/>
      <c r="I9" s="21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10713</v>
      </c>
      <c r="B1" s="51"/>
      <c r="C1" s="42"/>
      <c r="D1" s="36"/>
    </row>
    <row r="2" spans="1:6" ht="23.25" x14ac:dyDescent="0.35">
      <c r="A2" s="52" t="s">
        <v>10714</v>
      </c>
      <c r="B2" s="52"/>
      <c r="C2" s="41"/>
    </row>
    <row r="3" spans="1:6" ht="23.25" x14ac:dyDescent="0.35">
      <c r="A3" s="41" t="s">
        <v>10715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10718</v>
      </c>
      <c r="B5" s="43">
        <f>85+9</f>
        <v>94</v>
      </c>
      <c r="C5" s="41"/>
    </row>
    <row r="6" spans="1:6" ht="23.25" x14ac:dyDescent="0.35">
      <c r="A6" s="41" t="s">
        <v>10716</v>
      </c>
      <c r="B6" s="43">
        <v>159</v>
      </c>
      <c r="C6" s="41"/>
    </row>
    <row r="7" spans="1:6" ht="23.25" x14ac:dyDescent="0.35">
      <c r="A7" s="41" t="s">
        <v>10717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2026-06-12T12:27:49Z</dcterms:modified>
</cp:coreProperties>
</file>