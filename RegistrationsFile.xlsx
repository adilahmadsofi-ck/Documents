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E1C2DFC-4181-42DF-96B1-8181D82F9828}" xr6:coauthVersionLast="47" xr6:coauthVersionMax="47" xr10:uidLastSave="{00000000-0000-0000-0000-000000000000}"/>
  <bookViews>
    <workbookView xWindow="-120" yWindow="-120" windowWidth="24240" windowHeight="13020" tabRatio="449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5" i="4"/>
  <c r="H866" i="4"/>
  <c r="A861" i="4"/>
  <c r="A862" i="4"/>
  <c r="A863" i="4"/>
  <c r="A864" i="4"/>
  <c r="A865" i="4"/>
  <c r="A866" i="4"/>
  <c r="A561" i="7" l="1"/>
  <c r="A562" i="7"/>
  <c r="A563" i="7"/>
  <c r="A564" i="7"/>
  <c r="H855" i="4"/>
  <c r="H856" i="4"/>
  <c r="H857" i="4"/>
  <c r="H858" i="4"/>
  <c r="H859" i="4"/>
  <c r="H860" i="4"/>
  <c r="A855" i="4"/>
  <c r="A856" i="4"/>
  <c r="A857" i="4"/>
  <c r="A858" i="4"/>
  <c r="A859" i="4"/>
  <c r="A860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<sst xmlns="http://schemas.openxmlformats.org/spreadsheetml/2006/main" count="28121" uniqueCount="11306">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</sst>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66" totalsRowShown="0" headerRowDxfId="82" dataDxfId="81">
  <autoFilter ref="A1:R866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3" totalsRowShown="0" headerRowDxfId="37" dataDxfId="36">
  <autoFilter ref="A2:H57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7" dataDxfId="26">
  <autoFilter ref="A2:I9" xr:uid="{74ED0DA7-B29F-4043-B63E-2DC322D6021E}"/>
  <tableColumns count="9">
    <tableColumn id="1" xr3:uid="{245016D5-DEB3-4F3E-B449-3096C2EF947B}" name="S.No." dataDxfId="25">
      <calculatedColumnFormula>ROW()-2</calculatedColumnFormula>
    </tableColumn>
    <tableColumn id="2" xr3:uid="{77ED4F47-8FDC-4F18-AB35-3830D899313B}" name="Dated" dataDxfId="24"/>
    <tableColumn id="3" xr3:uid="{67393A8B-58A2-4A4E-AA68-362B9B4F4E28}" name="Vehicle Num." dataDxfId="23"/>
    <tableColumn id="4" xr3:uid="{2C031EFD-E44B-468B-BEF0-3C97412F5E2E}" name="Name" dataDxfId="22"/>
    <tableColumn id="5" xr3:uid="{73873638-799E-44F5-B857-93DAE5E0F2FF}" name="Payment Mode" dataDxfId="21"/>
    <tableColumn id="6" xr3:uid="{BFB6E8F7-43C7-4B39-8FF0-E41A5EA5B2D3}" name="Trans Id." dataDxfId="20"/>
    <tableColumn id="8" xr3:uid="{3B1BF0B9-13BC-4A4E-B215-A3056576D199}" name="Trans. Date" dataDxfId="19"/>
    <tableColumn id="9" xr3:uid="{F64CF3FC-8352-46AE-80D1-01DDCE0247AC}" name="Amount" dataDxfId="18"/>
    <tableColumn id="7" xr3:uid="{22AF1F96-D5EA-48BA-A958-A42C203B5287}" name="Remark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34"/>
  <sheetViews>
    <sheetView topLeftCell="A847" zoomScaleNormal="100" workbookViewId="0">
      <selection activeCell="E863" sqref="E86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10869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10467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10882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11301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10281</v>
      </c>
      <c r="C698" s="21" t="s">
        <v>10282</v>
      </c>
      <c r="D698" s="21" t="s">
        <v>10283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10284</v>
      </c>
      <c r="J698" s="22">
        <v>46140</v>
      </c>
      <c r="K698" s="21">
        <v>9797183691</v>
      </c>
      <c r="L698" s="21" t="s">
        <v>9241</v>
      </c>
      <c r="M698" s="23" t="s">
        <v>10468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10325</v>
      </c>
      <c r="C705" s="21" t="s">
        <v>10326</v>
      </c>
      <c r="D705" s="21" t="s">
        <v>10327</v>
      </c>
      <c r="E705" s="21" t="s">
        <v>10328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10334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10772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10455</v>
      </c>
      <c r="C728" s="21" t="s">
        <v>10456</v>
      </c>
      <c r="D728" s="21" t="s">
        <v>10457</v>
      </c>
      <c r="E728" s="21" t="s">
        <v>10458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10464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11185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10772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10772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10498</v>
      </c>
      <c r="C735" s="21" t="s">
        <v>10499</v>
      </c>
      <c r="D735" s="21" t="s">
        <v>10500</v>
      </c>
      <c r="E735" s="21" t="s">
        <v>10501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10502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10774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10772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10772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11118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10607</v>
      </c>
      <c r="C753" s="21" t="s">
        <v>10608</v>
      </c>
      <c r="D753" s="21" t="s">
        <v>10609</v>
      </c>
      <c r="E753" s="21" t="s">
        <v>10610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10612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10970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10772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10772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11068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10772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10854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11066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10773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10778</v>
      </c>
      <c r="C781" s="21" t="s">
        <v>10779</v>
      </c>
      <c r="D781" s="21" t="s">
        <v>10780</v>
      </c>
      <c r="E781" s="21" t="s">
        <v>10781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10782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10775</v>
      </c>
      <c r="C782" s="21" t="s">
        <v>10776</v>
      </c>
      <c r="D782" s="21" t="s">
        <v>10777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10799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10784</v>
      </c>
      <c r="C783" s="21" t="s">
        <v>10785</v>
      </c>
      <c r="D783" s="21" t="s">
        <v>10786</v>
      </c>
      <c r="E783" s="21" t="s">
        <v>10787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10800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10791</v>
      </c>
      <c r="C784" s="21" t="s">
        <v>10788</v>
      </c>
      <c r="D784" s="21" t="s">
        <v>10789</v>
      </c>
      <c r="E784" s="21" t="s">
        <v>10790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10801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10792</v>
      </c>
      <c r="C785" s="21" t="s">
        <v>10793</v>
      </c>
      <c r="D785" s="21" t="s">
        <v>10794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10803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10795</v>
      </c>
      <c r="C786" s="21" t="s">
        <v>10796</v>
      </c>
      <c r="D786" s="21" t="s">
        <v>10797</v>
      </c>
      <c r="E786" s="21" t="s">
        <v>10798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10802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10813</v>
      </c>
      <c r="C787" s="21" t="s">
        <v>10810</v>
      </c>
      <c r="D787" s="21" t="s">
        <v>10811</v>
      </c>
      <c r="E787" s="21" t="s">
        <v>10812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10831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10816</v>
      </c>
      <c r="C788" s="21" t="s">
        <v>10814</v>
      </c>
      <c r="D788" s="21" t="s">
        <v>10815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10830</v>
      </c>
      <c r="J788" s="22">
        <v>46164</v>
      </c>
      <c r="K788" s="21">
        <v>9906666238</v>
      </c>
      <c r="L788" s="21" t="s">
        <v>68</v>
      </c>
      <c r="M788" s="23" t="s">
        <v>10989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10825</v>
      </c>
      <c r="C789" s="21" t="s">
        <v>10826</v>
      </c>
      <c r="D789" s="21" t="s">
        <v>10827</v>
      </c>
      <c r="E789" s="21" t="s">
        <v>10828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10829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10821</v>
      </c>
      <c r="C790" s="21" t="s">
        <v>10822</v>
      </c>
      <c r="D790" s="21" t="s">
        <v>10823</v>
      </c>
      <c r="E790" s="21" t="s">
        <v>10824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10832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10843</v>
      </c>
      <c r="C791" s="21" t="s">
        <v>10840</v>
      </c>
      <c r="D791" s="21" t="s">
        <v>10841</v>
      </c>
      <c r="E791" s="21" t="s">
        <v>10842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10866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10844</v>
      </c>
      <c r="C792" s="21" t="s">
        <v>10845</v>
      </c>
      <c r="D792" s="21" t="s">
        <v>10846</v>
      </c>
      <c r="E792" s="21" t="s">
        <v>10847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10865</v>
      </c>
      <c r="J792" s="22">
        <v>46164</v>
      </c>
      <c r="K792" s="21">
        <v>9797964101</v>
      </c>
      <c r="L792" s="21" t="s">
        <v>7689</v>
      </c>
      <c r="M792" s="23" t="s">
        <v>11067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10860</v>
      </c>
      <c r="C793" s="21" t="s">
        <v>10857</v>
      </c>
      <c r="D793" s="21" t="s">
        <v>10858</v>
      </c>
      <c r="E793" s="21" t="s">
        <v>10859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10868</v>
      </c>
      <c r="J793" s="22">
        <v>46165</v>
      </c>
      <c r="K793" s="21">
        <v>6006180214</v>
      </c>
      <c r="L793" s="21" t="s">
        <v>434</v>
      </c>
      <c r="M793" s="23" t="s">
        <v>11085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10861</v>
      </c>
      <c r="C794" s="21" t="s">
        <v>10862</v>
      </c>
      <c r="D794" s="21" t="s">
        <v>10863</v>
      </c>
      <c r="E794" s="21" t="s">
        <v>10864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10867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10870</v>
      </c>
      <c r="C795" s="21" t="s">
        <v>10871</v>
      </c>
      <c r="D795" s="21" t="s">
        <v>10872</v>
      </c>
      <c r="E795" s="21" t="s">
        <v>10873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10874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10881</v>
      </c>
      <c r="C796" s="21" t="s">
        <v>10879</v>
      </c>
      <c r="D796" s="21" t="s">
        <v>10880</v>
      </c>
      <c r="E796" s="21" t="s">
        <v>10878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10883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10900</v>
      </c>
      <c r="C797" s="21" t="s">
        <v>10896</v>
      </c>
      <c r="D797" s="21" t="s">
        <v>10911</v>
      </c>
      <c r="E797" s="21" t="s">
        <v>10898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10902</v>
      </c>
      <c r="J797" s="22">
        <v>46167</v>
      </c>
      <c r="K797" s="21">
        <v>9906564039</v>
      </c>
      <c r="L797" s="21" t="s">
        <v>10929</v>
      </c>
      <c r="M797" s="23" t="s">
        <v>11119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10901</v>
      </c>
      <c r="C798" s="21" t="s">
        <v>10897</v>
      </c>
      <c r="D798" s="21" t="s">
        <v>10912</v>
      </c>
      <c r="E798" s="21" t="s">
        <v>10899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10903</v>
      </c>
      <c r="J798" s="22">
        <v>46167</v>
      </c>
      <c r="K798" s="21">
        <v>6005323353</v>
      </c>
      <c r="L798" s="21" t="s">
        <v>73</v>
      </c>
      <c r="M798" s="23" t="s">
        <v>11168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10904</v>
      </c>
      <c r="C799" s="21" t="s">
        <v>10905</v>
      </c>
      <c r="D799" s="21" t="s">
        <v>10906</v>
      </c>
      <c r="E799" s="21" t="s">
        <v>10907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10914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10892</v>
      </c>
      <c r="C800" s="21" t="s">
        <v>10884</v>
      </c>
      <c r="D800" s="21" t="s">
        <v>10909</v>
      </c>
      <c r="E800" s="21" t="s">
        <v>10888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10916</v>
      </c>
      <c r="J800" s="22">
        <v>46167</v>
      </c>
      <c r="K800" s="21">
        <v>7889479226</v>
      </c>
      <c r="L800" s="21" t="s">
        <v>26</v>
      </c>
      <c r="M800" s="23" t="s">
        <v>10996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10893</v>
      </c>
      <c r="C801" s="21" t="s">
        <v>10885</v>
      </c>
      <c r="D801" s="21" t="s">
        <v>10910</v>
      </c>
      <c r="E801" s="21" t="s">
        <v>10889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10915</v>
      </c>
      <c r="J801" s="22">
        <v>46167</v>
      </c>
      <c r="K801" s="21">
        <v>9055028530</v>
      </c>
      <c r="L801" s="21" t="s">
        <v>68</v>
      </c>
      <c r="M801" s="23" t="s">
        <v>11117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10894</v>
      </c>
      <c r="C802" s="21" t="s">
        <v>10886</v>
      </c>
      <c r="D802" s="21" t="s">
        <v>10908</v>
      </c>
      <c r="E802" s="21" t="s">
        <v>10890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10918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10895</v>
      </c>
      <c r="C803" s="21" t="s">
        <v>10887</v>
      </c>
      <c r="D803" s="21" t="s">
        <v>10913</v>
      </c>
      <c r="E803" s="21" t="s">
        <v>10891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10917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10925</v>
      </c>
      <c r="C804" s="21" t="s">
        <v>10926</v>
      </c>
      <c r="D804" s="21" t="s">
        <v>10927</v>
      </c>
      <c r="E804" s="21" t="s">
        <v>10928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10934</v>
      </c>
      <c r="J804" s="22">
        <v>46167</v>
      </c>
      <c r="K804" s="21">
        <v>7051923420</v>
      </c>
      <c r="L804" s="21" t="s">
        <v>10242</v>
      </c>
      <c r="M804" s="23" t="s">
        <v>11285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10931</v>
      </c>
      <c r="C805" s="21" t="s">
        <v>10850</v>
      </c>
      <c r="D805" s="21" t="s">
        <v>10932</v>
      </c>
      <c r="E805" s="21" t="s">
        <v>10848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10933</v>
      </c>
      <c r="J805" s="22">
        <v>46167</v>
      </c>
      <c r="K805" s="21">
        <v>9796990530</v>
      </c>
      <c r="L805" s="21" t="s">
        <v>73</v>
      </c>
      <c r="M805" s="23" t="s">
        <v>10978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10935</v>
      </c>
      <c r="C806" s="21" t="s">
        <v>10936</v>
      </c>
      <c r="D806" s="21" t="s">
        <v>10937</v>
      </c>
      <c r="E806" s="21" t="s">
        <v>10938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10944</v>
      </c>
      <c r="J806" s="22">
        <v>46168</v>
      </c>
      <c r="K806" s="21">
        <v>7006256901</v>
      </c>
      <c r="L806" s="21" t="s">
        <v>10242</v>
      </c>
      <c r="M806" s="23" t="s">
        <v>11169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10939</v>
      </c>
      <c r="C807" s="21" t="s">
        <v>10940</v>
      </c>
      <c r="D807" s="21" t="s">
        <v>10941</v>
      </c>
      <c r="E807" s="21" t="s">
        <v>10942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10943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10950</v>
      </c>
      <c r="C808" s="21" t="s">
        <v>10951</v>
      </c>
      <c r="D808" s="21" t="s">
        <v>10952</v>
      </c>
      <c r="E808" s="21" t="s">
        <v>10953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10968</v>
      </c>
      <c r="J808" s="22">
        <v>46168</v>
      </c>
      <c r="K808" s="21">
        <v>8825062872</v>
      </c>
      <c r="L808" s="21" t="s">
        <v>10162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10954</v>
      </c>
      <c r="C809" s="21" t="s">
        <v>10955</v>
      </c>
      <c r="D809" s="21" t="s">
        <v>10956</v>
      </c>
      <c r="E809" s="21" t="s">
        <v>10957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10969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10958</v>
      </c>
      <c r="C810" s="21" t="s">
        <v>10965</v>
      </c>
      <c r="D810" s="21" t="s">
        <v>10959</v>
      </c>
      <c r="E810" s="21" t="s">
        <v>10960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10966</v>
      </c>
      <c r="J810" s="22">
        <v>46168</v>
      </c>
      <c r="K810" s="21">
        <v>7889540230</v>
      </c>
      <c r="L810" s="21" t="s">
        <v>10242</v>
      </c>
      <c r="M810" s="23" t="s">
        <v>11169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10961</v>
      </c>
      <c r="C811" s="21" t="s">
        <v>10962</v>
      </c>
      <c r="D811" s="21" t="s">
        <v>10963</v>
      </c>
      <c r="E811" s="21" t="s">
        <v>10964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10967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10971</v>
      </c>
      <c r="C812" s="21" t="s">
        <v>10972</v>
      </c>
      <c r="D812" s="21" t="s">
        <v>10973</v>
      </c>
      <c r="E812" s="21" t="s">
        <v>10974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10979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10820</v>
      </c>
      <c r="C813" s="21" t="s">
        <v>10817</v>
      </c>
      <c r="D813" s="21" t="s">
        <v>10818</v>
      </c>
      <c r="E813" s="21" t="s">
        <v>10819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10980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10984</v>
      </c>
      <c r="C814" s="21" t="s">
        <v>10981</v>
      </c>
      <c r="D814" s="21" t="s">
        <v>10982</v>
      </c>
      <c r="E814" s="21" t="s">
        <v>10983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10991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10985</v>
      </c>
      <c r="D815" s="21" t="s">
        <v>10987</v>
      </c>
      <c r="E815" s="21" t="s">
        <v>10988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10990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10992</v>
      </c>
      <c r="C816" s="21" t="s">
        <v>10993</v>
      </c>
      <c r="D816" s="21" t="s">
        <v>10994</v>
      </c>
      <c r="E816" s="21" t="s">
        <v>10995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11011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11000</v>
      </c>
      <c r="C817" s="21" t="s">
        <v>10997</v>
      </c>
      <c r="D817" s="21" t="s">
        <v>10998</v>
      </c>
      <c r="E817" s="21" t="s">
        <v>10999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11012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11004</v>
      </c>
      <c r="C818" s="21" t="s">
        <v>11001</v>
      </c>
      <c r="D818" s="21" t="s">
        <v>11002</v>
      </c>
      <c r="E818" s="21" t="s">
        <v>11003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11010</v>
      </c>
      <c r="J818" s="22">
        <v>46172</v>
      </c>
      <c r="K818" s="21">
        <v>9596263355</v>
      </c>
      <c r="L818" s="21" t="s">
        <v>10242</v>
      </c>
      <c r="M818" s="23" t="s">
        <v>11082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11009</v>
      </c>
      <c r="C819" s="21" t="s">
        <v>11006</v>
      </c>
      <c r="D819" s="21" t="s">
        <v>11007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11013</v>
      </c>
      <c r="J819" s="22">
        <v>46172</v>
      </c>
      <c r="K819" s="21">
        <v>7889461451</v>
      </c>
      <c r="L819" s="21" t="s">
        <v>11008</v>
      </c>
      <c r="M819" s="23" t="s">
        <v>11121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11017</v>
      </c>
      <c r="C820" s="21" t="s">
        <v>11014</v>
      </c>
      <c r="D820" s="21" t="s">
        <v>11015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11028</v>
      </c>
      <c r="J820" s="22">
        <v>46172</v>
      </c>
      <c r="K820" s="21">
        <v>7298499896</v>
      </c>
      <c r="L820" s="21" t="s">
        <v>11016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11018</v>
      </c>
      <c r="C821" s="21" t="s">
        <v>11019</v>
      </c>
      <c r="D821" s="21" t="s">
        <v>11020</v>
      </c>
      <c r="E821" s="21" t="s">
        <v>11021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11027</v>
      </c>
      <c r="J821" s="22">
        <v>46172</v>
      </c>
      <c r="K821" s="21">
        <v>7889312502</v>
      </c>
      <c r="L821" s="21" t="s">
        <v>9241</v>
      </c>
      <c r="M821" s="23" t="s">
        <v>11254</v>
      </c>
      <c r="N821" s="22">
        <v>46185</v>
      </c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11022</v>
      </c>
      <c r="C822" s="21" t="s">
        <v>11023</v>
      </c>
      <c r="D822" s="21" t="s">
        <v>11024</v>
      </c>
      <c r="E822" s="21" t="s">
        <v>11025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11026</v>
      </c>
      <c r="J822" s="22">
        <v>46172</v>
      </c>
      <c r="K822" s="21">
        <v>8825051434</v>
      </c>
      <c r="L822" s="21" t="s">
        <v>11077</v>
      </c>
      <c r="M822" s="23" t="s">
        <v>11167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11029</v>
      </c>
      <c r="C823" s="21" t="s">
        <v>11030</v>
      </c>
      <c r="D823" s="21" t="s">
        <v>11031</v>
      </c>
      <c r="E823" s="21" t="s">
        <v>11032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11034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11033</v>
      </c>
      <c r="C824" s="21" t="s">
        <v>11039</v>
      </c>
      <c r="D824" s="21" t="s">
        <v>11040</v>
      </c>
      <c r="E824" s="21" t="s">
        <v>11041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11042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11036</v>
      </c>
      <c r="D825" s="21" t="s">
        <v>11037</v>
      </c>
      <c r="E825" s="21" t="s">
        <v>11038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11047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11046</v>
      </c>
      <c r="C826" s="21" t="s">
        <v>11044</v>
      </c>
      <c r="D826" s="21" t="s">
        <v>11045</v>
      </c>
      <c r="E826" s="21" t="s">
        <v>11043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11048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11059</v>
      </c>
      <c r="C827" s="21" t="s">
        <v>11060</v>
      </c>
      <c r="D827" s="21" t="s">
        <v>11061</v>
      </c>
      <c r="E827" s="21" t="s">
        <v>11062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11064</v>
      </c>
      <c r="J827" s="22">
        <v>46173</v>
      </c>
      <c r="K827" s="21">
        <v>7780954780</v>
      </c>
      <c r="L827" s="21" t="s">
        <v>42</v>
      </c>
      <c r="M827" s="23" t="s">
        <v>11116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11073</v>
      </c>
      <c r="C828" s="21" t="s">
        <v>11074</v>
      </c>
      <c r="D828" s="21" t="s">
        <v>11075</v>
      </c>
      <c r="E828" s="21" t="s">
        <v>11076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11078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11081</v>
      </c>
      <c r="C829" s="21" t="s">
        <v>11079</v>
      </c>
      <c r="D829" s="21" t="s">
        <v>11080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11083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11090</v>
      </c>
      <c r="C830" s="21" t="s">
        <v>11086</v>
      </c>
      <c r="D830" s="21" t="s">
        <v>11087</v>
      </c>
      <c r="E830" s="21" t="s">
        <v>11088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11089</v>
      </c>
      <c r="J830" s="22">
        <v>46177</v>
      </c>
      <c r="K830" s="21">
        <v>8899693028</v>
      </c>
      <c r="L830" s="21" t="s">
        <v>26</v>
      </c>
      <c r="M830" s="23" t="s">
        <v>8802</v>
      </c>
      <c r="N830" s="22">
        <v>46185</v>
      </c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11091</v>
      </c>
      <c r="C831" s="21" t="s">
        <v>11092</v>
      </c>
      <c r="D831" s="21" t="s">
        <v>11093</v>
      </c>
      <c r="E831" s="21" t="s">
        <v>11094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11095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11096</v>
      </c>
      <c r="C832" s="21" t="s">
        <v>11097</v>
      </c>
      <c r="D832" s="21" t="s">
        <v>11098</v>
      </c>
      <c r="E832" s="21" t="s">
        <v>11099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11100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66" si="32">ROW()-1</f>
        <v>832</v>
      </c>
      <c r="B833" s="21" t="s">
        <v>11105</v>
      </c>
      <c r="C833" s="21" t="s">
        <v>11104</v>
      </c>
      <c r="D833" s="21" t="s">
        <v>11114</v>
      </c>
      <c r="E833" s="21" t="s">
        <v>11101</v>
      </c>
      <c r="F833" s="21" t="s">
        <v>10452</v>
      </c>
      <c r="G833" s="21" t="s">
        <v>197</v>
      </c>
      <c r="H833" s="21" t="str">
        <f t="shared" si="31"/>
        <v>SRINAGAR</v>
      </c>
      <c r="I833" s="21" t="s">
        <v>11111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11106</v>
      </c>
      <c r="C834" s="21" t="s">
        <v>11107</v>
      </c>
      <c r="D834" s="21" t="s">
        <v>11113</v>
      </c>
      <c r="E834" s="21" t="s">
        <v>11102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11112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11108</v>
      </c>
      <c r="C835" s="21" t="s">
        <v>11109</v>
      </c>
      <c r="D835" s="21" t="s">
        <v>11115</v>
      </c>
      <c r="E835" s="21" t="s">
        <v>11103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11110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11122</v>
      </c>
      <c r="C836" s="21" t="s">
        <v>11123</v>
      </c>
      <c r="D836" s="21" t="s">
        <v>11124</v>
      </c>
      <c r="E836" s="21" t="s">
        <v>11125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11127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11132</v>
      </c>
      <c r="C837" s="21" t="s">
        <v>11129</v>
      </c>
      <c r="D837" s="21" t="s">
        <v>11130</v>
      </c>
      <c r="E837" s="21" t="s">
        <v>11131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11134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10839</v>
      </c>
      <c r="C838" s="21" t="s">
        <v>10836</v>
      </c>
      <c r="D838" s="21" t="s">
        <v>10837</v>
      </c>
      <c r="E838" s="21" t="s">
        <v>10838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11133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32"/>
        <v>838</v>
      </c>
      <c r="B839" s="21" t="s">
        <v>11141</v>
      </c>
      <c r="C839" s="21" t="s">
        <v>11138</v>
      </c>
      <c r="D839" s="21" t="s">
        <v>11139</v>
      </c>
      <c r="E839" s="21" t="s">
        <v>11140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11142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11143</v>
      </c>
      <c r="C840" s="21" t="s">
        <v>11144</v>
      </c>
      <c r="D840" s="21" t="s">
        <v>11145</v>
      </c>
      <c r="E840" s="21" t="s">
        <v>11146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11161</v>
      </c>
      <c r="J840" s="22">
        <v>46182</v>
      </c>
      <c r="K840" s="21">
        <v>7006213927</v>
      </c>
      <c r="L840" s="21" t="s">
        <v>26</v>
      </c>
      <c r="M840" s="23" t="s">
        <v>7606</v>
      </c>
      <c r="N840" s="22">
        <v>46186</v>
      </c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11147</v>
      </c>
      <c r="C841" s="21" t="s">
        <v>11148</v>
      </c>
      <c r="D841" s="21" t="s">
        <v>11149</v>
      </c>
      <c r="E841" s="21" t="s">
        <v>11150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11159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11151</v>
      </c>
      <c r="C842" s="21" t="s">
        <v>11152</v>
      </c>
      <c r="D842" s="21" t="s">
        <v>11153</v>
      </c>
      <c r="E842" s="21" t="s">
        <v>11154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11160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11165</v>
      </c>
      <c r="C843" s="21" t="s">
        <v>11155</v>
      </c>
      <c r="D843" s="21" t="s">
        <v>11156</v>
      </c>
      <c r="E843" s="21" t="s">
        <v>11157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11158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11164</v>
      </c>
      <c r="C844" s="21" t="s">
        <v>11162</v>
      </c>
      <c r="D844" s="21" t="s">
        <v>11166</v>
      </c>
      <c r="E844" s="21" t="s">
        <v>10077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11163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11174</v>
      </c>
      <c r="C845" s="21" t="s">
        <v>11175</v>
      </c>
      <c r="D845" s="21" t="s">
        <v>11176</v>
      </c>
      <c r="E845" s="21" t="s">
        <v>11177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11182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11178</v>
      </c>
      <c r="C846" s="21" t="s">
        <v>11179</v>
      </c>
      <c r="D846" s="21" t="s">
        <v>11180</v>
      </c>
      <c r="E846" s="21" t="s">
        <v>11181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11183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21" t="s">
        <v>11189</v>
      </c>
      <c r="C847" s="21" t="s">
        <v>11186</v>
      </c>
      <c r="D847" s="21" t="s">
        <v>11187</v>
      </c>
      <c r="E847" s="21" t="s">
        <v>11188</v>
      </c>
      <c r="F847" s="21" t="s">
        <v>5</v>
      </c>
      <c r="G847" s="21" t="s">
        <v>196</v>
      </c>
      <c r="H847" s="21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11195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32"/>
        <v>847</v>
      </c>
      <c r="B848" s="21" t="s">
        <v>11194</v>
      </c>
      <c r="C848" s="21" t="s">
        <v>11190</v>
      </c>
      <c r="D848" s="21" t="s">
        <v>11191</v>
      </c>
      <c r="E848" s="21" t="s">
        <v>11192</v>
      </c>
      <c r="F848" s="21" t="s">
        <v>98</v>
      </c>
      <c r="G848" s="21" t="s">
        <v>171</v>
      </c>
      <c r="H848" s="21" t="str">
        <f t="shared" si="34"/>
        <v>BARAMULLA</v>
      </c>
      <c r="I848" s="21" t="s">
        <v>11196</v>
      </c>
      <c r="J848" s="22">
        <v>46184</v>
      </c>
      <c r="K848" s="21">
        <v>9149465922</v>
      </c>
      <c r="L848" s="21" t="s">
        <v>11193</v>
      </c>
      <c r="M848" s="23"/>
      <c r="N848" s="22"/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32"/>
        <v>848</v>
      </c>
      <c r="B849" s="21" t="s">
        <v>11206</v>
      </c>
      <c r="C849" s="21" t="s">
        <v>11202</v>
      </c>
      <c r="D849" s="21" t="s">
        <v>11203</v>
      </c>
      <c r="E849" s="21" t="s">
        <v>11204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11201</v>
      </c>
      <c r="J849" s="22">
        <v>46184</v>
      </c>
      <c r="K849" s="21">
        <v>7889410052</v>
      </c>
      <c r="L849" s="21" t="s">
        <v>11205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32"/>
        <v>849</v>
      </c>
      <c r="B850" s="21" t="s">
        <v>11216</v>
      </c>
      <c r="C850" s="21" t="s">
        <v>11212</v>
      </c>
      <c r="D850" s="21" t="s">
        <v>11213</v>
      </c>
      <c r="E850" s="21" t="s">
        <v>11214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11221</v>
      </c>
      <c r="J850" s="22">
        <v>46184</v>
      </c>
      <c r="K850" s="21">
        <v>7006462336</v>
      </c>
      <c r="L850" s="21" t="s">
        <v>11215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32"/>
        <v>850</v>
      </c>
      <c r="B851" s="21" t="s">
        <v>11200</v>
      </c>
      <c r="C851" s="21" t="s">
        <v>11198</v>
      </c>
      <c r="D851" s="21" t="s">
        <v>11199</v>
      </c>
      <c r="E851" s="21" t="s">
        <v>11197</v>
      </c>
      <c r="F851" s="21" t="s">
        <v>12</v>
      </c>
      <c r="G851" s="21" t="s">
        <v>178</v>
      </c>
      <c r="H851" s="21" t="str">
        <f t="shared" si="34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32"/>
        <v>851</v>
      </c>
      <c r="B852" s="21" t="s">
        <v>11220</v>
      </c>
      <c r="C852" s="21" t="s">
        <v>11217</v>
      </c>
      <c r="D852" s="21" t="s">
        <v>11218</v>
      </c>
      <c r="E852" s="21" t="s">
        <v>11219</v>
      </c>
      <c r="F852" s="21" t="s">
        <v>98</v>
      </c>
      <c r="G852" s="21" t="s">
        <v>197</v>
      </c>
      <c r="H852" s="21" t="str">
        <f t="shared" ref="H852:H854" si="35"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SRINAGAR</v>
      </c>
      <c r="I852" s="21" t="s">
        <v>11236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32"/>
        <v>852</v>
      </c>
      <c r="B853" s="21" t="s">
        <v>11222</v>
      </c>
      <c r="C853" s="21" t="s">
        <v>11223</v>
      </c>
      <c r="D853" s="21" t="s">
        <v>11224</v>
      </c>
      <c r="E853" s="21" t="s">
        <v>11225</v>
      </c>
      <c r="F853" s="21" t="s">
        <v>12</v>
      </c>
      <c r="G853" s="21" t="s">
        <v>197</v>
      </c>
      <c r="H853" s="21" t="str">
        <f t="shared" si="35"/>
        <v>BARAMULLA</v>
      </c>
      <c r="I853" s="21" t="s">
        <v>11237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32"/>
        <v>853</v>
      </c>
      <c r="B854" s="21" t="s">
        <v>11230</v>
      </c>
      <c r="C854" s="21" t="s">
        <v>11226</v>
      </c>
      <c r="D854" s="21" t="s">
        <v>11227</v>
      </c>
      <c r="E854" s="21" t="s">
        <v>11228</v>
      </c>
      <c r="F854" s="21" t="s">
        <v>11229</v>
      </c>
      <c r="G854" s="21" t="s">
        <v>196</v>
      </c>
      <c r="H854" s="21" t="str">
        <f t="shared" si="35"/>
        <v>SRINAGAR</v>
      </c>
      <c r="I854" s="21" t="s">
        <v>11235</v>
      </c>
      <c r="J854" s="22">
        <v>46185</v>
      </c>
      <c r="K854" s="21">
        <v>9419009819</v>
      </c>
      <c r="L854" s="21" t="s">
        <v>18</v>
      </c>
      <c r="M854" s="23"/>
      <c r="N854" s="22"/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32"/>
        <v>854</v>
      </c>
      <c r="B855" s="21" t="s">
        <v>11231</v>
      </c>
      <c r="C855" s="21" t="s">
        <v>11232</v>
      </c>
      <c r="D855" s="21" t="s">
        <v>11233</v>
      </c>
      <c r="E855" s="21" t="s">
        <v>11234</v>
      </c>
      <c r="F855" s="21" t="s">
        <v>98</v>
      </c>
      <c r="G855" s="21" t="s">
        <v>197</v>
      </c>
      <c r="H855" s="21" t="str">
        <f t="shared" ref="H855:H860" si="36">IF(LEFT(I855,4)="JK13","PULWAMA",IF(LEFT(I855,4)="JK01","SRINAGAR",IF(LEFT(I855,4)="JK04","BUDGAM",IF(LEFT(I855,4)="JK03","ANANTNAG",IF(LEFT(I855,4)="LA01","KARGIL",IF(LEFT(I855,4)="JK05","BARAMULLA",IF(LEFT(I855,4)="26BH","BHARAT",IF(LEFT(I855,4)="25BH","BHARAT",IF(LEFT(I855,4)="JK12","POONCH",IF(LEFT(I855,4)="JK16","GANDERBAL",IF(LEFT(I855,4)="JK18","KULGAM",IF(LEFT(I855,4)="JK22","SHOPIAN",IF(LEFT(I855,4)="JK02","JAMMU",IF(LEFT(I855,4)="JK09","KUPWARA",IF(LEFT(I855,4)="JK15","BANDIPORA",IF(LEFT(I855,4)="JK17","KISHTWAR",IF(LEFT(I855,4)="LA01","KARGIL",IF(LEFT(I855,1)="T","TEMP","NEW"))))))))))))))))))</f>
        <v>SRINAGAR</v>
      </c>
      <c r="I855" s="21" t="s">
        <v>11238</v>
      </c>
      <c r="J855" s="22">
        <v>46185</v>
      </c>
      <c r="K855" s="21">
        <v>7006783199</v>
      </c>
      <c r="L855" s="21" t="s">
        <v>10242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32"/>
        <v>855</v>
      </c>
      <c r="B856" s="21" t="s">
        <v>11239</v>
      </c>
      <c r="C856" s="21" t="s">
        <v>11240</v>
      </c>
      <c r="D856" s="21" t="s">
        <v>11241</v>
      </c>
      <c r="E856" s="21" t="s">
        <v>11242</v>
      </c>
      <c r="F856" s="21" t="s">
        <v>12</v>
      </c>
      <c r="G856" s="21" t="s">
        <v>178</v>
      </c>
      <c r="H856" s="21" t="str">
        <f t="shared" si="36"/>
        <v>SRINAGAR</v>
      </c>
      <c r="I856" s="21" t="s">
        <v>11247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32"/>
        <v>856</v>
      </c>
      <c r="B857" s="21" t="s">
        <v>11243</v>
      </c>
      <c r="C857" s="21" t="s">
        <v>11244</v>
      </c>
      <c r="D857" s="21" t="s">
        <v>11245</v>
      </c>
      <c r="E857" s="21" t="s">
        <v>11246</v>
      </c>
      <c r="F857" s="21" t="s">
        <v>5</v>
      </c>
      <c r="G857" s="21" t="s">
        <v>197</v>
      </c>
      <c r="H857" s="21" t="str">
        <f t="shared" si="36"/>
        <v>SHOPIAN</v>
      </c>
      <c r="I857" s="21" t="s">
        <v>11248</v>
      </c>
      <c r="J857" s="22">
        <v>46185</v>
      </c>
      <c r="K857" s="21">
        <v>9906265335</v>
      </c>
      <c r="L857" s="21" t="s">
        <v>6534</v>
      </c>
      <c r="M857" s="23"/>
      <c r="N857" s="22"/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32"/>
        <v>857</v>
      </c>
      <c r="B858" s="21" t="s">
        <v>11259</v>
      </c>
      <c r="C858" s="21" t="s">
        <v>11257</v>
      </c>
      <c r="D858" s="21" t="s">
        <v>11258</v>
      </c>
      <c r="E858" s="21" t="s">
        <v>3436</v>
      </c>
      <c r="F858" s="21" t="s">
        <v>65</v>
      </c>
      <c r="G858" s="21" t="s">
        <v>196</v>
      </c>
      <c r="H858" s="21" t="str">
        <f t="shared" si="36"/>
        <v>SRINAGAR</v>
      </c>
      <c r="I858" s="21" t="s">
        <v>11272</v>
      </c>
      <c r="J858" s="22">
        <v>46186</v>
      </c>
      <c r="K858" s="21">
        <v>7006265699</v>
      </c>
      <c r="L858" s="21" t="s">
        <v>1122</v>
      </c>
      <c r="M858" s="23" t="s">
        <v>7690</v>
      </c>
      <c r="N858" s="22">
        <v>46188</v>
      </c>
      <c r="O858" s="21" t="s">
        <v>23</v>
      </c>
      <c r="P858" s="24">
        <v>46186</v>
      </c>
      <c r="Q858" s="21" t="s">
        <v>6454</v>
      </c>
      <c r="R858" s="21"/>
    </row>
    <row r="859" spans="1:18" x14ac:dyDescent="0.25">
      <c r="A859" s="21">
        <f t="shared" si="32"/>
        <v>858</v>
      </c>
      <c r="B859" s="21" t="s">
        <v>11260</v>
      </c>
      <c r="C859" s="21" t="s">
        <v>11261</v>
      </c>
      <c r="D859" s="21" t="s">
        <v>11262</v>
      </c>
      <c r="E859" s="21" t="s">
        <v>11263</v>
      </c>
      <c r="F859" s="21" t="s">
        <v>36</v>
      </c>
      <c r="G859" s="21" t="s">
        <v>196</v>
      </c>
      <c r="H859" s="21" t="str">
        <f t="shared" si="36"/>
        <v>PULWAMA</v>
      </c>
      <c r="I859" s="21" t="s">
        <v>11274</v>
      </c>
      <c r="J859" s="22">
        <v>46186</v>
      </c>
      <c r="K859" s="21">
        <v>7006053981</v>
      </c>
      <c r="L859" s="21" t="s">
        <v>7228</v>
      </c>
      <c r="M859" s="23"/>
      <c r="N859" s="22"/>
      <c r="O859" s="21"/>
      <c r="P859" s="24"/>
      <c r="Q859" s="21"/>
      <c r="R859" s="21"/>
    </row>
    <row r="860" spans="1:18" x14ac:dyDescent="0.25">
      <c r="A860" s="21">
        <f t="shared" si="32"/>
        <v>859</v>
      </c>
      <c r="B860" s="21" t="s">
        <v>11264</v>
      </c>
      <c r="C860" s="21" t="s">
        <v>11265</v>
      </c>
      <c r="D860" s="21" t="s">
        <v>11266</v>
      </c>
      <c r="E860" s="21" t="s">
        <v>11267</v>
      </c>
      <c r="F860" s="21" t="s">
        <v>5</v>
      </c>
      <c r="G860" s="21" t="s">
        <v>197</v>
      </c>
      <c r="H860" s="21" t="str">
        <f t="shared" si="36"/>
        <v>PULWAMA</v>
      </c>
      <c r="I860" s="21" t="s">
        <v>11273</v>
      </c>
      <c r="J860" s="22">
        <v>46186</v>
      </c>
      <c r="K860" s="21">
        <v>7006542138</v>
      </c>
      <c r="L860" s="21" t="s">
        <v>9902</v>
      </c>
      <c r="M860" s="23"/>
      <c r="N860" s="22"/>
      <c r="O860" s="21"/>
      <c r="P860" s="24"/>
      <c r="Q860" s="21"/>
      <c r="R860" s="21"/>
    </row>
    <row r="861" spans="1:18" x14ac:dyDescent="0.25">
      <c r="A861" s="21">
        <f t="shared" si="32"/>
        <v>860</v>
      </c>
      <c r="B861" s="21" t="s">
        <v>11268</v>
      </c>
      <c r="C861" s="21" t="s">
        <v>11269</v>
      </c>
      <c r="D861" s="21" t="s">
        <v>11270</v>
      </c>
      <c r="E861" s="21" t="s">
        <v>11271</v>
      </c>
      <c r="F861" s="21" t="s">
        <v>98</v>
      </c>
      <c r="G861" s="21" t="s">
        <v>178</v>
      </c>
      <c r="H861" s="21" t="str">
        <f t="shared" ref="H861:H866" si="37">IF(LEFT(I861,4)="JK13","PULWAMA",IF(LEFT(I861,4)="JK01","SRINAGAR",IF(LEFT(I861,4)="JK04","BUDGAM",IF(LEFT(I861,4)="JK03","ANANTNAG",IF(LEFT(I861,4)="LA01","KARGIL",IF(LEFT(I861,4)="JK05","BARAMULLA",IF(LEFT(I861,4)="26BH","BHARAT",IF(LEFT(I861,4)="25BH","BHARAT",IF(LEFT(I861,4)="JK12","POONCH",IF(LEFT(I861,4)="JK16","GANDERBAL",IF(LEFT(I861,4)="JK18","KULGAM",IF(LEFT(I861,4)="JK22","SHOPIAN",IF(LEFT(I861,4)="JK02","JAMMU",IF(LEFT(I861,4)="JK09","KUPWARA",IF(LEFT(I861,4)="JK15","BANDIPORA",IF(LEFT(I861,4)="JK17","KISHTWAR",IF(LEFT(I861,4)="LA01","KARGIL",IF(LEFT(I861,1)="T","TEMP","NEW"))))))))))))))))))</f>
        <v>SRINAGAR</v>
      </c>
      <c r="I861" s="21" t="s">
        <v>11280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32"/>
        <v>861</v>
      </c>
      <c r="B862" s="21" t="s">
        <v>11275</v>
      </c>
      <c r="C862" s="21" t="s">
        <v>11276</v>
      </c>
      <c r="D862" s="21" t="s">
        <v>11277</v>
      </c>
      <c r="E862" s="21" t="s">
        <v>11278</v>
      </c>
      <c r="F862" s="21" t="s">
        <v>6540</v>
      </c>
      <c r="G862" s="21" t="s">
        <v>6469</v>
      </c>
      <c r="H862" s="21" t="str">
        <f t="shared" si="37"/>
        <v>SRINAGAR</v>
      </c>
      <c r="I862" s="21" t="s">
        <v>11279</v>
      </c>
      <c r="J862" s="22">
        <v>46186</v>
      </c>
      <c r="K862" s="21">
        <v>7006047465</v>
      </c>
      <c r="L862" s="21" t="s">
        <v>8857</v>
      </c>
      <c r="M862" s="23" t="s">
        <v>11286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32"/>
        <v>862</v>
      </c>
      <c r="B863" s="21" t="s">
        <v>11290</v>
      </c>
      <c r="C863" s="21" t="s">
        <v>11287</v>
      </c>
      <c r="D863" s="21" t="s">
        <v>11288</v>
      </c>
      <c r="E863" s="21" t="s">
        <v>11289</v>
      </c>
      <c r="F863" s="21" t="s">
        <v>7701</v>
      </c>
      <c r="G863" s="21" t="s">
        <v>178</v>
      </c>
      <c r="H863" s="21" t="str">
        <f t="shared" si="37"/>
        <v>SRINAGAR</v>
      </c>
      <c r="I863" s="21" t="s">
        <v>11295</v>
      </c>
      <c r="J863" s="22">
        <v>46188</v>
      </c>
      <c r="K863" s="21">
        <v>7006208490</v>
      </c>
      <c r="L863" s="21" t="s">
        <v>547</v>
      </c>
      <c r="M863" s="23"/>
      <c r="N863" s="22"/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32"/>
        <v>863</v>
      </c>
      <c r="B864" s="21" t="s">
        <v>11294</v>
      </c>
      <c r="C864" s="21" t="s">
        <v>11291</v>
      </c>
      <c r="D864" s="21" t="s">
        <v>11292</v>
      </c>
      <c r="E864" s="21" t="s">
        <v>11293</v>
      </c>
      <c r="F864" s="21" t="s">
        <v>65</v>
      </c>
      <c r="G864" s="21" t="s">
        <v>197</v>
      </c>
      <c r="H864" s="21" t="str">
        <f t="shared" si="37"/>
        <v>SRINAGAR</v>
      </c>
      <c r="I864" s="21" t="s">
        <v>11296</v>
      </c>
      <c r="J864" s="22">
        <v>46188</v>
      </c>
      <c r="K864" s="21">
        <v>9419409046</v>
      </c>
      <c r="L864" s="21" t="s">
        <v>1513</v>
      </c>
      <c r="M864" s="23"/>
      <c r="N864" s="22"/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32"/>
        <v>864</v>
      </c>
      <c r="B865" s="21" t="s">
        <v>11300</v>
      </c>
      <c r="C865" s="21" t="s">
        <v>11297</v>
      </c>
      <c r="D865" s="21" t="s">
        <v>11298</v>
      </c>
      <c r="E865" s="21" t="s">
        <v>11299</v>
      </c>
      <c r="F865" s="21" t="s">
        <v>234</v>
      </c>
      <c r="G865" s="21" t="s">
        <v>197</v>
      </c>
      <c r="H865" s="21" t="str">
        <f t="shared" si="37"/>
        <v>NEW</v>
      </c>
      <c r="I865" s="21"/>
      <c r="J865" s="22">
        <v>46188</v>
      </c>
      <c r="K865" s="21">
        <v>9797435217</v>
      </c>
      <c r="L865" s="21" t="s">
        <v>73</v>
      </c>
      <c r="M865" s="23"/>
      <c r="N865" s="22"/>
      <c r="O865" s="21"/>
      <c r="P865" s="24"/>
      <c r="Q865" s="21"/>
      <c r="R865" s="21"/>
    </row>
    <row r="866" spans="1:18" x14ac:dyDescent="0.25">
      <c r="A866" s="21">
        <f t="shared" si="32"/>
        <v>865</v>
      </c>
      <c r="B866" s="21"/>
      <c r="C866" s="21"/>
      <c r="D866" s="21"/>
      <c r="E866" s="21"/>
      <c r="F866" s="21"/>
      <c r="G866" s="21"/>
      <c r="H866" s="21" t="str">
        <f t="shared" si="37"/>
        <v>NEW</v>
      </c>
      <c r="I866" s="21"/>
      <c r="J866" s="22"/>
      <c r="K866" s="21"/>
      <c r="L866" s="21"/>
      <c r="M866" s="23"/>
      <c r="N866" s="22"/>
      <c r="O866" s="21"/>
      <c r="P866" s="24"/>
      <c r="Q866" s="21"/>
      <c r="R866" s="21"/>
    </row>
    <row r="867" spans="1:18" ht="15.75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12"/>
      <c r="K867" s="21"/>
      <c r="L867" s="21"/>
      <c r="M867" t="s">
        <v>43</v>
      </c>
    </row>
    <row r="868" spans="1:18" ht="15.75" x14ac:dyDescent="0.25">
      <c r="A868" s="21"/>
      <c r="B868" s="21"/>
      <c r="C868" s="21"/>
      <c r="D868" s="21"/>
      <c r="E868" s="21"/>
      <c r="F868" s="21"/>
      <c r="G868" s="21"/>
      <c r="H868" s="1"/>
      <c r="I868" s="13"/>
      <c r="K868" s="21"/>
      <c r="L868" s="21"/>
    </row>
    <row r="869" spans="1:18" x14ac:dyDescent="0.25">
      <c r="K869" s="21"/>
    </row>
    <row r="870" spans="1:18" x14ac:dyDescent="0.25">
      <c r="K870" s="21"/>
    </row>
    <row r="871" spans="1:18" x14ac:dyDescent="0.25">
      <c r="K871" s="21"/>
    </row>
    <row r="872" spans="1:18" x14ac:dyDescent="0.25">
      <c r="K872" s="21"/>
    </row>
    <row r="873" spans="1:18" x14ac:dyDescent="0.25">
      <c r="K873" s="21"/>
    </row>
    <row r="874" spans="1:18" x14ac:dyDescent="0.25">
      <c r="K874" s="21"/>
    </row>
    <row r="875" spans="1:18" x14ac:dyDescent="0.25">
      <c r="K875" s="21"/>
    </row>
    <row r="876" spans="1:18" x14ac:dyDescent="0.25">
      <c r="K876" s="21"/>
    </row>
    <row r="877" spans="1:18" x14ac:dyDescent="0.25">
      <c r="K877" s="21"/>
    </row>
    <row r="878" spans="1:18" x14ac:dyDescent="0.25">
      <c r="K878" s="21"/>
    </row>
    <row r="879" spans="1:18" x14ac:dyDescent="0.25">
      <c r="K879" s="21"/>
    </row>
    <row r="880" spans="1:18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x14ac:dyDescent="0.25">
      <c r="K996" s="20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1 I858:I863 J859:J863 A866:R866 L867:L868 H864:J864 H862:H863 A862:G864 A865 G865:J865 B863:G865 K852:K867 L853:R865">
    <cfRule type="expression" dxfId="16" priority="20">
      <formula>CELL("row")=ROW()</formula>
    </cfRule>
  </conditionalFormatting>
  <conditionalFormatting sqref="B257:G290 B291:B300 C291:G301">
    <cfRule type="expression" dxfId="15" priority="18">
      <formula>CELL("row")=ROW()</formula>
    </cfRule>
  </conditionalFormatting>
  <conditionalFormatting sqref="B772:G772">
    <cfRule type="expression" dxfId="14" priority="1">
      <formula>CELL("row")=ROW()</formula>
    </cfRule>
  </conditionalFormatting>
  <conditionalFormatting sqref="F398">
    <cfRule type="expression" dxfId="13" priority="13">
      <formula>CELL("row")=ROW()</formula>
    </cfRule>
  </conditionalFormatting>
  <conditionalFormatting sqref="F420">
    <cfRule type="expression" dxfId="12" priority="12">
      <formula>CELL("row")=ROW()</formula>
    </cfRule>
  </conditionalFormatting>
  <conditionalFormatting sqref="F326:G326">
    <cfRule type="expression" dxfId="11" priority="15">
      <formula>CELL("row")=ROW()</formula>
    </cfRule>
  </conditionalFormatting>
  <conditionalFormatting sqref="G266">
    <cfRule type="expression" dxfId="10" priority="17">
      <formula>CELL("row")=ROW()</formula>
    </cfRule>
  </conditionalFormatting>
  <conditionalFormatting sqref="I558">
    <cfRule type="expression" dxfId="9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67:I867 K867:K946 A868:G868">
    <cfRule type="expression" dxfId="8" priority="6">
      <formula>CELL("row")=ROW()</formula>
    </cfRule>
  </conditionalFormatting>
  <conditionalFormatting sqref="K672:K697 K698:L700 L701">
    <cfRule type="expression" dxfId="7" priority="5">
      <formula>CELL("row")=ROW()</formula>
    </cfRule>
  </conditionalFormatting>
  <conditionalFormatting sqref="L532:L535">
    <cfRule type="expression" dxfId="6" priority="10">
      <formula>CELL("row")=ROW()</formula>
    </cfRule>
  </conditionalFormatting>
  <conditionalFormatting sqref="M867:O868">
    <cfRule type="expression" dxfId="5" priority="29">
      <formula>ROW(O93)=HighlightRow</formula>
    </cfRule>
  </conditionalFormatting>
  <conditionalFormatting sqref="N698">
    <cfRule type="expression" dxfId="4" priority="3">
      <formula>CELL("row")=ROW()</formula>
    </cfRule>
  </conditionalFormatting>
  <conditionalFormatting sqref="P867:Q868">
    <cfRule type="expression" dxfId="3" priority="33">
      <formula>ROW(S93)=HighlightRow</formula>
    </cfRule>
  </conditionalFormatting>
  <conditionalFormatting sqref="S105:XFD105">
    <cfRule type="expression" dxfId="2" priority="34">
      <formula>ROW(T94)=HighlightRow</formula>
    </cfRule>
  </conditionalFormatting>
  <conditionalFormatting sqref="S106:XFD114">
    <cfRule type="expression" dxfId="1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11126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3"/>
  <sheetViews>
    <sheetView tabSelected="1" topLeftCell="A548" zoomScaleNormal="100" workbookViewId="0">
      <selection activeCell="F569" sqref="F56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10783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10804</v>
      </c>
      <c r="C499" s="21">
        <v>9797928475</v>
      </c>
      <c r="D499" s="21" t="s">
        <v>10805</v>
      </c>
      <c r="E499" s="21" t="s">
        <v>10800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10806</v>
      </c>
      <c r="C500" s="21">
        <v>9906598118</v>
      </c>
      <c r="D500" s="21" t="s">
        <v>10807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10790</v>
      </c>
      <c r="C501" s="21">
        <v>7006694541</v>
      </c>
      <c r="D501" s="21" t="s">
        <v>10808</v>
      </c>
      <c r="E501" s="21" t="s">
        <v>10801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10781</v>
      </c>
      <c r="C502" s="21">
        <v>8825010525</v>
      </c>
      <c r="D502" s="21" t="s">
        <v>10809</v>
      </c>
      <c r="E502" s="21" t="s">
        <v>10782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10833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10834</v>
      </c>
      <c r="E504" s="21" t="s">
        <v>10803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10824</v>
      </c>
      <c r="C505" s="21">
        <v>9484057404</v>
      </c>
      <c r="D505" s="21" t="s">
        <v>10835</v>
      </c>
      <c r="E505" s="21" t="s">
        <v>10822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10848</v>
      </c>
      <c r="C506" s="21">
        <v>9796990530</v>
      </c>
      <c r="D506" s="21" t="s">
        <v>10849</v>
      </c>
      <c r="E506" s="21" t="s">
        <v>10933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10812</v>
      </c>
      <c r="C507" s="21">
        <v>6006286690</v>
      </c>
      <c r="D507" s="21" t="s">
        <v>10851</v>
      </c>
      <c r="E507" s="21" t="s">
        <v>10831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10852</v>
      </c>
      <c r="E508" s="21" t="s">
        <v>10830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10828</v>
      </c>
      <c r="C509" s="21">
        <v>7006107410</v>
      </c>
      <c r="D509" s="21" t="s">
        <v>10853</v>
      </c>
      <c r="E509" s="21" t="s">
        <v>10829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10855</v>
      </c>
      <c r="E510" s="21" t="s">
        <v>10765</v>
      </c>
      <c r="F510" s="14">
        <v>46162</v>
      </c>
      <c r="G510" s="14" t="s">
        <v>337</v>
      </c>
      <c r="H510" s="12" t="s">
        <v>10856</v>
      </c>
    </row>
    <row r="511" spans="1:8" ht="15.75" x14ac:dyDescent="0.25">
      <c r="A511" s="12">
        <f t="shared" si="7"/>
        <v>509</v>
      </c>
      <c r="B511" s="21" t="s">
        <v>10873</v>
      </c>
      <c r="C511" s="21">
        <v>6005528953</v>
      </c>
      <c r="D511" s="21" t="s">
        <v>10875</v>
      </c>
      <c r="E511" s="21" t="s">
        <v>10874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10859</v>
      </c>
      <c r="C512" s="21">
        <v>6006180214</v>
      </c>
      <c r="D512" s="21" t="s">
        <v>10876</v>
      </c>
      <c r="E512" s="21" t="s">
        <v>10868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10842</v>
      </c>
      <c r="C513" s="21">
        <v>9419766402</v>
      </c>
      <c r="D513" s="21" t="s">
        <v>10877</v>
      </c>
      <c r="E513" s="21" t="s">
        <v>10866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10907</v>
      </c>
      <c r="C514" s="21">
        <v>7006418329</v>
      </c>
      <c r="D514" s="21" t="s">
        <v>10919</v>
      </c>
      <c r="E514" s="21" t="s">
        <v>10914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10920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10921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10899</v>
      </c>
      <c r="C517" s="21">
        <v>6005323353</v>
      </c>
      <c r="D517" s="21" t="s">
        <v>10922</v>
      </c>
      <c r="E517" s="21" t="s">
        <v>10903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10923</v>
      </c>
      <c r="C518" s="21">
        <v>7006112317</v>
      </c>
      <c r="D518" s="21" t="s">
        <v>10924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3" si="8">ROW()-2</f>
        <v>517</v>
      </c>
      <c r="B519" s="21" t="s">
        <v>10898</v>
      </c>
      <c r="C519" s="21">
        <v>9906564039</v>
      </c>
      <c r="D519" s="21" t="s">
        <v>10930</v>
      </c>
      <c r="E519" s="21" t="s">
        <v>10902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10890</v>
      </c>
      <c r="C520" s="21">
        <v>8825097876</v>
      </c>
      <c r="D520" s="21" t="s">
        <v>10945</v>
      </c>
      <c r="E520" s="21" t="s">
        <v>10918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10889</v>
      </c>
      <c r="C521" s="21">
        <v>9055028530</v>
      </c>
      <c r="D521" s="21" t="s">
        <v>10946</v>
      </c>
      <c r="E521" s="21" t="s">
        <v>10915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10928</v>
      </c>
      <c r="C522" s="21">
        <v>9796979654</v>
      </c>
      <c r="D522" s="21" t="s">
        <v>10947</v>
      </c>
      <c r="E522" s="21" t="s">
        <v>10934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10888</v>
      </c>
      <c r="C523" s="21">
        <v>9103686998</v>
      </c>
      <c r="D523" s="21" t="s">
        <v>10948</v>
      </c>
      <c r="E523" s="21" t="s">
        <v>10916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10891</v>
      </c>
      <c r="C524" s="21">
        <v>9149773196</v>
      </c>
      <c r="D524" s="21" t="s">
        <v>10949</v>
      </c>
      <c r="E524" s="21" t="s">
        <v>10917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10964</v>
      </c>
      <c r="C525" s="21">
        <v>9682167032</v>
      </c>
      <c r="D525" s="21" t="s">
        <v>10975</v>
      </c>
      <c r="E525" s="21" t="s">
        <v>10967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10938</v>
      </c>
      <c r="C526" s="21">
        <v>7006256901</v>
      </c>
      <c r="D526" s="21" t="s">
        <v>10976</v>
      </c>
      <c r="E526" s="21" t="s">
        <v>10944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10960</v>
      </c>
      <c r="C527" s="21">
        <v>7889540230</v>
      </c>
      <c r="D527" s="21" t="s">
        <v>10977</v>
      </c>
      <c r="E527" s="21" t="s">
        <v>10966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10953</v>
      </c>
      <c r="C528" s="21">
        <v>8825062872</v>
      </c>
      <c r="D528" s="21" t="s">
        <v>11049</v>
      </c>
      <c r="E528" s="21" t="s">
        <v>10968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11003</v>
      </c>
      <c r="C529" s="21">
        <v>9596263355</v>
      </c>
      <c r="D529" s="21" t="s">
        <v>11050</v>
      </c>
      <c r="E529" s="21" t="s">
        <v>11010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10999</v>
      </c>
      <c r="C530" s="21">
        <v>9682555158</v>
      </c>
      <c r="D530" s="21" t="s">
        <v>11051</v>
      </c>
      <c r="E530" s="21" t="s">
        <v>11012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10819</v>
      </c>
      <c r="C531" s="21">
        <v>8493839221</v>
      </c>
      <c r="D531" s="21" t="s">
        <v>11052</v>
      </c>
      <c r="E531" s="21" t="s">
        <v>10980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11041</v>
      </c>
      <c r="C532" s="21">
        <v>7006893741</v>
      </c>
      <c r="D532" s="21" t="s">
        <v>11053</v>
      </c>
      <c r="E532" s="21" t="s">
        <v>11042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11025</v>
      </c>
      <c r="C533" s="21">
        <v>8825051434</v>
      </c>
      <c r="D533" s="21" t="s">
        <v>11054</v>
      </c>
      <c r="E533" s="21" t="s">
        <v>11026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11055</v>
      </c>
      <c r="E534" s="21" t="s">
        <v>11028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11056</v>
      </c>
      <c r="C535" s="21">
        <v>7006180324</v>
      </c>
      <c r="D535" s="21" t="s">
        <v>11057</v>
      </c>
      <c r="E535" s="21" t="s">
        <v>11011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11005</v>
      </c>
      <c r="C536" s="21">
        <v>7889461451</v>
      </c>
      <c r="D536" s="21" t="s">
        <v>11058</v>
      </c>
      <c r="E536" s="21" t="s">
        <v>11013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11038</v>
      </c>
      <c r="C537" s="21">
        <v>9596577125</v>
      </c>
      <c r="D537" s="21" t="s">
        <v>11063</v>
      </c>
      <c r="E537" s="21" t="s">
        <v>11047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11043</v>
      </c>
      <c r="C538" s="21">
        <v>6006124106</v>
      </c>
      <c r="D538" s="21" t="s">
        <v>11065</v>
      </c>
      <c r="E538" s="21" t="s">
        <v>11048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10983</v>
      </c>
      <c r="C539" s="21">
        <v>9858414762</v>
      </c>
      <c r="D539" s="21" t="s">
        <v>11071</v>
      </c>
      <c r="E539" s="21" t="s">
        <v>10991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11062</v>
      </c>
      <c r="C540" s="21">
        <v>7780954780</v>
      </c>
      <c r="D540" s="21" t="s">
        <v>11072</v>
      </c>
      <c r="E540" s="21" t="s">
        <v>11064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11069</v>
      </c>
      <c r="C541" s="21">
        <v>7889312502</v>
      </c>
      <c r="D541" s="21" t="s">
        <v>11070</v>
      </c>
      <c r="E541" s="21" t="s">
        <v>11027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11084</v>
      </c>
      <c r="E542" s="21" t="s">
        <v>11083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11101</v>
      </c>
      <c r="C543" s="21">
        <v>9622566678</v>
      </c>
      <c r="D543" s="21" t="s">
        <v>11120</v>
      </c>
      <c r="E543" s="21" t="s">
        <v>11111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11125</v>
      </c>
      <c r="C544" s="21">
        <v>7051636983</v>
      </c>
      <c r="D544" s="21" t="s">
        <v>11128</v>
      </c>
      <c r="E544" s="21" t="s">
        <v>11123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11088</v>
      </c>
      <c r="C545" s="21">
        <v>8899693028</v>
      </c>
      <c r="D545" s="21" t="s">
        <v>11135</v>
      </c>
      <c r="E545" s="21" t="s">
        <v>11089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11103</v>
      </c>
      <c r="C546" s="21">
        <v>9596300301</v>
      </c>
      <c r="D546" s="21" t="s">
        <v>11136</v>
      </c>
      <c r="E546" s="21" t="s">
        <v>11110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11131</v>
      </c>
      <c r="C547" s="21">
        <v>9596422011</v>
      </c>
      <c r="D547" s="21" t="s">
        <v>11137</v>
      </c>
      <c r="E547" s="21" t="s">
        <v>11134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11170</v>
      </c>
      <c r="E548" s="21" t="s">
        <v>11163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11157</v>
      </c>
      <c r="C549" s="21">
        <v>7006471404</v>
      </c>
      <c r="D549" s="21" t="s">
        <v>11171</v>
      </c>
      <c r="E549" s="21" t="s">
        <v>11158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11140</v>
      </c>
      <c r="C550" s="21">
        <v>7889943024</v>
      </c>
      <c r="D550" s="21" t="s">
        <v>11172</v>
      </c>
      <c r="E550" s="21" t="s">
        <v>11142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11146</v>
      </c>
      <c r="C551" s="21">
        <v>7006213927</v>
      </c>
      <c r="D551" s="21" t="s">
        <v>11173</v>
      </c>
      <c r="E551" s="21" t="s">
        <v>11161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11181</v>
      </c>
      <c r="C552" s="21">
        <v>7006626147</v>
      </c>
      <c r="D552" s="21" t="s">
        <v>11184</v>
      </c>
      <c r="E552" s="21" t="s">
        <v>11183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11207</v>
      </c>
      <c r="C553" s="21">
        <v>9906216462</v>
      </c>
      <c r="D553" s="21" t="s">
        <v>11208</v>
      </c>
      <c r="E553" s="21" t="s">
        <v>11209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11192</v>
      </c>
      <c r="C554" s="21"/>
      <c r="D554" s="21" t="s">
        <v>11210</v>
      </c>
      <c r="E554" s="21" t="s">
        <v>11196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11188</v>
      </c>
      <c r="C555" s="21">
        <v>7889775854</v>
      </c>
      <c r="D555" s="21" t="s">
        <v>11211</v>
      </c>
      <c r="E555" s="21" t="s">
        <v>11195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11253</v>
      </c>
      <c r="C556" s="21">
        <v>7006012723</v>
      </c>
      <c r="D556" s="21" t="s">
        <v>11249</v>
      </c>
      <c r="E556" s="21" t="s">
        <v>11247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11214</v>
      </c>
      <c r="C557" s="21">
        <v>7006462336</v>
      </c>
      <c r="D557" s="21" t="s">
        <v>11250</v>
      </c>
      <c r="E557" s="21" t="s">
        <v>11221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11225</v>
      </c>
      <c r="C558" s="21">
        <v>7006510242</v>
      </c>
      <c r="D558" s="21" t="s">
        <v>11251</v>
      </c>
      <c r="E558" s="21" t="s">
        <v>11237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11252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11246</v>
      </c>
      <c r="C560" s="21">
        <v>9906265335</v>
      </c>
      <c r="D560" s="21" t="s">
        <v>11255</v>
      </c>
      <c r="E560" s="21" t="s">
        <v>11248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10838</v>
      </c>
      <c r="C561" s="21">
        <v>8979091582</v>
      </c>
      <c r="D561" s="21" t="s">
        <v>11256</v>
      </c>
      <c r="E561" s="21" t="s">
        <v>11133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11278</v>
      </c>
      <c r="C562" s="21">
        <v>7006047465</v>
      </c>
      <c r="D562" s="21" t="s">
        <v>11281</v>
      </c>
      <c r="E562" s="21" t="s">
        <v>11279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11282</v>
      </c>
      <c r="E563" s="21" t="s">
        <v>11272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11228</v>
      </c>
      <c r="C564" s="21">
        <v>9419009819</v>
      </c>
      <c r="D564" s="21" t="s">
        <v>11283</v>
      </c>
      <c r="E564" s="21" t="s">
        <v>11235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11192</v>
      </c>
      <c r="C565" s="21">
        <v>7006537603</v>
      </c>
      <c r="D565" s="21" t="s">
        <v>11210</v>
      </c>
      <c r="E565" s="21" t="s">
        <v>11196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11234</v>
      </c>
      <c r="C566" s="21">
        <v>7006783199</v>
      </c>
      <c r="D566" s="21" t="s">
        <v>11284</v>
      </c>
      <c r="E566" s="21" t="s">
        <v>11238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11302</v>
      </c>
      <c r="C567" s="21">
        <v>8492067254</v>
      </c>
      <c r="D567" s="21" t="s">
        <v>11303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11293</v>
      </c>
      <c r="C568" s="21">
        <v>9419409046</v>
      </c>
      <c r="D568" s="21" t="s">
        <v>11304</v>
      </c>
      <c r="E568" s="21" t="s">
        <v>11296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11289</v>
      </c>
      <c r="C569" s="12">
        <v>7006208490</v>
      </c>
      <c r="D569" s="21" t="s">
        <v>11305</v>
      </c>
      <c r="E569" s="12" t="s">
        <v>11295</v>
      </c>
      <c r="F569" s="14"/>
      <c r="G569" s="14"/>
      <c r="H569" s="12"/>
    </row>
    <row r="570" spans="1:8" ht="15.75" x14ac:dyDescent="0.25">
      <c r="A570" s="12">
        <f t="shared" si="8"/>
        <v>568</v>
      </c>
      <c r="B570" s="12"/>
      <c r="C570" s="12"/>
      <c r="D570" s="12"/>
      <c r="E570" s="12"/>
      <c r="F570" s="14"/>
      <c r="G570" s="14"/>
      <c r="H570" s="12"/>
    </row>
    <row r="571" spans="1:8" ht="15.75" x14ac:dyDescent="0.25">
      <c r="A571" s="12">
        <f t="shared" si="8"/>
        <v>569</v>
      </c>
      <c r="B571" s="12"/>
      <c r="C571" s="12"/>
      <c r="D571" s="12"/>
      <c r="E571" s="12"/>
      <c r="F571" s="14"/>
      <c r="G571" s="14"/>
      <c r="H571" s="12"/>
    </row>
    <row r="572" spans="1:8" ht="15.75" x14ac:dyDescent="0.25">
      <c r="A572" s="12">
        <f t="shared" si="8"/>
        <v>570</v>
      </c>
      <c r="B572" s="12"/>
      <c r="C572" s="12"/>
      <c r="D572" s="12"/>
      <c r="E572" s="12"/>
      <c r="F572" s="14"/>
      <c r="G572" s="14"/>
      <c r="H572" s="12"/>
    </row>
    <row r="573" spans="1:8" ht="15.75" x14ac:dyDescent="0.25">
      <c r="A573" s="12">
        <f t="shared" si="8"/>
        <v>571</v>
      </c>
      <c r="B573" s="12"/>
      <c r="C573" s="12"/>
      <c r="D573" s="12"/>
      <c r="E573" s="12"/>
      <c r="F573" s="14"/>
      <c r="G573" s="14"/>
      <c r="H573" s="12"/>
    </row>
  </sheetData>
  <mergeCells count="1">
    <mergeCell ref="A1:H1"/>
  </mergeCells>
  <phoneticPr fontId="26" type="noConversion"/>
  <conditionalFormatting sqref="B569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2026-06-15T12:38:02Z</dcterms:modified>
</cp:coreProperties>
</file>