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66C2672-9788-4B86-A746-0DDA86C32B81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75" i="4" l="1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271" i="4"/>
  <c r="H272" i="4"/>
  <c r="H273" i="4"/>
  <c r="H274" i="4"/>
  <c r="H277" i="4"/>
  <c r="H278" i="4"/>
  <c r="H279" i="4"/>
  <c r="H280" i="4"/>
  <c r="H281" i="4"/>
  <c r="H282" i="4"/>
  <c r="A267" i="4"/>
  <c r="A268" i="4"/>
  <c r="A259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H256" i="4"/>
  <c r="H257" i="4"/>
  <c r="H258" i="4"/>
  <c r="H260" i="4"/>
  <c r="H261" i="4"/>
  <c r="H262" i="4"/>
  <c r="H263" i="4"/>
  <c r="H264" i="4"/>
  <c r="H265" i="4"/>
  <c r="H266" i="4"/>
  <c r="A256" i="4"/>
  <c r="A257" i="4"/>
  <c r="A258" i="4"/>
  <c r="A260" i="4"/>
  <c r="A261" i="4"/>
  <c r="A262" i="4"/>
  <c r="A263" i="4"/>
  <c r="A264" i="4"/>
  <c r="A265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5" i="4"/>
  <c r="H226" i="4"/>
  <c r="H227" i="4"/>
  <c r="H228" i="4"/>
  <c r="H229" i="4"/>
  <c r="H230" i="4"/>
  <c r="H231" i="4"/>
  <c r="H232" i="4"/>
  <c r="A223" i="4"/>
  <c r="A224" i="4"/>
  <c r="A225" i="4"/>
  <c r="A226" i="4"/>
  <c r="A227" i="4"/>
  <c r="A228" i="4"/>
  <c r="A229" i="4"/>
  <c r="A230" i="4"/>
  <c r="A231" i="4"/>
  <c r="A232" i="4"/>
  <c r="H221" i="4"/>
  <c r="H22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<sst xmlns="http://schemas.openxmlformats.org/spreadsheetml/2006/main" count="19801" uniqueCount="7627">
  <si>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</si>
  <si>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</si>
  <si>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</si>
  <si>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</si>
  <si>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</si>
  <si>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</si>
  <si>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</si>
  <si>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</si>
  <si>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</si>
  <si>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</si>
  <si>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</si>
  <si>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</si>
  <si>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</si>
  <si>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</si>
  <si>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</si>
  <si>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</si>
  <si>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</si>
  <si>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</si>
  <si>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</si>
  <si>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</si>
  <si>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</si>
  <si>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</si>
  <si>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</si>
  <si>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</si>
  <si>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</si>
  <si>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</si>
  <si>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</si>
  <si>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</si>
  <si>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</si>
  <si>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</si>
  <si>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</si>
  <si>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</si>
  <si>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</si>
  <si>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</si>
  <si>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</si>
  <si>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</si>
  <si>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</si>
  <si>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</si>
  <si>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</si>
  <si>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</si>
  <si>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</si>
  <si>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</si>
  <si>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</si>
  <si>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</si>
  <si>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</si>
  <si>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</si>
  <si>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</si>
  <si>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</si>
  <si>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</si>
  <si>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</si>
  <si>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</si>
  <si>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</si>
  <si>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</si>
  <si>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</si>
  <si>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</si>
  <si>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</si>
  <si>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</si>
  <si>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</si>
  <si>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</si>
  <si>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</si>
  <si>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</si>
  <si>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</si>
  <si>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</si>
  <si>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</si>
  <si>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</si>
  <si>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</si>
  <si>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</si>
  <si>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</si>
  <si>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</si>
  <si>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</si>
  <si>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</si>
  <si>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</si>
  <si>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</si>
  <si>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</si>
  <si>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</si>
  <si>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</si>
  <si>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</si>
  <si>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</si>
  <si>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</si>
  <si>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</si>
  <si>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</si>
  <si>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</si>
  <si>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</si>
  <si>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</si>
  <si>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</si>
  <si>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</si>
  <si>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</si>
  <si>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</si>
  <si>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</si>
  <si>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</si>
  <si>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</si>
  <si>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</si>
  <si>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</si>
  <si>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</si>
  <si>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</si>
  <si>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</si>
  <si>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</si>
  <si>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</si>
  <si>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</si>
  <si>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</si>
  <si>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</si>
  <si>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</si>
  <si>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</si>
  <si>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</si>
  <si>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</si>
  <si>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</si>
  <si>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</si>
  <si>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</si>
  <si>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</si>
  <si>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</si>
  <si>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</si>
  <si>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</si>
  <si>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</si>
  <si>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</si>
  <si>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</si>
  <si>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</si>
  <si>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</si>
  <si>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</si>
  <si>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</si>
  <si>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</si>
  <si>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</si>
  <si>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</si>
  <si>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</si>
  <si>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</si>
  <si>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</si>
  <si>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</si>
  <si>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</si>
  <si>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</si>
  <si>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</si>
  <si>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</si>
  <si>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</si>
  <si>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</si>
  <si>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</si>
  <si>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</si>
  <si>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</si>
  <si>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</si>
  <si>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</si>
  <si>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</si>
  <si>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</si>
  <si>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</si>
  <si>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</si>
  <si>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</si>
  <si>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</si>
  <si>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</si>
  <si>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</si>
  <si>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</si>
  <si>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</si>
  <si>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</si>
  <si>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</si>
  <si>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</si>
  <si>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</si>
  <si>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</si>
  <si>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</si>
  <si>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</si>
  <si>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</si>
  <si>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</si>
  <si>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</si>
  <si>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</si>
  <si>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</si>
  <si>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</si>
  <si>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</si>
  <si>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</si>
  <si>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</si>
  <si>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</si>
  <si>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</si>
  <si>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</si>
  <si>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</si>
  <si>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</si>
  <si>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</si>
  <si>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</si>
  <si>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</si>
  <si>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</si>
  <si>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</si>
  <si>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</si>
  <si>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</si>
  <si>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</si>
  <si>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</si>
  <si>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</si>
  <si>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</si>
  <si>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</si>
  <si>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</si>
  <si>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</si>
  <si>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</si>
  <si>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</si>
  <si>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</si>
  <si>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</si>
  <si>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</si>
  <si>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</si>
  <si>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</si>
  <si>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</si>
  <si>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</si>
  <si>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</si>
  <si>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</si>
  <si>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</si>
  <si>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</si>
  <si>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</si>
  <si>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</si>
  <si>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</si>
  <si>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</si>
  <si>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</si>
  <si>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</si>
  <si>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</si>
  <si>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</si>
  <si>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</si>
  <si>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</si>
  <si>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</si>
  <si>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</si>
  <si>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</si>
  <si>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</si>
  <si>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</si>
  <si>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</si>
  <si>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</si>
  <si>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</si>
  <si>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</si>
  <si>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</si>
  <si>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</si>
  <si>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</si>
  <si>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</si>
  <si>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</si>
  <si>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</si>
  <si>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</si>
  <si>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</si>
  <si>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</si>
  <si>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</si>
  <si>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</si>
  <si>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</si>
  <si>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</si>
  <si>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</si>
  <si>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</si>
  <si>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</si>
  <si>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</si>
  <si>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</si>
  <si>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</si>
  <si>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</si>
  <si>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</si>
  <si>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</si>
  <si>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</si>
  <si>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</si>
  <si>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</si>
  <si>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</si>
  <si>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</si>
  <si>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</si>
  <si>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</si>
  <si>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</si>
  <si>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</si>
  <si>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</si>
  <si>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</si>
  <si>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</si>
  <si>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</si>
  <si>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</si>
  <si>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</si>
  <si>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</si>
  <si>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</si>
  <si>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</si>
  <si>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</si>
  <si>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</si>
  <si>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</si>
  <si>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</si>
  <si>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</si>
  <si>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</si>
  <si>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</si>
  <si>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</si>
  <si>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</si>
  <si>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</si>
  <si>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</si>
  <si>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</si>
  <si>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</si>
  <si>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</si>
  <si>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</si>
  <si>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</si>
  <si>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</si>
  <si>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</si>
  <si>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</si>
  <si>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</si>
  <si>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</si>
  <si>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</si>
  <si>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</si>
  <si>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</si>
  <si>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</si>
  <si>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</si>
  <si>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</si>
  <si>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</si>
  <si>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</si>
  <si>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</si>
  <si>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</si>
  <si>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</si>
  <si>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</si>
  <si>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</si>
  <si>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</si>
  <si>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</si>
  <si>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</si>
  <si>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</si>
  <si>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</si>
  <si>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</si>
  <si>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</si>
  <si>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</si>
  <si>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</si>
  <si>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</si>
  <si>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</si>
  <si>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</si>
  <si>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</si>
  <si>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</si>
  <si>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</si>
  <si>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</si>
  <si>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</si>
  <si>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</si>
  <si>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</si>
  <si>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</si>
  <si>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</si>
  <si>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</si>
  <si>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</si>
  <si>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</si>
  <si>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</si>
  <si>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</si>
  <si>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</si>
  <si>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</si>
  <si>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</si>
  <si>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</si>
  <si>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</si>
  <si>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</si>
  <si>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</si>
  <si>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</si>
  <si>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</si>
  <si>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</si>
  <si>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</si>
  <si>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</si>
  <si>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</si>
  <si>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</si>
  <si>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</si>
  <si>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</si>
  <si>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</si>
  <si>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</si>
  <si>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</si>
  <si>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</si>
  <si>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</si>
  <si>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</si>
  <si>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</si>
  <si>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</si>
  <si>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</si>
  <si>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</si>
  <si>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</si>
  <si>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</si>
  <si>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</si>
  <si>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</si>
  <si>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</si>
  <si>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</si>
  <si>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</si>
  <si>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</si>
  <si>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</si>
  <si>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</si>
  <si>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</si>
  <si>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</si>
  <si>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</si>
  <si>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</si>
  <si>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</si>
  <si>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</si>
  <si>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</si>
  <si>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</si>
  <si>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</si>
  <si>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</si>
  <si>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</si>
  <si>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</si>
  <si>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</si>
  <si>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</si>
  <si>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</si>
  <si>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</si>
  <si>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</si>
  <si>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</si>
  <si>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</si>
  <si>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</si>
  <si>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</si>
  <si>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</si>
  <si>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</si>
  <si>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</si>
  <si>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</si>
  <si>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</si>
  <si>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</si>
  <si>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</si>
  <si>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</si>
  <si>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</si>
  <si>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</si>
  <si>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</si>
  <si>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</si>
  <si>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</si>
  <si>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</si>
  <si>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</si>
  <si>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</si>
  <si>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</si>
  <si>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</si>
  <si>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</si>
  <si>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</si>
  <si>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</si>
  <si>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</si>
  <si>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</si>
  <si>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</si>
  <si>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</si>
  <si>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</si>
  <si>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</si>
  <si>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</si>
  <si>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</si>
  <si>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</si>
  <si>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</si>
  <si>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</si>
  <si>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</si>
  <si>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</si>
  <si>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</si>
  <si>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</si>
  <si>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</si>
  <si>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</si>
  <si>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</si>
  <si>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</si>
  <si>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</si>
  <si>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</si>
  <si>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</si>
  <si>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</si>
  <si>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</si>
  <si>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</si>
  <si>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</si>
  <si>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</si>
  <si>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</si>
  <si>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</si>
  <si>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</si>
  <si>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</si>
  <si>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</si>
  <si>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</si>
  <si>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</si>
  <si>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</si>
  <si>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</si>
  <si>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</si>
  <si>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</si>
  <si>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</si>
  <si>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</si>
  <si>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</si>
  <si>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</si>
  <si>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</si>
  <si>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</si>
  <si>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</si>
  <si>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</si>
  <si>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</si>
  <si>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</si>
  <si>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</si>
  <si>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</si>
  <si>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</si>
  <si>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</si>
  <si>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</si>
  <si>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</si>
  <si>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</si>
  <si>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</si>
  <si>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</si>
  <si>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</si>
  <si>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</si>
  <si>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</si>
  <si>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</si>
  <si>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</si>
  <si>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</si>
  <si>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</si>
  <si>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</si>
  <si>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</si>
  <si>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</si>
  <si>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</si>
  <si>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</si>
  <si>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</si>
  <si>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</si>
  <si>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</si>
  <si>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</si>
  <si>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</si>
  <si>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</si>
  <si>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</si>
  <si>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</si>
  <si>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</si>
  <si>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</si>
  <si>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</si>
  <si>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</si>
  <si>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</si>
  <si>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</si>
  <si>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</si>
  <si>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</si>
  <si>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</si>
  <si>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</si>
  <si>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</si>
  <si>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</si>
  <si>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</si>
  <si>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</si>
  <si>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</si>
  <si>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</si>
  <si>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</si>
  <si>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</si>
  <si>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</si>
  <si>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</si>
  <si>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</si>
  <si>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</si>
  <si>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</si>
  <si>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</si>
  <si>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</si>
  <si>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</si>
  <si>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</si>
  <si>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</si>
  <si>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</si>
  <si>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</si>
  <si>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</si>
  <si>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</si>
  <si>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</si>
  <si>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</si>
  <si>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</si>
  <si>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</si>
  <si>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</si>
  <si>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</si>
  <si>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</si>
  <si>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</si>
  <si>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</si>
  <si>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</si>
  <si>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</si>
  <si>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</si>
  <si>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</si>
  <si>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</si>
  <si>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</si>
  <si>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</si>
  <si>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</si>
  <si>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</si>
  <si>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</si>
  <si>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</si>
  <si>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</si>
  <si>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</si>
  <si>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</si>
  <si>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</si>
  <si>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</si>
  <si>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</si>
  <si>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</si>
  <si>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</si>
  <si>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</si>
  <si>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</si>
  <si>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</si>
  <si>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</si>
  <si>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</si>
  <si>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</si>
  <si>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</si>
  <si>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</si>
  <si>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</si>
  <si>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</si>
  <si>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</si>
  <si>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</si>
  <si>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</si>
  <si>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</si>
  <si>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</si>
  <si>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</si>
  <si>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</si>
  <si>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</si>
  <si>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</si>
  <si>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</si>
  <si>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</si>
  <si>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</si>
  <si>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</si>
  <si>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</si>
  <si>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</si>
  <si>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</si>
  <si>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</si>
  <si>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</si>
  <si>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</si>
  <si>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</si>
  <si>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</si>
  <si>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</si>
  <si>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</si>
  <si>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</si>
  <si>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</si>
  <si>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</si>
  <si>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</si>
  <si>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</si>
  <si>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</si>
  <si>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</si>
  <si>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</si>
  <si>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</si>
  <si>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</si>
  <si>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</si>
  <si>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</si>
  <si>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</si>
  <si>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</si>
  <si>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</si>
  <si>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</si>
  <si>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</si>
  <si>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</si>
  <si>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</si>
  <si>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</si>
  <si>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</si>
  <si>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</si>
  <si>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</si>
  <si>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</si>
  <si>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</si>
  <si>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</si>
  <si>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</si>
  <si>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</si>
  <si>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</si>
  <si>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</si>
  <si>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</si>
  <si>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</si>
  <si>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</si>
  <si>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</si>
  <si>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</si>
  <si>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</si>
  <si>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</si>
  <si>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</si>
  <si>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</si>
  <si>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</si>
  <si>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</si>
  <si>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</si>
  <si>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</si>
  <si>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</si>
  <si>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</si>
  <si>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</si>
  <si>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</si>
  <si>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</si>
  <si>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</si>
  <si>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</si>
  <si>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</si>
  <si>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</si>
  <si>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</si>
  <si>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</si>
  <si>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</si>
  <si>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</si>
  <si>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</si>
  <si>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</si>
  <si>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</si>
  <si>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</si>
  <si>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</si>
  <si>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</si>
  <si>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</si>
  <si>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</si>
  <si>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</si>
  <si>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</si>
  <si>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</si>
  <si>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</si>
  <si>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</si>
  <si>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</si>
  <si>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</si>
  <si>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</si>
  <si>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</si>
  <si>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</si>
  <si>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</si>
  <si>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</si>
  <si>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</si>
  <si>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</si>
  <si>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</si>
  <si>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</si>
  <si>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</si>
  <si>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</si>
  <si>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</si>
  <si>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</si>
  <si>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</si>
  <si>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</si>
  <si>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</si>
  <si>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</si>
  <si>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</si>
  <si>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</si>
  <si>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</si>
  <si>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</si>
  <si>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</si>
  <si>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</si>
  <si>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</si>
  <si>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</si>
  <si>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</si>
  <si>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</si>
  <si>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</si>
  <si>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</si>
  <si>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</si>
  <si>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</si>
  <si>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</si>
  <si>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</si>
  <si>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</si>
  <si>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</si>
  <si>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</si>
  <si>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</si>
  <si>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</si>
  <si>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</si>
  <si>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</si>
  <si>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</si>
  <si>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</si>
  <si>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</si>
  <si>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</si>
  <si>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</si>
  <si>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</si>
  <si>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</si>
  <si>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</si>
  <si>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</si>
  <si>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</si>
  <si>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</si>
  <si>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</si>
  <si>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</si>
  <si>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</si>
  <si>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</si>
  <si>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</si>
  <si>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</si>
  <si>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</si>
  <si>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</si>
  <si>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</si>
  <si>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</si>
  <si>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</si>
  <si>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</si>
  <si>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</si>
  <si>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</si>
  <si>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</si>
  <si>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</si>
  <si>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</si>
  <si>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</si>
  <si>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</si>
  <si>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</si>
  <si>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</si>
  <si>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</si>
  <si>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</si>
  <si>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</si>
  <si>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</si>
  <si>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</si>
  <si>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</si>
  <si>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</si>
  <si>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</si>
  <si>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</si>
  <si>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</si>
  <si>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</si>
  <si>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</si>
  <si>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</si>
  <si>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</si>
  <si>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</si>
  <si>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</si>
  <si>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</si>
  <si>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</si>
  <si>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</si>
  <si>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</si>
  <si>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</si>
  <si>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</si>
  <si>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</si>
  <si>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</si>
  <si>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</si>
  <si>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</si>
  <si>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</si>
  <si>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</si>
  <si>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</si>
  <si>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</si>
  <si>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</si>
  <si>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</si>
  <si>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</si>
  <si>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</si>
  <si>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</si>
  <si>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</si>
  <si>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</si>
  <si>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</si>
  <si>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</si>
  <si>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</si>
  <si>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</si>
  <si>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</si>
  <si>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</si>
  <si>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</si>
  <si>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</si>
  <si>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</si>
  <si>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</si>
  <si>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</si>
  <si>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</si>
  <si>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</si>
  <si>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</si>
  <si>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</si>
  <si>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</si>
  <si>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</si>
  <si>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</si>
  <si>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</si>
  <si>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</si>
  <si>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</si>
  <si>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</si>
  <si>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</si>
  <si>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</si>
  <si>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</si>
  <si>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</si>
  <si>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</si>
  <si>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</si>
  <si>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</si>
  <si>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</si>
  <si>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</si>
  <si>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</si>
  <si>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</si>
  <si>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</si>
  <si>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</si>
  <si>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</si>
  <si>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</si>
  <si>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</si>
  <si>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</si>
  <si>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</si>
  <si>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</si>
  <si>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</si>
  <si>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</si>
  <si>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</si>
  <si>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</si>
  <si>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</si>
  <si>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</si>
  <si>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</si>
  <si>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</si>
  <si>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</si>
  <si>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</si>
  <si>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</si>
  <si>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</si>
  <si>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</si>
  <si>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</si>
  <si>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</si>
  <si>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</si>
  <si>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</si>
  <si>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</si>
  <si>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</si>
  <si>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</si>
  <si>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</si>
  <si>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</si>
  <si>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</si>
  <si>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</si>
  <si>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</si>
  <si>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</si>
  <si>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</si>
  <si>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</si>
  <si>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</si>
  <si>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</si>
  <si>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</si>
  <si>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</si>
  <si>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</si>
  <si>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</si>
  <si>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</si>
  <si>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</si>
  <si>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</si>
  <si>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</si>
  <si>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</si>
  <si>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</si>
  <si>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</si>
  <si>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</si>
  <si>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</si>
  <si>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</si>
  <si>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</si>
  <si>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</si>
  <si>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</si>
  <si>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</si>
  <si>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</si>
  <si>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</si>
  <si>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</si>
  <si>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</si>
  <si>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</si>
  <si>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</si>
  <si>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</si>
  <si>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</si>
  <si>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</si>
  <si>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</si>
  <si>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</si>
  <si>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</si>
  <si>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</si>
  <si>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</si>
  <si>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</si>
  <si>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</si>
  <si>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</si>
  <si>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</si>
  <si>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</si>
  <si>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</si>
  <si>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</si>
  <si>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</si>
  <si>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</si>
  <si>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</si>
  <si>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</si>
  <si>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</si>
  <si>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</si>
  <si>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</si>
  <si>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</si>
  <si>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</si>
  <si>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</si>
  <si>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</si>
  <si>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</si>
  <si>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</si>
  <si>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</si>
  <si>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</si>
  <si>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</si>
  <si>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</si>
  <si>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</si>
  <si>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</si>
  <si>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</si>
  <si>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</si>
  <si>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</si>
  <si>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</si>
  <si>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</si>
  <si>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</si>
  <si>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</si>
  <si>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</si>
  <si>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</si>
  <si>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</si>
  <si>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</si>
  <si>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</si>
  <si>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</si>
  <si>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</si>
  <si>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</si>
  <si>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</si>
  <si>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</si>
  <si>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</si>
  <si>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</si>
  <si>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</si>
  <si>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</si>
  <si>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</si>
  <si>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</si>
  <si>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</si>
  <si>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</si>
  <si>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</si>
  <si>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</si>
  <si>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</si>
  <si>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</si>
  <si>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</si>
  <si>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</si>
  <si>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</si>
  <si>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</si>
  <si>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</si>
  <si>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</si>
  <si>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</si>
  <si>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</si>
  <si>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</si>
  <si>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</si>
  <si>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</si>
  <si>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</si>
  <si>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</si>
  <si>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</si>
  <si>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</si>
  <si>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</si>
  <si>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</si>
  <si>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</si>
  <si>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</si>
  <si>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</si>
  <si>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</si>
  <si>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</si>
  <si>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</si>
  <si>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</si>
  <si>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</si>
  <si>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</si>
  <si>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</si>
  <si>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</si>
  <si>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</si>
  <si>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</si>
  <si>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</si>
  <si>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</si>
  <si>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</si>
  <si>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</si>
  <si>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</si>
  <si>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</si>
  <si>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</si>
  <si>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</si>
  <si>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</si>
  <si>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</si>
  <si>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</si>
  <si>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</si>
  <si>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</si>
  <si>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</si>
  <si>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</si>
  <si>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</si>
  <si>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</si>
  <si>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</si>
  <si>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</si>
  <si>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</si>
  <si>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</si>
  <si>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</si>
  <si>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</si>
  <si>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</si>
  <si>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</si>
  <si>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</si>
  <si>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</si>
  <si>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</si>
  <si>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</si>
  <si>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</si>
  <si>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</si>
  <si>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</si>
  <si>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</si>
  <si>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</si>
  <si>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</si>
  <si>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</si>
  <si>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</si>
  <si>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</si>
  <si>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</si>
  <si>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</si>
  <si>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</si>
  <si>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</si>
  <si>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</si>
  <si>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</si>
  <si>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</si>
  <si>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</si>
  <si>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</si>
  <si>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</si>
  <si>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</si>
  <si>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</si>
  <si>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</si>
  <si>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</si>
  <si>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</si>
  <si>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</si>
  <si>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</si>
  <si>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</si>
  <si>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</si>
  <si>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</si>
  <si>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</si>
  <si>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</si>
  <si>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</si>
  <si>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</si>
  <si>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</si>
  <si>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</si>
  <si>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</si>
  <si>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</si>
  <si>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</si>
  <si>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</si>
  <si>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</si>
  <si>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</si>
  <si>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</si>
  <si>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</si>
  <si>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</si>
  <si>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</si>
  <si>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</si>
  <si>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</si>
  <si>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</si>
  <si>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</si>
  <si>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</si>
  <si>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</si>
  <si>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</si>
  <si>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</si>
  <si>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</si>
  <si>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</si>
  <si>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</si>
  <si>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</si>
  <si>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</si>
  <si>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</si>
  <si>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</si>
  <si>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</si>
  <si>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</si>
  <si>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</si>
  <si>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</si>
  <si>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</si>
  <si>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</si>
  <si>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</si>
  <si>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</si>
  <si>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</si>
  <si>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</si>
  <si>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</si>
  <si>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</si>
  <si>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</si>
  <si>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</si>
  <si>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</si>
  <si>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</si>
  <si>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</si>
  <si>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</si>
  <si>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</si>
  <si>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</si>
  <si>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</si>
  <si>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</si>
  <si>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</si>
  <si>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</si>
  <si>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</si>
  <si>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</si>
  <si>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</si>
  <si>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</si>
  <si>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</si>
  <si>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</si>
  <si>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</si>
  <si>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</si>
  <si>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</si>
  <si>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</si>
  <si>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</si>
  <si>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</si>
  <si>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</si>
  <si>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</si>
  <si>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</si>
  <si>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</si>
  <si>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</si>
  <si>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</si>
  <si>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</si>
  <si>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</si>
  <si>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</si>
  <si>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</si>
  <si>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</si>
  <si>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</si>
  <si>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</si>
  <si>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</si>
  <si>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</si>
  <si>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</si>
  <si>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</si>
  <si>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</si>
  <si>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</si>
  <si>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</si>
  <si>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</si>
  <si>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</si>
  <si>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</si>
  <si>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</si>
  <si>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</si>
  <si>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</si>
  <si>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</si>
  <si>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</si>
  <si>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</si>
  <si>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</si>
  <si>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</si>
  <si>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</si>
  <si>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</si>
  <si>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</si>
  <si>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</si>
  <si>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</si>
  <si>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</si>
  <si>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</si>
  <si>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</si>
  <si>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</si>
  <si>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</si>
  <si>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</si>
  <si>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</si>
  <si>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</si>
  <si>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</si>
  <si>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</si>
  <si>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</si>
  <si>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</si>
  <si>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</si>
  <si>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</si>
  <si>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</si>
  <si>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</si>
  <si>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</si>
  <si>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</si>
  <si>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</si>
  <si>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</si>
  <si>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</si>
  <si>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</si>
  <si>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</si>
  <si>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</si>
  <si>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</si>
  <si>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</si>
  <si>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</si>
  <si>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</si>
  <si>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</si>
  <si>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</si>
  <si>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</si>
  <si>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</si>
  <si>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</si>
  <si>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</si>
  <si>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</si>
  <si>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</si>
  <si>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</si>
  <si>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</si>
  <si>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</si>
  <si>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</si>
  <si>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</si>
  <si>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</si>
  <si>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</si>
  <si>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</si>
  <si>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</si>
  <si>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</si>
  <si>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</si>
  <si>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</si>
  <si>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</si>
  <si>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</si>
  <si>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</si>
  <si>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</si>
  <si>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</si>
  <si>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</si>
  <si>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</si>
  <si>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</si>
  <si>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</si>
  <si>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</si>
  <si>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</si>
  <si>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</si>
  <si>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</si>
  <si>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</si>
  <si>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</si>
  <si>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</si>
  <si>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</si>
  <si>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</si>
  <si>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</si>
  <si>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</si>
  <si>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</si>
  <si>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</si>
  <si>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</si>
  <si>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</si>
  <si>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</si>
  <si>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</si>
  <si>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</si>
  <si>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</si>
  <si>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</si>
  <si>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</si>
  <si>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</si>
  <si>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</si>
  <si>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</si>
  <si>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</si>
  <si>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</si>
  <si>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</si>
  <si>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</si>
  <si>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</si>
  <si>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</si>
  <si>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</si>
  <si>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</si>
  <si>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</si>
  <si>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</si>
  <si>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</si>
  <si>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</si>
  <si>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</si>
  <si>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</si>
  <si>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</si>
  <si>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</si>
  <si>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</si>
  <si>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</si>
  <si>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</si>
  <si>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</si>
  <si>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</si>
  <si>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</si>
  <si>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</si>
  <si>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</si>
  <si>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</si>
  <si>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</si>
  <si>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</si>
  <si>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</si>
  <si>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</si>
  <si>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</si>
  <si>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</si>
  <si>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</si>
  <si>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</si>
  <si>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</si>
  <si>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</si>
  <si>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</si>
  <si>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</si>
  <si>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</si>
  <si>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</si>
  <si>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</si>
  <si>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</si>
  <si>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</si>
  <si>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</si>
  <si>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</si>
  <si>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</si>
  <si>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</si>
  <si>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</si>
  <si>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</si>
  <si>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</si>
  <si>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</si>
  <si>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</si>
  <si>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</si>
  <si>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</si>
  <si>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</si>
  <si>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</si>
  <si>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</si>
  <si>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</si>
  <si>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</si>
  <si>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</si>
  <si>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</si>
  <si>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</si>
  <si>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</si>
  <si>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</si>
  <si>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</si>
  <si>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</si>
  <si>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</si>
  <si>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</si>
  <si>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</si>
  <si>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</si>
  <si>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</si>
  <si>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</si>
  <si>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</si>
  <si>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</si>
  <si>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</si>
  <si>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</si>
  <si>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</si>
  <si>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</si>
  <si>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</si>
  <si>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</si>
  <si>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</si>
  <si>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</si>
  <si>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</si>
  <si>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</si>
  <si>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</si>
  <si>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</si>
  <si>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</si>
  <si>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</si>
  <si>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</si>
  <si>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</si>
  <si>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</si>
  <si>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</si>
  <si>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</si>
  <si>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</si>
  <si>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</si>
  <si>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</si>
  <si>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</si>
  <si>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</si>
  <si>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</si>
  <si>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</si>
  <si>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</si>
  <si>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</si>
  <si>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</si>
  <si>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</si>
  <si>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</si>
  <si>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</si>
  <si>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</si>
  <si>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</si>
  <si>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</si>
  <si>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</si>
  <si>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</si>
  <si>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</si>
  <si>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</si>
  <si>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</si>
  <si>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</si>
  <si>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</si>
  <si>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</si>
  <si>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</si>
  <si>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</si>
  <si>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</si>
  <si>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</si>
  <si>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</si>
  <si>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</si>
  <si>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</si>
  <si>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</si>
  <si>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</si>
  <si>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</si>
  <si>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</si>
  <si>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</si>
  <si>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</si>
  <si>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</si>
  <si>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</si>
  <si>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</si>
  <si>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</si>
  <si>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</si>
  <si>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</si>
  <si>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</si>
  <si>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</si>
  <si>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</si>
  <si>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</si>
  <si>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</si>
  <si>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</si>
  <si>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</si>
  <si>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</si>
  <si>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</si>
  <si>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</si>
  <si>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</si>
  <si>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</si>
  <si>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</si>
  <si>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</si>
  <si>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</si>
  <si>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</si>
  <si>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</si>
  <si>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</si>
  <si>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</si>
  <si>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</si>
  <si>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</si>
  <si>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</si>
  <si>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</si>
  <si>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</si>
  <si>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</si>
  <si>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</si>
  <si>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</si>
  <si>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</si>
  <si>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</si>
  <si>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</si>
  <si>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</si>
  <si>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</si>
  <si>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</si>
  <si>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</si>
  <si>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</si>
  <si>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</si>
  <si>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</si>
  <si>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</si>
  <si>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</si>
  <si>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</si>
  <si>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</si>
  <si>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</si>
  <si>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</si>
  <si>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</si>
  <si>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</si>
  <si>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</si>
  <si>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</si>
  <si>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</si>
  <si>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</si>
  <si>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</si>
  <si>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</si>
  <si>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</si>
  <si>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</si>
  <si>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</si>
  <si>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</si>
  <si>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</si>
  <si>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</si>
  <si>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</si>
  <si>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</si>
  <si>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</si>
  <si>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</si>
  <si>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</si>
  <si>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</si>
  <si>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</si>
  <si>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</si>
  <si>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</si>
  <si>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</si>
  <si>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</si>
  <si>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</si>
  <si>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</si>
  <si>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</si>
  <si>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</si>
  <si>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</si>
  <si>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</si>
  <si>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</si>
  <si>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</si>
  <si>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</si>
  <si>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</si>
  <si>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</si>
  <si>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</si>
  <si>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</si>
  <si>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</si>
  <si>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</si>
  <si>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</si>
  <si>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</si>
  <si>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</si>
  <si>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</si>
  <si>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</si>
  <si>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</si>
  <si>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</si>
  <si>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</si>
  <si>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</si>
  <si>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</si>
  <si>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</si>
  <si>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</si>
  <si>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</si>
  <si>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</si>
  <si>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</si>
  <si>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</si>
  <si>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</si>
  <si>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</si>
  <si>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</si>
  <si>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</si>
  <si>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</si>
  <si>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</si>
  <si>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</si>
  <si>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</si>
  <si>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</si>
  <si>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</si>
  <si>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</si>
  <si>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</si>
  <si>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</si>
  <si>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</si>
  <si>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</si>
  <si>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</si>
  <si>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</si>
  <si>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</si>
  <si>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</si>
  <si>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</si>
  <si>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</si>
  <si>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</si>
  <si>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</si>
  <si>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</si>
  <si>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</si>
  <si>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</si>
  <si>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</si>
  <si>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</si>
  <si>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</si>
  <si>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</si>
  <si>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</si>
  <si>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</si>
  <si>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</si>
  <si>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</si>
  <si>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</si>
  <si>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</si>
  <si>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</si>
  <si>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</si>
  <si>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</si>
  <si>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</si>
  <si>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</si>
  <si>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</si>
  <si>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</si>
  <si>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</si>
  <si>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</si>
  <si>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</si>
  <si>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</si>
  <si>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</si>
  <si>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</si>
  <si>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</si>
  <si>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</si>
  <si>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</si>
  <si>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</si>
  <si>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</si>
  <si>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</si>
  <si>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</si>
  <si>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</si>
  <si>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</si>
  <si>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</si>
  <si>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</si>
  <si>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</si>
  <si>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</si>
  <si>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</si>
  <si>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</si>
  <si>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</si>
  <si>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</si>
  <si>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</si>
  <si>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</si>
  <si>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</si>
  <si>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</si>
  <si>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</si>
  <si>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</si>
  <si>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</si>
  <si>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</si>
  <si>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</si>
  <si>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</si>
  <si>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</si>
  <si>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</si>
  <si>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</si>
  <si>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</si>
  <si>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</si>
  <si>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</si>
  <si>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</si>
  <si>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</si>
  <si>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</si>
  <si>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</si>
  <si>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</si>
  <si>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</si>
  <si>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</si>
  <si>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</si>
  <si>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</si>
  <si>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</si>
  <si>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</si>
  <si>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</si>
  <si>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</si>
  <si>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</si>
  <si>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</si>
  <si>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</si>
  <si>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</si>
  <si>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</si>
  <si>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</si>
  <si>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</si>
  <si>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</si>
  <si>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</si>
  <si>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</si>
  <si>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</si>
  <si>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</si>
  <si>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</si>
  <si>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</si>
  <si>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</si>
  <si>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</si>
  <si>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</si>
  <si>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</si>
  <si>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</si>
  <si>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</si>
  <si>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</si>
  <si>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</si>
  <si>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</si>
  <si>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</si>
  <si>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</si>
  <si>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</si>
  <si>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</si>
  <si>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</si>
  <si>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</si>
  <si>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</si>
  <si>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</si>
  <si>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</si>
  <si>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</si>
  <si>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</si>
  <si>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</si>
  <si>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</si>
  <si>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</si>
  <si>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</si>
  <si>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</si>
  <si>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</si>
  <si>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</si>
  <si>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</si>
  <si>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</si>
  <si>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</si>
  <si>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</si>
  <si>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</si>
  <si>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</si>
  <si>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</si>
  <si>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</si>
  <si>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</si>
  <si>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</si>
  <si>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</si>
  <si>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</si>
  <si>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</si>
  <si>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</si>
  <si>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</si>
  <si>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</si>
  <si>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</si>
  <si>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</si>
  <si>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</si>
  <si>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</si>
  <si>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</si>
  <si>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</si>
  <si>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</si>
  <si>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</si>
  <si>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</si>
  <si>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</si>
  <si>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</si>
  <si>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</si>
  <si>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</si>
  <si>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</si>
  <si>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</si>
  <si>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</si>
  <si>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</si>
  <si>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</si>
  <si>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</si>
  <si>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</si>
  <si>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</si>
  <si>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</si>
  <si>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</si>
  <si>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</si>
  <si>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</si>
  <si>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</si>
  <si>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</si>
  <si>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</si>
  <si>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</si>
  <si>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</si>
  <si>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</si>
  <si>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</si>
  <si>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</si>
  <si>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</si>
  <si>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</si>
  <si>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</si>
  <si>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</si>
  <si>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</si>
  <si>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</si>
  <si>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</si>
  <si>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</si>
  <si>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</si>
  <si>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</si>
  <si>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</si>
  <si>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</si>
  <si>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</si>
  <si>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</si>
  <si>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</si>
  <si>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</si>
  <si>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</si>
  <si>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</si>
  <si>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</si>
  <si>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</si>
  <si>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</si>
  <si>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</si>
  <si>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</si>
  <si>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</si>
  <si>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</si>
  <si>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</si>
  <si>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</si>
  <si>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</si>
  <si>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</si>
  <si>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</si>
  <si>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</si>
  <si>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</si>
  <si>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</si>
  <si>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</si>
  <si>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</si>
  <si>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</si>
  <si>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</si>
  <si>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</si>
  <si>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</si>
  <si>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</si>
  <si>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</si>
  <si>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</si>
  <si>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</si>
  <si>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</si>
  <si>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</si>
  <si>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</si>
  <si>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</si>
  <si>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</si>
  <si>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</si>
  <si>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</si>
  <si>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</si>
  <si>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</si>
  <si>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</si>
  <si>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</si>
  <si>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</si>
  <si>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</si>
  <si>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</si>
  <si>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</si>
  <si>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</si>
  <si>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</si>
  <si>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</si>
  <si>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</si>
  <si>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</si>
  <si>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</si>
  <si>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</si>
  <si>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</si>
  <si>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</si>
  <si>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</si>
  <si>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</si>
  <si>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</si>
  <si>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</si>
  <si>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</si>
  <si>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</si>
  <si>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</si>
  <si>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</si>
  <si>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</si>
  <si>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</si>
  <si>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</si>
  <si>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</si>
  <si>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</si>
  <si>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</si>
  <si>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</si>
  <si>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</si>
  <si>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</si>
  <si>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</si>
  <si>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</si>
  <si>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</si>
  <si>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</si>
  <si>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</si>
  <si>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</si>
  <si>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</si>
  <si>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</si>
  <si>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</si>
  <si>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</si>
  <si>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</si>
  <si>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</si>
  <si>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</si>
  <si>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</si>
  <si>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</si>
  <si>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</si>
  <si>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</si>
  <si>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</si>
  <si>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</si>
  <si>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</si>
  <si>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</si>
  <si>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</si>
  <si>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</si>
  <si>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</si>
  <si>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</si>
  <si>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</si>
  <si>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</si>
  <si>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</si>
  <si>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</si>
  <si>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</si>
  <si>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</si>
  <si>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</si>
  <si>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</si>
  <si>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</si>
  <si>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</si>
  <si>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</si>
  <si>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</si>
  <si>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</si>
  <si>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</si>
  <si>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</si>
  <si>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</si>
  <si>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</si>
  <si>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</si>
  <si>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</si>
  <si>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</si>
  <si>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</si>
  <si>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</si>
  <si>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</si>
  <si>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</si>
  <si>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</si>
  <si>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</si>
  <si>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</si>
  <si>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</si>
  <si>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</si>
  <si>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</si>
  <si>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</si>
  <si>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</si>
  <si>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</si>
  <si>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</si>
  <si>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</si>
  <si>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</si>
  <si>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</si>
  <si>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</si>
  <si>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</si>
  <si>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</si>
  <si>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</si>
  <si>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</si>
  <si>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</si>
  <si>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</si>
  <si>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</si>
  <si>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</si>
  <si>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</si>
  <si>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</si>
  <si>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</si>
  <si>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</si>
  <si>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</si>
  <si>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</si>
  <si>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</si>
  <si>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</si>
  <si>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</si>
  <si>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</si>
  <si>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</si>
  <si>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</si>
  <si>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</si>
  <si>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</si>
  <si>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</si>
  <si>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</si>
  <si>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</si>
  <si>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</si>
  <si>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</si>
  <si>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</si>
  <si>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</si>
  <si>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</si>
  <si>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</si>
  <si>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</si>
  <si>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</si>
  <si>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</si>
  <si>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</si>
  <si>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</si>
  <si>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</si>
  <si>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</si>
  <si>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</si>
  <si>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</si>
  <si>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</si>
  <si>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</si>
  <si>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</si>
  <si>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</si>
  <si>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</si>
  <si>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</si>
  <si>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</si>
  <si>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</si>
  <si>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</si>
  <si>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</si>
  <si>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</si>
  <si>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</si>
  <si>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</si>
  <si>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</si>
  <si>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</si>
  <si>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</si>
  <si>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</si>
  <si>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</si>
  <si>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</si>
  <si>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</si>
  <si>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</si>
  <si>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</si>
  <si>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</si>
  <si>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</si>
  <si>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</si>
  <si>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</si>
  <si>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</si>
  <si>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</si>
  <si>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</si>
  <si>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</si>
  <si>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</si>
  <si>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</si>
  <si>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</si>
  <si>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</si>
  <si>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</si>
  <si>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</si>
  <si>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</si>
  <si>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</si>
  <si>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</si>
  <si>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</si>
  <si>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</si>
  <si>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</si>
  <si>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</si>
  <si>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</si>
  <si>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</si>
  <si>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</si>
  <si>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</si>
  <si>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</si>
  <si>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</si>
  <si>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</si>
  <si>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</si>
  <si>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</si>
  <si>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</si>
  <si>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</si>
  <si>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</si>
  <si>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</si>
  <si>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</si>
  <si>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</si>
  <si>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</si>
  <si>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</si>
  <si>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</si>
  <si>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</si>
  <si>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</si>
  <si>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</si>
  <si>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</si>
  <si>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</si>
  <si>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</si>
  <si>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</si>
  <si>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</si>
  <si>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</si>
  <si>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</si>
  <si>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</si>
  <si>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</si>
  <si>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</si>
  <si>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</si>
  <si>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</si>
  <si>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</si>
  <si>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</si>
  <si>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</si>
  <si>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</si>
  <si>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</si>
  <si>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</si>
  <si>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</si>
  <si>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</si>
  <si>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</si>
  <si>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</si>
  <si>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</si>
  <si>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</si>
  <si>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</si>
  <si>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</si>
  <si>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</si>
  <si>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</si>
  <si>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</si>
  <si>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</si>
  <si>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</si>
  <si>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</si>
  <si>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</si>
  <si>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</si>
  <si>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</si>
  <si>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</si>
  <si>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</si>
  <si>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</si>
  <si>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</si>
  <si>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</si>
  <si>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</si>
  <si>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</si>
  <si>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</si>
  <si>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</si>
  <si>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</si>
  <si>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</si>
  <si>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</si>
  <si>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</si>
  <si>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</si>
  <si>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</si>
  <si>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</si>
  <si>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</si>
  <si>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</si>
  <si>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</si>
  <si>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</si>
  <si>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</si>
  <si>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</si>
  <si>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</si>
  <si>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</si>
  <si>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</si>
  <si>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</si>
  <si>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</si>
  <si>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</si>
  <si>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</si>
  <si>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</si>
  <si>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</si>
  <si>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</si>
  <si>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</si>
  <si>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</si>
  <si>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</si>
  <si>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</si>
  <si>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</si>
  <si>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</si>
  <si>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</si>
  <si>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</si>
  <si>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</si>
  <si>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</si>
  <si>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</si>
  <si>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</si>
  <si>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</si>
  <si>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</si>
  <si>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</si>
  <si>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</si>
  <si>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</si>
  <si>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</si>
  <si>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</si>
  <si>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</si>
  <si>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</si>
  <si>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</si>
  <si>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</si>
  <si>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</si>
  <si>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</si>
  <si>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</si>
  <si>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</si>
  <si>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</si>
  <si>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</si>
  <si>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</si>
  <si>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</si>
  <si>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</si>
  <si>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</si>
  <si>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</si>
  <si>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</si>
  <si>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</si>
  <si>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</si>
  <si>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</si>
  <si>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</si>
  <si>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</si>
  <si>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</si>
  <si>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</si>
  <si>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</si>
  <si>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</si>
  <si>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</si>
  <si>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</si>
  <si>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</si>
  <si>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</si>
  <si>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</si>
  <si>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</si>
  <si>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</si>
  <si>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</si>
  <si>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</si>
  <si>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</si>
  <si>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</si>
  <si>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</si>
  <si>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</si>
  <si>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</si>
  <si>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</si>
  <si>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</si>
  <si>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</si>
  <si>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</si>
  <si>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</si>
  <si>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</si>
  <si>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</si>
  <si>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</si>
  <si>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</si>
  <si>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</si>
  <si>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</si>
  <si>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</si>
  <si>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</si>
  <si>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</si>
  <si>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</si>
  <si>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</si>
  <si>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</si>
  <si>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</si>
  <si>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</si>
  <si>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</si>
  <si>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</si>
  <si>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</si>
  <si>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</si>
  <si>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</si>
  <si>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</si>
  <si>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</si>
  <si>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</si>
  <si>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</si>
  <si>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</si>
  <si>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</si>
  <si>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</si>
  <si>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</si>
  <si>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</si>
  <si>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</si>
  <si>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</si>
  <si>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</si>
  <si>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</si>
  <si>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</si>
  <si>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</si>
  <si>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</si>
  <si>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</si>
  <si>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</si>
  <si>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</si>
  <si>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</si>
  <si>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</si>
  <si>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</si>
  <si>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</si>
  <si>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</si>
  <si>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</si>
  <si>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</si>
  <si>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</si>
  <si>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</si>
  <si>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</si>
  <si>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</si>
  <si>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</si>
  <si>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</si>
  <si>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</si>
  <si>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</si>
  <si>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</si>
  <si>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</si>
  <si>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</si>
  <si>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</si>
  <si>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</si>
  <si>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</si>
  <si>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</si>
  <si>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</si>
  <si>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</si>
  <si>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</si>
  <si>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</si>
  <si>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</si>
  <si>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</si>
  <si>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</si>
  <si>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</si>
  <si>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</si>
  <si>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</si>
  <si>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</si>
  <si>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</si>
  <si>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</si>
  <si>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</si>
  <si>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</si>
  <si>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</si>
  <si>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</si>
  <si>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</si>
  <si>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</si>
  <si>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</si>
  <si>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</si>
  <si>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</si>
  <si>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</si>
  <si>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</si>
  <si>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</si>
  <si>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</si>
  <si>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</si>
  <si>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</si>
  <si>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</si>
  <si>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</si>
  <si>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</si>
  <si>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</si>
  <si>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</si>
  <si>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</si>
  <si>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</si>
  <si>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</si>
  <si>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</si>
  <si>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</si>
  <si>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</si>
  <si>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</si>
  <si>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</si>
  <si>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</si>
  <si>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</si>
  <si>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</si>
  <si>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</si>
  <si>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</si>
  <si>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</si>
  <si>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</si>
  <si>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</si>
  <si>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</si>
  <si>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</si>
  <si>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</si>
  <si>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</si>
  <si>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</si>
  <si>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</si>
  <si>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</si>
  <si>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</si>
  <si>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</si>
  <si>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</si>
  <si>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</si>
  <si>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</si>
  <si>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</si>
  <si>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</si>
  <si>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</si>
  <si>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</si>
  <si>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</si>
  <si>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</si>
  <si>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</si>
  <si>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</si>
  <si>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</si>
  <si>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</si>
  <si>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</si>
  <si>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</si>
  <si>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</si>
  <si>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</si>
  <si>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</si>
  <si>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</si>
  <si>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</si>
  <si>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</si>
  <si>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</si>
  <si>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</si>
  <si>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</si>
  <si>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</si>
  <si>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</si>
  <si>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</si>
  <si>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</si>
  <si>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</si>
  <si>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</si>
  <si>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</si>
  <si>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</si>
  <si>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</si>
  <si>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</si>
  <si>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</si>
  <si>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</si>
  <si>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</si>
  <si>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</si>
  <si>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</si>
  <si>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</si>
  <si>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</si>
  <si>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</si>
  <si>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</si>
  <si>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</si>
  <si>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</si>
  <si>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</si>
  <si>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</si>
  <si>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</si>
  <si>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</si>
  <si>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</si>
  <si>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</si>
  <si>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</si>
  <si>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</si>
  <si>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</si>
  <si>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</si>
  <si>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</si>
  <si>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</si>
  <si>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</si>
  <si>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</si>
  <si>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</si>
  <si>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</si>
  <si>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</si>
  <si>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</si>
  <si>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</si>
  <si>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</si>
  <si>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</si>
  <si>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</si>
  <si>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</si>
  <si>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</si>
  <si>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</si>
  <si>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</si>
  <si>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</si>
  <si>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</si>
  <si>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</si>
  <si>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</si>
  <si>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</si>
  <si>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</si>
  <si>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</si>
  <si>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</si>
  <si>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</si>
  <si>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</si>
  <si>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</si>
  <si>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</si>
  <si>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</si>
  <si>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</si>
  <si>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</si>
  <si>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</si>
  <si>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</si>
  <si>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</si>
  <si>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</si>
  <si>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</si>
  <si>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</si>
  <si>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</si>
  <si>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</si>
  <si>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</si>
  <si>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</si>
  <si>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</si>
  <si>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</si>
  <si>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</si>
  <si>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</si>
  <si>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</si>
  <si>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</si>
  <si>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</si>
  <si>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</si>
  <si>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</si>
  <si>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</si>
  <si>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</si>
  <si>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</si>
  <si>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</si>
  <si>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</si>
  <si>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</si>
  <si>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</si>
  <si>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</si>
  <si>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</si>
  <si>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</si>
  <si>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</si>
  <si>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</si>
  <si>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</si>
  <si>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</si>
  <si>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</si>
  <si>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</si>
  <si>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</si>
  <si>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</si>
  <si>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</si>
  <si>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</si>
  <si>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</si>
  <si>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</si>
  <si>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</si>
  <si>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</si>
  <si>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</si>
  <si>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</si>
  <si>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</si>
  <si>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</si>
  <si>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</si>
  <si>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</si>
  <si>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</si>
  <si>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</si>
  <si>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</si>
  <si>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</si>
  <si>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</si>
  <si>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</si>
  <si>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</si>
  <si>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</si>
  <si>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</si>
  <si>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</si>
  <si>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</si>
  <si>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</si>
  <si>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</si>
  <si>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</si>
  <si>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</si>
  <si>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</si>
  <si>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</si>
  <si>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</si>
  <si>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</si>
  <si>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</si>
  <si>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</si>
  <si>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</si>
  <si>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</si>
  <si>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</si>
  <si>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</si>
  <si>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</si>
  <si>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</si>
  <si>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</si>
  <si>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</si>
  <si>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</si>
  <si>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</si>
  <si>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</si>
  <si>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</si>
  <si>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</si>
  <si>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</si>
  <si>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</si>
  <si>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</si>
  <si>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</si>
  <si>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</si>
  <si>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</si>
  <si>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</si>
  <si>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</si>
  <si>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</si>
  <si>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</si>
  <si>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</si>
  <si>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</si>
  <si>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</si>
  <si>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</si>
  <si>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</si>
  <si>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</si>
  <si>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</si>
  <si>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</si>
  <si>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</si>
  <si>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</si>
  <si>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</si>
  <si>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</si>
  <si>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</si>
  <si>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</si>
  <si>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</si>
  <si>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</si>
  <si>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</si>
  <si>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</si>
  <si>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</si>
  <si>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</si>
  <si>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</si>
  <si>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</si>
  <si>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</si>
  <si>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</si>
  <si>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</si>
  <si>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</si>
  <si>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</si>
  <si>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</si>
  <si>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</si>
  <si>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</si>
  <si>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</si>
  <si>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</si>
  <si>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</si>
  <si>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</si>
  <si>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</si>
  <si>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</si>
  <si>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</si>
  <si>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</si>
  <si>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</si>
  <si>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</si>
  <si>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</si>
  <si>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</si>
  <si>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</si>
  <si>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</si>
  <si>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</si>
  <si>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</si>
  <si>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</si>
  <si>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</si>
  <si>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</si>
  <si>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</si>
  <si>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</si>
  <si>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</si>
  <si>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</si>
  <si>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</si>
  <si>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</si>
  <si>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</si>
  <si>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</si>
  <si>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</si>
  <si>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</si>
  <si>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</si>
  <si>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</si>
  <si>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</si>
  <si>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</si>
  <si>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</si>
  <si>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</si>
  <si>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</si>
  <si>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</si>
  <si>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</si>
  <si>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</si>
  <si>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</si>
  <si>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</si>
  <si>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</si>
  <si>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</si>
  <si>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</si>
  <si>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</si>
  <si>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</si>
  <si>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</si>
  <si>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</si>
  <si>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</si>
  <si>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</si>
  <si>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</si>
  <si>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</si>
  <si>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</si>
  <si>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</si>
  <si>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</si>
  <si>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</si>
  <si>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</si>
  <si>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</si>
  <si>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</si>
  <si>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</si>
  <si>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</si>
  <si>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</si>
  <si>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</si>
  <si>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</si>
  <si>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</si>
  <si>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</si>
  <si>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</si>
  <si>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</si>
  <si>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</si>
  <si>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</si>
  <si>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</si>
  <si>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</si>
  <si>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</si>
  <si>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</si>
  <si>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</si>
  <si>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</si>
  <si>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</si>
  <si>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</si>
  <si>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</si>
  <si>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</si>
  <si>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</si>
  <si>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</si>
  <si>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</si>
  <si>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</si>
  <si>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</si>
  <si>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</si>
  <si>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</si>
  <si>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</si>
  <si>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</si>
  <si>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</si>
  <si>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</si>
  <si>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</si>
  <si>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</si>
  <si>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</si>
  <si>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</si>
  <si>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</si>
  <si>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</si>
  <si>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</si>
  <si>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</si>
  <si>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</si>
  <si>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</si>
  <si>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</si>
  <si>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</si>
  <si>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</si>
  <si>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</si>
  <si>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</si>
  <si>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</si>
  <si>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</si>
  <si>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</si>
  <si>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</si>
  <si>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</si>
  <si>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</si>
  <si>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</si>
  <si>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</si>
  <si>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</si>
  <si>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</si>
  <si>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</si>
  <si>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</si>
  <si>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</si>
  <si>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</si>
  <si>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</si>
  <si>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</si>
  <si>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</si>
  <si>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</si>
  <si>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</si>
  <si>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</si>
  <si>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</si>
  <si>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</si>
  <si>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</si>
  <si>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</si>
  <si>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</si>
  <si>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</si>
  <si>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</si>
  <si>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</si>
  <si>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</si>
  <si>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</si>
  <si>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</si>
  <si>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</si>
  <si>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</si>
  <si>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</si>
  <si>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</si>
  <si>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</si>
  <si>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</si>
  <si>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</si>
  <si>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</si>
  <si>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</si>
  <si>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</si>
  <si>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</si>
  <si>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</si>
  <si>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</si>
  <si>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</si>
  <si>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</si>
  <si>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</si>
  <si>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</si>
  <si>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</si>
  <si>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</si>
  <si>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</si>
  <si>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</si>
  <si>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</si>
  <si>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</si>
  <si>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</si>
  <si>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</si>
  <si>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</si>
  <si>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</si>
  <si>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</si>
  <si>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</si>
  <si>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</si>
  <si>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</si>
  <si>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</si>
  <si>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</si>
  <si>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</si>
  <si>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</si>
  <si>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</si>
  <si>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</si>
  <si>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</si>
  <si>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</si>
  <si>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</si>
  <si>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</si>
  <si>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</si>
  <si>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</si>
  <si>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</si>
  <si>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</si>
  <si>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</si>
  <si>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</si>
  <si>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</si>
  <si>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</si>
  <si>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</si>
  <si>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</si>
  <si>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</si>
  <si>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</si>
  <si>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</si>
  <si>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</si>
  <si>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</si>
  <si>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</si>
  <si>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</si>
  <si>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</si>
  <si>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</si>
  <si>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</si>
  <si>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</si>
  <si>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</si>
  <si>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</si>
  <si>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</si>
  <si>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</si>
  <si>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</si>
  <si>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</si>
  <si>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</si>
  <si>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</si>
  <si>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</si>
  <si>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</si>
  <si>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</si>
  <si>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</si>
  <si>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</si>
  <si>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</si>
  <si>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</si>
  <si>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</si>
  <si>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</si>
  <si>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</si>
  <si>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</si>
  <si>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</si>
  <si>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</si>
  <si>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</si>
  <si>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</si>
  <si>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</si>
  <si>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</si>
  <si>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</si>
  <si>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</si>
  <si>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</si>
  <si>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</si>
  <si>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</si>
  <si>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</si>
  <si>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</si>
  <si>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</si>
  <si>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</si>
  <si>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</si>
  <si>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</si>
  <si>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</si>
  <si>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</si>
  <si>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</si>
  <si>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</si>
  <si>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</si>
  <si>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</si>
  <si>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</si>
  <si>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</si>
  <si>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</si>
  <si>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</si>
  <si>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</si>
  <si>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</si>
  <si>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</si>
  <si>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</si>
  <si>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</si>
  <si>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</si>
  <si>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</si>
  <si>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</si>
  <si>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</si>
  <si>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</si>
  <si>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</si>
  <si>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</si>
  <si>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</si>
  <si>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</si>
  <si>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</si>
  <si>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</si>
  <si>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</si>
  <si>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</si>
  <si>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</si>
  <si>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</si>
  <si>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</si>
  <si>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</si>
  <si>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</si>
  <si>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</si>
  <si>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</si>
  <si>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</si>
  <si>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</si>
  <si>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</si>
  <si>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</si>
  <si>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</si>
  <si>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</si>
  <si>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</si>
  <si>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</si>
  <si>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</si>
  <si>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</si>
  <si>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</si>
  <si>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</si>
  <si>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</si>
  <si>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</si>
  <si>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</si>
  <si>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</si>
  <si>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</si>
  <si>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</si>
  <si>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</si>
  <si>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</si>
  <si>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</si>
  <si>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</si>
  <si>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</si>
  <si>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</si>
  <si>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</si>
  <si>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</si>
  <si>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</si>
  <si>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</si>
  <si>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</si>
  <si>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</si>
  <si>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</si>
  <si>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</si>
  <si>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</si>
  <si>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</si>
  <si>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</si>
  <si>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</si>
  <si>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</si>
  <si>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</si>
  <si>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</si>
  <si>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</si>
  <si>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</si>
  <si>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</si>
  <si>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</si>
  <si>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</si>
  <si>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</si>
  <si>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</si>
  <si>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</si>
  <si>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</si>
  <si>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</si>
  <si>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</si>
  <si>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</si>
  <si>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</si>
  <si>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</si>
  <si>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</si>
  <si>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</si>
  <si>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</si>
  <si>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</si>
  <si>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</si>
  <si>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</si>
  <si>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</si>
  <si>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</si>
  <si>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</si>
  <si>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</si>
  <si>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</si>
  <si>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</si>
  <si>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</si>
  <si>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</si>
  <si>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</si>
  <si>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</si>
  <si>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</si>
  <si>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</si>
  <si>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</si>
  <si>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</si>
  <si>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</si>
  <si>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</si>
  <si>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</si>
  <si>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</si>
  <si>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</si>
  <si>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</si>
  <si>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</si>
  <si>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</si>
  <si>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</si>
  <si>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</si>
  <si>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</si>
  <si>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</si>
  <si>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</si>
  <si>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</si>
  <si>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</si>
  <si>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</si>
  <si>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</si>
  <si>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</si>
  <si>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</si>
  <si>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</si>
  <si>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</si>
  <si>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</si>
  <si>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</si>
  <si>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</si>
  <si>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</si>
  <si>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</si>
  <si>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</si>
  <si>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</si>
  <si>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</si>
  <si>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</si>
  <si>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</si>
  <si>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</si>
  <si>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</si>
  <si>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</si>
  <si>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</si>
  <si>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</si>
  <si>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</si>
  <si>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</si>
  <si>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</si>
  <si>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</si>
  <si>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</si>
  <si>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</si>
  <si>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</si>
  <si>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</si>
  <si>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</si>
  <si>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</si>
  <si>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</si>
  <si>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</si>
  <si>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</si>
  <si>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</si>
  <si>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</si>
  <si>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</si>
  <si>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</si>
  <si>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</si>
  <si>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</si>
  <si>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</si>
  <si>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</si>
  <si>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</si>
  <si>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</si>
  <si>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</si>
  <si>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</si>
  <si>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</si>
  <si>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</si>
  <si>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</si>
  <si>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</si>
  <si>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</si>
  <si>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</si>
  <si>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</si>
  <si>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</si>
  <si>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</si>
  <si>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</si>
  <si>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</si>
  <si>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</si>
  <si>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</si>
  <si>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</si>
  <si>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</si>
  <si>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</si>
  <si>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</si>
  <si>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</si>
  <si>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</si>
  <si>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</si>
  <si>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</si>
  <si>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</si>
  <si>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</si>
  <si>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</si>
  <si>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</si>
  <si>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</si>
  <si>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</si>
  <si>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</si>
  <si>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</si>
  <si>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</si>
  <si>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</si>
  <si>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</si>
  <si>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</si>
  <si>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</si>
  <si>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</si>
  <si>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</si>
  <si>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</si>
  <si>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</si>
  <si>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</si>
  <si>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</si>
  <si>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</si>
  <si>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</si>
  <si>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</si>
  <si>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</si>
  <si>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</si>
  <si>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</si>
  <si>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</si>
  <si>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</si>
  <si>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</si>
  <si>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</si>
  <si>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</si>
  <si>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</si>
  <si>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</si>
  <si>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</si>
  <si>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</si>
  <si>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</si>
  <si>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</si>
  <si>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</si>
  <si>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</si>
  <si>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</si>
  <si>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</si>
  <si>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</si>
  <si>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</si>
  <si>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</si>
  <si>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</si>
  <si>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</si>
  <si>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</si>
  <si>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</si>
  <si>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</si>
  <si>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</si>
  <si>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</si>
  <si>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</si>
  <si>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</si>
  <si>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</si>
  <si>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</si>
  <si>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</si>
  <si>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</si>
  <si>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</si>
  <si>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</si>
  <si>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</si>
  <si>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</si>
  <si>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</si>
  <si>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</si>
  <si>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</si>
  <si>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</si>
  <si>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</si>
  <si>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</si>
  <si>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</si>
  <si>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</si>
  <si>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</si>
  <si>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</si>
  <si>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</si>
  <si>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</si>
  <si>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</si>
  <si>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</si>
  <si>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</si>
  <si>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</si>
  <si>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</si>
  <si>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</si>
  <si>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</si>
  <si>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</si>
  <si>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</si>
  <si>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</si>
  <si>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</si>
  <si>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</si>
  <si>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</si>
  <si>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</si>
  <si>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</si>
  <si>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</si>
  <si>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</si>
  <si>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</si>
  <si>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</si>
  <si>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</si>
  <si>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</si>
  <si>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</si>
  <si>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</si>
  <si>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</si>
  <si>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</si>
  <si>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</si>
  <si>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</si>
  <si>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</si>
  <si>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</si>
  <si>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</si>
  <si>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</si>
  <si>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</si>
  <si>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</si>
  <si>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</si>
  <si>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</si>
  <si>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</si>
  <si>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</si>
  <si>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</si>
  <si>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</si>
  <si>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</si>
  <si>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</si>
  <si>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</si>
  <si>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</si>
  <si>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</si>
  <si>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</si>
  <si>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</si>
  <si>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</si>
  <si>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</si>
  <si>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</si>
  <si>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</si>
  <si>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</si>
  <si>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</si>
  <si>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</si>
  <si>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</si>
  <si>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</si>
  <si>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</si>
  <si>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</si>
  <si>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</si>
  <si>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</si>
  <si>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</si>
  <si>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</si>
  <si>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</si>
  <si>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</si>
  <si>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</si>
  <si>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</si>
  <si>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</si>
  <si>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</si>
  <si>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</si>
  <si>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</si>
  <si>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</si>
  <si>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</si>
  <si>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</si>
  <si>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</si>
  <si>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</si>
  <si>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</si>
  <si>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</si>
  <si>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</si>
  <si>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</si>
  <si>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</si>
  <si>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</si>
  <si>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</si>
  <si>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</si>
  <si>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</si>
  <si>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</si>
  <si>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</si>
  <si>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</si>
  <si>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</si>
  <si>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</si>
  <si>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</si>
  <si>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</si>
  <si>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</si>
  <si>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</si>
  <si>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</si>
  <si>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</si>
  <si>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</si>
  <si>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</si>
  <si>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</si>
  <si>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</si>
  <si>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</si>
  <si>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</si>
  <si>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</si>
  <si>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</si>
  <si>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</si>
  <si>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</si>
  <si>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</si>
  <si>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</si>
  <si>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</si>
  <si>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</si>
  <si>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</si>
  <si>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</si>
  <si>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</si>
  <si>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</si>
  <si>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</si>
  <si>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</si>
  <si>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</si>
  <si>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</si>
  <si>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</si>
  <si>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</si>
  <si>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</si>
  <si>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</si>
  <si>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</si>
  <si>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</si>
  <si>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</si>
  <si>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</si>
  <si>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</si>
  <si>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</si>
  <si>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</si>
  <si>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</si>
  <si>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</si>
  <si>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</si>
  <si>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</si>
  <si>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</si>
  <si>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</si>
  <si>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</si>
  <si>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</si>
  <si>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</si>
  <si>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</si>
  <si>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</si>
  <si>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</si>
  <si>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</si>
  <si>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</si>
  <si>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</si>
  <si>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</si>
  <si>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</si>
  <si>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</si>
  <si>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</si>
  <si>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</si>
  <si>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</si>
  <si>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</si>
  <si>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</si>
  <si>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</si>
  <si>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</si>
  <si>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</si>
  <si>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</si>
  <si>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</si>
  <si>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</si>
  <si>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</si>
  <si>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</si>
  <si>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</si>
  <si>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</si>
  <si>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</si>
  <si>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</si>
  <si>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</si>
  <si>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</si>
  <si>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</si>
  <si>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</si>
  <si>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</si>
  <si>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</si>
  <si>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</si>
  <si>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</si>
  <si>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</si>
  <si>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</si>
  <si>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</si>
  <si>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</si>
  <si>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</si>
  <si>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</si>
  <si>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</si>
  <si>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</si>
  <si>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</si>
  <si>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</si>
  <si>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</si>
  <si>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</si>
  <si>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</si>
  <si>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</si>
  <si>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</si>
  <si>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</si>
  <si>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</si>
  <si>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</si>
  <si>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</si>
  <si>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</si>
  <si>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</si>
  <si>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</si>
  <si>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</si>
  <si>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</si>
  <si>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</si>
  <si>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</si>
  <si>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</si>
  <si>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</si>
  <si>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</si>
  <si>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</si>
  <si>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</si>
  <si>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</si>
  <si>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</si>
  <si>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</si>
  <si>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</si>
  <si>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</si>
  <si>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</si>
  <si>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</si>
  <si>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</si>
  <si>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</si>
  <si>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</si>
  <si>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</si>
  <si>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</si>
  <si>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</si>
  <si>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</si>
  <si>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</si>
  <si>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</si>
  <si>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</si>
  <si>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</si>
  <si>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</si>
  <si>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</si>
  <si>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</si>
  <si>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</si>
  <si>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</si>
  <si>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</si>
  <si>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</si>
  <si>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</si>
  <si>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</si>
  <si>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</si>
  <si>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</si>
  <si>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</si>
  <si>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</si>
  <si>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</si>
  <si>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</si>
  <si>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</si>
  <si>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</si>
  <si>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</si>
  <si>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</si>
  <si>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</si>
  <si>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</si>
  <si>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</si>
  <si>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</si>
  <si>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</si>
  <si>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</si>
  <si>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</si>
  <si>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</si>
  <si>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</si>
  <si>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</si>
  <si>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</si>
  <si>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</si>
  <si>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</si>
  <si>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</si>
  <si>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</si>
  <si>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</si>
  <si>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</si>
  <si>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</si>
  <si>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</si>
  <si>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</si>
  <si>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</si>
  <si>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</si>
  <si>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</si>
  <si>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</si>
  <si>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</si>
  <si>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</si>
  <si>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</si>
  <si>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</si>
  <si>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</si>
  <si>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</si>
  <si>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</si>
  <si>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</si>
  <si>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</si>
  <si>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</si>
  <si>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</si>
  <si>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</si>
  <si>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</si>
  <si>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</si>
  <si>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</si>
  <si>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</si>
  <si>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</si>
  <si>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</si>
  <si>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</si>
  <si>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</si>
  <si>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</si>
  <si>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</si>
  <si>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</si>
  <si>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</si>
  <si>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</si>
  <si>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</si>
  <si>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</si>
  <si>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</si>
  <si>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</si>
  <si>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</si>
  <si>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</si>
  <si>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</si>
  <si>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</si>
  <si>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</si>
  <si>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</si>
  <si>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</si>
  <si>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</si>
  <si>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</si>
  <si>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</si>
  <si>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</si>
  <si>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</si>
  <si>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</si>
  <si>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</si>
  <si>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</si>
  <si>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</si>
  <si>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</si>
  <si>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</si>
  <si>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</si>
  <si>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</si>
  <si>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</si>
  <si>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</si>
  <si>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</si>
  <si>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</si>
  <si>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</si>
  <si>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</si>
  <si>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</si>
  <si>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</si>
  <si>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</si>
  <si>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</si>
  <si>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</si>
  <si>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</si>
  <si>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</si>
  <si>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</si>
  <si>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</si>
  <si>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</si>
  <si>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</si>
  <si>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</si>
  <si>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</si>
  <si>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</si>
  <si>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</si>
  <si>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</si>
  <si>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</si>
  <si>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</si>
  <si>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</si>
  <si>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</si>
  <si>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</si>
  <si>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</si>
  <si>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</si>
  <si>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</si>
  <si>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</si>
  <si>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</si>
  <si>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</si>
  <si>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</si>
  <si>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</si>
  <si>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</si>
  <si>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</si>
  <si>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</si>
  <si>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</si>
  <si>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</si>
  <si>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</si>
  <si>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</si>
  <si>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</si>
  <si>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</si>
  <si>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</si>
  <si>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</si>
  <si>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</si>
  <si>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</si>
  <si>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</si>
  <si>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</si>
  <si>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</si>
  <si>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</si>
  <si>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</si>
  <si>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</si>
  <si>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</si>
  <si>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</si>
  <si>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</si>
  <si>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</si>
  <si>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</si>
  <si>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</si>
  <si>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</si>
  <si>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</si>
  <si>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</si>
  <si>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</si>
  <si>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</si>
  <si>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</si>
  <si>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</si>
  <si>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</si>
  <si>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</si>
  <si>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</si>
  <si>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</si>
  <si>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</si>
  <si>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</si>
  <si>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</si>
  <si>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</si>
  <si>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</si>
  <si>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</si>
  <si>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</si>
  <si>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</si>
  <si>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</si>
  <si>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</si>
  <si>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</si>
  <si>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</si>
  <si>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</si>
  <si>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</si>
  <si>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</si>
  <si>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</si>
  <si>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</si>
  <si>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</si>
  <si>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</si>
  <si>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</si>
  <si>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</si>
  <si>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</si>
  <si>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</si>
  <si>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</si>
  <si>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</si>
  <si>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</si>
  <si>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</si>
  <si>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</si>
  <si>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</si>
  <si>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</si>
  <si>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</si>
  <si>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</si>
  <si>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</si>
  <si>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</si>
  <si>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</si>
  <si>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</si>
  <si>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</si>
  <si>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</si>
  <si>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</si>
  <si>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</si>
  <si>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</si>
  <si>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</si>
  <si>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</si>
  <si>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</si>
  <si>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</si>
  <si>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</si>
  <si>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</si>
  <si>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</si>
  <si>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</si>
  <si>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</si>
  <si>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</si>
  <si>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</si>
  <si>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</si>
  <si>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</si>
  <si>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</si>
  <si>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</si>
  <si>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</si>
  <si>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</si>
  <si>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</si>
  <si>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</si>
  <si>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</si>
  <si>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</si>
  <si>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</si>
  <si>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</si>
  <si>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</si>
  <si>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</si>
  <si>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</si>
  <si>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</si>
  <si>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</si>
  <si>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</si>
  <si>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</si>
  <si>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</si>
  <si>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</si>
  <si>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</si>
  <si>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</si>
  <si>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</si>
  <si>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</si>
  <si>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</si>
  <si>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</si>
  <si>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</si>
  <si>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</si>
  <si>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</si>
  <si>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</si>
  <si>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</si>
  <si>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</si>
  <si>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</si>
  <si>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</si>
  <si>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</si>
  <si>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</si>
  <si>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</si>
  <si>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</si>
  <si>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</si>
  <si>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</si>
  <si>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</si>
  <si>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</si>
  <si>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</si>
  <si>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</si>
  <si>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</si>
  <si>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</si>
  <si>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</si>
  <si>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</si>
  <si>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</si>
  <si>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</si>
  <si>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</si>
  <si>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</si>
  <si>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</si>
  <si>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</si>
  <si>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</si>
  <si>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</si>
  <si>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</si>
  <si>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</si>
  <si>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</si>
  <si>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</si>
  <si>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</si>
  <si>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</si>
  <si>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</si>
  <si>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</si>
  <si>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</si>
  <si>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</si>
  <si>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</si>
  <si>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</si>
  <si>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</si>
  <si>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</si>
  <si>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</si>
  <si>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</si>
  <si>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</si>
  <si>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</si>
  <si>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</si>
  <si>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</si>
  <si>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</si>
  <si>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</si>
  <si>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</si>
  <si>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</si>
  <si>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</si>
  <si>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</si>
  <si>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</si>
  <si>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</si>
  <si>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</si>
  <si>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</si>
  <si>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</si>
  <si>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</si>
  <si>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</si>
  <si>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</si>
  <si>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</si>
  <si>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</si>
  <si>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</si>
  <si>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</si>
  <si>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</si>
  <si>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</si>
  <si>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</si>
  <si>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</si>
  <si>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</si>
  <si>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</si>
  <si>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</si>
  <si>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</si>
  <si>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</si>
  <si>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</si>
  <si>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</si>
  <si>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</si>
  <si>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</si>
  <si>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</si>
  <si>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</si>
  <si>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</si>
  <si>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</si>
  <si>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</si>
  <si>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</si>
  <si>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</si>
  <si>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</si>
  <si>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</si>
  <si>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</si>
  <si>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</si>
  <si>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</si>
  <si>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</si>
  <si>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</si>
  <si>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</si>
  <si>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</si>
  <si>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</si>
  <si>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</si>
  <si>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</si>
  <si>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</si>
  <si>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</si>
  <si>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</si>
  <si>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</si>
  <si>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</si>
  <si>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</si>
  <si>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</si>
  <si>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</si>
  <si>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</si>
  <si>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</si>
  <si>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</si>
  <si>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</si>
  <si>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</si>
  <si>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</si>
  <si>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</si>
  <si>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</si>
  <si>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</si>
  <si>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</si>
  <si>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</si>
  <si>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</si>
  <si>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</si>
  <si>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</si>
  <si>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</si>
  <si>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</si>
  <si>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</si>
  <si>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</si>
  <si>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</si>
  <si>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</si>
  <si>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</si>
  <si>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</si>
  <si>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</si>
  <si>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</si>
  <si>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</si>
  <si>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</si>
  <si>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</si>
  <si>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</si>
  <si>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</si>
  <si>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</si>
  <si>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</si>
  <si>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</si>
  <si>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</si>
  <si>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</si>
  <si>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</si>
  <si>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</si>
  <si>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</si>
  <si>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</si>
  <si>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</si>
  <si>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</si>
  <si>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</si>
  <si>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</si>
  <si>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</si>
  <si>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</si>
  <si>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</si>
  <si>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</si>
  <si>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</si>
  <si>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</si>
  <si>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</si>
  <si>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</si>
  <si>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</si>
  <si>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</si>
  <si>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</si>
  <si>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</si>
  <si>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</si>
  <si>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</si>
  <si>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</si>
  <si>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</si>
  <si>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</si>
  <si>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</si>
  <si>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</si>
  <si>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</si>
  <si>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</si>
  <si>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</si>
  <si>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</si>
  <si>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</si>
  <si>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</si>
  <si>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</si>
  <si>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</si>
  <si>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</si>
  <si>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</si>
  <si>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</si>
  <si>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</si>
  <si>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</si>
  <si>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</si>
  <si>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</si>
  <si>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</si>
  <si>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</si>
  <si>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</si>
  <si>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</si>
  <si>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</si>
  <si>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</si>
  <si>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</si>
  <si>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</si>
  <si>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</si>
  <si>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</si>
  <si>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</si>
  <si>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</si>
  <si>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</si>
  <si>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</si>
  <si>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</si>
  <si>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</si>
  <si>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</si>
  <si>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</si>
  <si>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</si>
  <si>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</si>
  <si>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</si>
  <si>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</si>
  <si>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</si>
  <si>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</si>
  <si>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</si>
  <si>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</si>
  <si>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</si>
  <si>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</si>
  <si>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</si>
  <si>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</si>
  <si>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</si>
  <si>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</si>
  <si>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</si>
  <si>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</si>
  <si>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</si>
  <si>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</si>
  <si>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</si>
  <si>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</si>
  <si>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</si>
  <si>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</si>
  <si>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</si>
  <si>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</si>
  <si>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</si>
  <si>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</si>
  <si>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</si>
  <si>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</si>
  <si>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</si>
  <si>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</si>
  <si>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</si>
  <si>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</si>
  <si>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</si>
  <si>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</si>
  <si>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</si>
  <si>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</si>
  <si>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</si>
  <si>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</si>
  <si>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</si>
  <si>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</si>
  <si>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</si>
  <si>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</si>
  <si>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</si>
  <si>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</si>
  <si>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</si>
  <si>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</si>
  <si>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</si>
  <si>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</si>
  <si>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</si>
  <si>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</si>
  <si>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</si>
  <si>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</si>
  <si>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</si>
  <si>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</si>
  <si>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</si>
  <si>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</si>
  <si>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</si>
  <si>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</si>
  <si>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</si>
  <si>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</si>
  <si>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</si>
  <si>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</si>
  <si>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</si>
  <si>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</si>
  <si>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</si>
  <si>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</si>
  <si>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</si>
  <si>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</si>
  <si>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</si>
  <si>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</si>
  <si>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</si>
  <si>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</si>
  <si>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</si>
  <si>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</si>
  <si>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</si>
  <si>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</si>
  <si>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</si>
  <si>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</si>
  <si>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</si>
  <si>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</si>
  <si>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</si>
  <si>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</si>
  <si>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</si>
  <si>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</si>
  <si>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</si>
  <si>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</si>
  <si>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</si>
  <si>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</si>
  <si>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</si>
  <si>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</si>
  <si>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</si>
  <si>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</si>
  <si>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</si>
  <si>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</si>
  <si>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</si>
  <si>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</si>
  <si>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</si>
  <si>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</si>
  <si>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</si>
  <si>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</si>
  <si>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</si>
  <si>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</si>
  <si>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</si>
  <si>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</si>
  <si>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</si>
  <si>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</si>
  <si>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</si>
  <si>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</si>
  <si>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</si>
  <si>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</si>
  <si>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</si>
  <si>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</si>
  <si>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</si>
  <si>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</si>
  <si>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</si>
  <si>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</si>
  <si>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</si>
  <si>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</si>
  <si>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</si>
  <si>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</si>
  <si>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</si>
  <si>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</si>
  <si>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</si>
  <si>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</si>
  <si>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</si>
  <si>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</si>
  <si>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</si>
  <si>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</si>
  <si>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</si>
  <si>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</si>
  <si>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</si>
  <si>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</si>
  <si>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</si>
  <si>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</si>
  <si>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</si>
  <si>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</si>
  <si>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</si>
  <si>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</si>
  <si>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</si>
  <si>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</si>
  <si>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</si>
  <si>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</si>
  <si>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</si>
  <si>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</si>
  <si>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</si>
  <si>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</si>
  <si>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</si>
  <si>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</si>
  <si>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</si>
  <si>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</si>
  <si>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</si>
  <si>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</si>
  <si>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</si>
  <si>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</si>
  <si>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</si>
  <si>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</si>
  <si>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</si>
  <si>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</si>
  <si>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</si>
  <si>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</si>
  <si>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</si>
  <si>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</si>
  <si>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</si>
  <si>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</si>
  <si>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</si>
  <si>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</si>
  <si>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</si>
  <si>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</si>
  <si>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</si>
  <si>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</si>
  <si>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</si>
  <si>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</si>
  <si>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</si>
  <si>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</si>
  <si>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</si>
  <si>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</si>
  <si>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</si>
  <si>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</si>
  <si>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</si>
  <si>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</si>
  <si>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</si>
  <si>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</si>
  <si>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</si>
  <si>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</si>
  <si>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</si>
  <si>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</si>
  <si>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</si>
  <si>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</si>
  <si>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</si>
  <si>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</si>
  <si>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</si>
  <si>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</si>
  <si>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</si>
  <si>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</si>
  <si>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</si>
  <si>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</si>
  <si>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</si>
  <si>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</si>
  <si>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</si>
  <si>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</si>
  <si>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</si>
  <si>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</si>
  <si>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</si>
  <si>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</si>
  <si>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</si>
  <si>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</si>
  <si>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</si>
  <si>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</si>
  <si>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</si>
  <si>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</si>
  <si>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</si>
  <si>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</si>
  <si>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</si>
  <si>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</si>
  <si>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</si>
  <si>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</si>
  <si>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</si>
  <si>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</si>
  <si>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</si>
  <si>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</si>
  <si>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</si>
  <si>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</si>
  <si>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</si>
  <si>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</si>
  <si>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</si>
  <si>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</si>
  <si>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</si>
  <si>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</si>
  <si>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</si>
  <si>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</si>
  <si>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</si>
  <si>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</si>
  <si>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</si>
  <si>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</si>
  <si>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</si>
  <si>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</si>
  <si>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</si>
  <si>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</si>
  <si>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</si>
  <si>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</si>
  <si>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</si>
  <si>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</si>
  <si>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</si>
  <si>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</si>
  <si>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</si>
  <si>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</si>
  <si>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</si>
  <si>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</si>
  <si>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</si>
  <si>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</si>
  <si>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</si>
  <si>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</si>
  <si>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</si>
  <si>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</si>
  <si>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</si>
  <si>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</si>
  <si>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</si>
  <si>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</si>
  <si>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</si>
  <si>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</si>
  <si>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</si>
  <si>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</si>
  <si>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</si>
  <si>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</si>
  <si>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</si>
  <si>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</si>
  <si>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</si>
  <si>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</si>
  <si>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</si>
  <si>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</si>
  <si>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</si>
  <si>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</si>
  <si>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</si>
  <si>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</si>
  <si>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</si>
  <si>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</si>
  <si>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</si>
  <si>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</si>
  <si>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</si>
  <si>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</si>
  <si>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</si>
  <si>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</si>
  <si>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</si>
  <si>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</si>
  <si>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</si>
  <si>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</si>
  <si>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</si>
  <si>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</si>
  <si>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</si>
  <si>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</si>
  <si>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</si>
  <si>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</si>
  <si>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</si>
  <si>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</si>
  <si>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</si>
  <si>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</si>
  <si>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</si>
  <si>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</si>
  <si>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</si>
  <si>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</si>
  <si>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</si>
  <si>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</si>
  <si>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</si>
  <si>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</si>
  <si>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</si>
  <si>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</si>
  <si>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</si>
  <si>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</si>
  <si>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</si>
  <si>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</si>
  <si>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</si>
  <si>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</si>
  <si>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</si>
  <si>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</si>
  <si>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</si>
  <si>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</si>
  <si>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</si>
  <si>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</si>
  <si>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</si>
  <si>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</si>
  <si>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</si>
  <si>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</si>
  <si>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</si>
  <si>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</si>
  <si>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</si>
  <si>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</si>
  <si>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</si>
  <si>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</si>
  <si>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</si>
  <si>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</si>
  <si>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</si>
  <si>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</si>
  <si>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</si>
  <si>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</si>
  <si>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</si>
  <si>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</si>
  <si>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</si>
  <si>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</si>
  <si>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</si>
  <si>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</si>
  <si>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</si>
  <si>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</si>
  <si>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</si>
  <si>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</si>
  <si>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</si>
  <si>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</si>
  <si>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</si>
  <si>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</si>
  <si>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</si>
  <si>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</si>
  <si>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</si>
  <si>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</si>
  <si>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</si>
  <si>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</si>
  <si>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</si>
  <si>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</si>
  <si>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</si>
  <si>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</si>
  <si>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</si>
  <si>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</si>
  <si>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</si>
  <si>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</si>
  <si>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</si>
  <si>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</si>
  <si>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</si>
  <si>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</si>
  <si>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</si>
  <si>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</si>
  <si>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</si>
  <si>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</si>
  <si>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</si>
  <si>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</si>
  <si>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</si>
  <si>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</si>
  <si>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</si>
  <si>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</si>
  <si>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</si>
  <si>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</si>
  <si>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</si>
  <si>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</si>
  <si>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</si>
  <si>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</si>
  <si>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</si>
  <si>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</si>
  <si>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</si>
  <si>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</si>
  <si>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</si>
  <si>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</si>
  <si>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</si>
  <si>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</si>
  <si>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</si>
  <si>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</si>
  <si>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</si>
  <si>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</si>
  <si>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</si>
  <si>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</si>
  <si>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</si>
  <si>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</si>
  <si>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</si>
  <si>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</si>
  <si>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</si>
  <si>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</si>
  <si>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</si>
  <si>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</si>
  <si>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</si>
  <si>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</si>
  <si>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</si>
  <si>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</si>
  <si>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</si>
  <si>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</si>
  <si>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</si>
  <si>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</si>
  <si>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</si>
  <si>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</si>
  <si>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</si>
  <si>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</si>
  <si>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</si>
  <si>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</si>
  <si>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</si>
  <si>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</si>
  <si>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</si>
  <si>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</si>
  <si>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</si>
  <si>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</si>
  <si>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</si>
  <si>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</si>
  <si>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</si>
  <si>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</si>
  <si>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</si>
  <si>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</si>
  <si>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</si>
  <si>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</si>
  <si>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</si>
  <si>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</si>
  <si>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</si>
  <si>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</si>
  <si>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</si>
  <si>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</si>
  <si>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</si>
  <si>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</si>
  <si>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</si>
  <si>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</si>
  <si>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</si>
  <si>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</si>
  <si>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</si>
  <si>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</si>
  <si>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</si>
  <si>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</si>
  <si>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</si>
  <si>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</si>
  <si>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</si>
  <si>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</si>
  <si>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</si>
  <si>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</si>
  <si>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</si>
  <si>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</si>
  <si>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</si>
  <si>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</si>
  <si>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</si>
  <si>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</si>
  <si>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</si>
  <si>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</si>
  <si>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</si>
  <si>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</si>
  <si>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</si>
  <si>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</si>
  <si>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</si>
  <si>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</si>
  <si>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</si>
  <si>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</si>
  <si>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</si>
  <si>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</si>
  <si>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</si>
  <si>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</si>
  <si>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</si>
  <si>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</si>
  <si>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</si>
  <si>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</si>
  <si>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</si>
  <si>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</si>
  <si>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</si>
  <si>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</si>
  <si>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</si>
  <si>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</si>
  <si>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</si>
  <si>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</si>
  <si>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</si>
  <si>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</si>
  <si>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</si>
  <si>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</si>
  <si>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</si>
  <si>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</si>
  <si>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</si>
  <si>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</si>
  <si>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</si>
  <si>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</si>
  <si>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</si>
  <si>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</si>
  <si>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</si>
  <si>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</si>
  <si>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</si>
  <si>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</si>
  <si>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</si>
  <si>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</si>
  <si>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</si>
  <si>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</si>
  <si>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</si>
  <si>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</si>
  <si>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</si>
  <si>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</si>
  <si>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</si>
  <si>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</si>
  <si>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</si>
  <si>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</si>
  <si>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</si>
  <si>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</si>
  <si>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</si>
  <si>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</si>
  <si>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</si>
  <si>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</si>
  <si>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</si>
  <si>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</si>
  <si>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</si>
  <si>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</si>
  <si>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</si>
  <si>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</si>
  <si>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</si>
  <si>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</si>
  <si>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</si>
  <si>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</si>
  <si>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</si>
  <si>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</si>
  <si>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</si>
  <si>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</si>
  <si>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</si>
  <si>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</si>
  <si>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</si>
  <si>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</si>
  <si>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</si>
  <si>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</si>
  <si>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</si>
  <si>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</si>
  <si>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</si>
  <si>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</si>
  <si>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</si>
  <si>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</si>
  <si>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</si>
  <si>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</si>
  <si>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</si>
  <si>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</si>
  <si>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</si>
  <si>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</si>
  <si>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</si>
  <si>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</si>
  <si>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</si>
  <si>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</si>
  <si>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</si>
  <si>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</si>
  <si>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</si>
  <si>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</si>
  <si>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</si>
  <si>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</si>
  <si>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</si>
  <si>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</si>
  <si>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</si>
  <si>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</si>
  <si>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</si>
  <si>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</si>
  <si>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</si>
  <si>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</si>
  <si>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</si>
  <si>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</si>
  <si>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</si>
  <si>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</si>
  <si>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</si>
  <si>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</si>
  <si>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</si>
  <si>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</si>
  <si>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</si>
  <si>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</si>
  <si>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</si>
  <si>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</si>
  <si>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</si>
  <si>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</si>
  <si>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</si>
  <si>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</si>
  <si>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</si>
  <si>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</si>
  <si>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</si>
  <si>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</si>
  <si>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</si>
  <si>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</si>
  <si>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</si>
  <si>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</si>
  <si>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</si>
  <si>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</si>
  <si>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</si>
  <si>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</si>
  <si>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</si>
  <si>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</si>
  <si>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</si>
  <si>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</si>
  <si>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</si>
  <si>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</si>
  <si>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</si>
  <si>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</si>
  <si>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</si>
  <si>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</si>
  <si>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</si>
  <si>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</si>
  <si>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</si>
  <si>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</si>
  <si>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</si>
  <si>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</si>
  <si>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</si>
  <si>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</si>
  <si>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</si>
  <si>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</si>
  <si>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</si>
  <si>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</si>
  <si>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</si>
  <si>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</si>
  <si>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</si>
  <si>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</si>
  <si>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</si>
  <si>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</si>
  <si>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</si>
  <si>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</si>
  <si>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</si>
  <si>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</si>
  <si>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</si>
  <si>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</si>
  <si>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</si>
  <si>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</si>
  <si>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</si>
  <si>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</si>
  <si>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</si>
  <si>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</si>
  <si>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</si>
  <si>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</si>
  <si>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</si>
  <si>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</si>
  <si>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</si>
  <si>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</si>
  <si>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</si>
  <si>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</si>
  <si>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</si>
  <si>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</si>
  <si>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</si>
  <si>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</si>
  <si>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</si>
  <si>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</si>
  <si>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</si>
  <si>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</si>
  <si>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</si>
  <si>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</si>
  <si>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</si>
  <si>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</si>
  <si>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</si>
  <si>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</si>
  <si>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</si>
  <si>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</si>
  <si>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</si>
  <si>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</si>
  <si>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</si>
  <si>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</si>
  <si>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</si>
  <si>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</si>
  <si>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</si>
  <si>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</si>
  <si>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</si>
  <si>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</si>
  <si>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</si>
  <si>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</si>
  <si>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</si>
  <si>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</si>
  <si>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</si>
  <si>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</si>
  <si>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</si>
  <si>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</si>
  <si>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</si>
  <si>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</si>
  <si>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</si>
  <si>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</si>
  <si>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</si>
  <si>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</si>
  <si>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</si>
  <si>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</si>
  <si>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</si>
  <si>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</si>
  <si>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</si>
  <si>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</si>
  <si>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</si>
  <si>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</si>
  <si>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</si>
  <si>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</si>
  <si>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</si>
  <si>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</si>
  <si>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</si>
  <si>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</si>
  <si>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</si>
  <si>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</si>
  <si>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</si>
  <si>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</si>
  <si>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</si>
  <si>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</si>
  <si>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</si>
  <si>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</si>
  <si>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</si>
  <si>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</si>
  <si>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</si>
  <si>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</si>
  <si>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</si>
  <si>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</si>
  <si>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</si>
  <si>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</si>
  <si>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</si>
  <si>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</si>
  <si>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</si>
  <si>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</si>
  <si>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</si>
  <si>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</si>
  <si>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</si>
  <si>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</si>
  <si>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</si>
  <si>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</si>
  <si>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</si>
  <si>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</si>
  <si>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</si>
  <si>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</si>
  <si>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</si>
  <si>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</si>
  <si>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</si>
  <si>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</si>
  <si>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</si>
  <si>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</si>
  <si>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</si>
  <si>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</si>
  <si>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</si>
  <si>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</si>
  <si>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</si>
  <si>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</si>
  <si>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</si>
  <si>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</si>
  <si>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</si>
  <si>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</si>
  <si>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</si>
  <si>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</si>
  <si>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</si>
  <si>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</si>
  <si>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</si>
  <si>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</si>
  <si>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</si>
  <si>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</si>
  <si>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</si>
  <si>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</si>
  <si>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</si>
  <si>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</si>
  <si>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</si>
  <si>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</si>
  <si>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</si>
  <si>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</si>
  <si>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</si>
  <si>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</si>
  <si>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</si>
  <si>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</si>
  <si>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</si>
  <si>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</si>
  <si>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</si>
  <si>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</si>
  <si>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</si>
  <si>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</si>
  <si>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</si>
  <si>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</si>
  <si>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</si>
  <si>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</si>
  <si>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</si>
  <si>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</si>
  <si>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</si>
  <si>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</si>
  <si>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</si>
  <si>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</si>
  <si>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</si>
  <si>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</si>
  <si>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</si>
  <si>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</si>
  <si>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</si>
  <si>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</si>
  <si>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</si>
  <si>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</si>
  <si>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</si>
  <si>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</si>
  <si>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</si>
  <si>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</si>
  <si>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</si>
  <si>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</si>
  <si>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</si>
  <si>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</si>
  <si>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</si>
  <si>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</si>
  <si>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</si>
  <si>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</si>
  <si>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</si>
  <si>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</si>
  <si>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</si>
  <si>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</si>
  <si>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</si>
  <si>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</si>
  <si>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</si>
  <si>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</si>
  <si>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</si>
  <si>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</si>
  <si>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</si>
  <si>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</si>
  <si>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</si>
  <si>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</si>
  <si>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</si>
  <si>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</si>
  <si>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</si>
  <si>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</si>
  <si>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</si>
  <si>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</si>
  <si>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</si>
  <si>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</si>
  <si>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</si>
  <si>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</si>
  <si>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</si>
  <si>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</si>
  <si>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</si>
  <si>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</si>
  <si>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</si>
  <si>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</si>
  <si>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</si>
  <si>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</si>
  <si>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</si>
  <si>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</si>
  <si>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</si>
  <si>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</si>
  <si>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</si>
  <si>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</si>
  <si>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</si>
  <si>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</si>
  <si>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</si>
  <si>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</si>
  <si>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</si>
  <si>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</si>
  <si>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</si>
  <si>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</si>
  <si>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</si>
  <si>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</si>
  <si>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</si>
  <si>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</si>
  <si>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</si>
  <si>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</si>
  <si>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</si>
  <si>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</si>
  <si>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</si>
  <si>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</si>
  <si>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</si>
  <si>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</si>
  <si>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</si>
  <si>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</si>
  <si>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</si>
  <si>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</si>
  <si>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</si>
  <si>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</si>
  <si>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</si>
  <si>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</si>
  <si>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</si>
  <si>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</si>
  <si>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</si>
  <si>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</si>
  <si>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</si>
  <si>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</si>
  <si>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</si>
  <si>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</si>
  <si>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</si>
  <si>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</si>
  <si>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</si>
  <si>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</si>
  <si>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</si>
  <si>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</si>
  <si>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</si>
  <si>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</si>
  <si>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</si>
  <si>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</si>
  <si>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</si>
  <si>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</si>
  <si>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</si>
  <si>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</si>
  <si>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</si>
  <si>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</si>
  <si>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</si>
  <si>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</si>
  <si>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</si>
  <si>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</si>
  <si>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</si>
  <si>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</si>
  <si>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</si>
  <si>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</si>
  <si>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</si>
  <si>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</si>
  <si>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</si>
  <si>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</si>
  <si>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</si>
  <si>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</si>
  <si>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</si>
  <si>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</si>
  <si>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</si>
  <si>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</si>
  <si>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</si>
  <si>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</si>
  <si>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</si>
  <si>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</si>
  <si>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</si>
  <si>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</si>
  <si>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</si>
  <si>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</si>
  <si>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</si>
  <si>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</si>
  <si>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</si>
  <si>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</si>
  <si>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</si>
  <si>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</si>
  <si>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</si>
  <si>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</si>
  <si>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</si>
  <si>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</si>
  <si>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</si>
  <si>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</si>
  <si>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</si>
  <si>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</si>
  <si>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</si>
  <si>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</si>
  <si>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</si>
  <si>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</si>
  <si>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</si>
  <si>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</si>
  <si>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</si>
  <si>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</si>
  <si>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</si>
  <si>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</si>
  <si>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</si>
  <si>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</si>
  <si>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</si>
  <si>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</si>
  <si>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</si>
  <si>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</si>
  <si>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</si>
  <si>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</si>
  <si>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</si>
  <si>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</si>
  <si>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</si>
  <si>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</si>
  <si>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</si>
  <si>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</si>
  <si>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</si>
  <si>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</si>
  <si>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</si>
  <si>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</si>
  <si>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</si>
  <si>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</si>
  <si>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</si>
  <si>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</si>
  <si>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</si>
  <si>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</si>
  <si>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</si>
  <si>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</si>
  <si>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</si>
  <si>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</si>
  <si>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</si>
  <si>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</si>
  <si>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</si>
  <si>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</si>
  <si>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</si>
  <si>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</si>
  <si>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</si>
  <si>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</si>
  <si>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</si>
  <si>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</si>
  <si>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</si>
  <si>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</si>
  <si>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</si>
  <si>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</si>
  <si>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</si>
  <si>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</si>
  <si>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</si>
  <si>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</si>
  <si>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</si>
  <si>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</si>
  <si>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</si>
  <si>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</si>
  <si>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</si>
  <si>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</si>
  <si>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</si>
  <si>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</si>
  <si>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</si>
  <si>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</si>
  <si>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</si>
  <si>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</si>
  <si>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</si>
  <si>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</si>
  <si>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</si>
  <si>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</si>
  <si>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</si>
  <si>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</si>
  <si>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</si>
  <si>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</si>
  <si>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</si>
  <si>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</si>
  <si>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</si>
  <si>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</si>
  <si>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</si>
  <si>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</si>
  <si>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</si>
  <si>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</si>
  <si>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</si>
  <si>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</si>
  <si>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</si>
  <si>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</si>
  <si>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</si>
  <si>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</si>
  <si>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</si>
  <si>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</si>
  <si>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</si>
  <si>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</si>
  <si>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</si>
  <si>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</si>
  <si>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</si>
  <si>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</si>
  <si>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</si>
  <si>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</si>
  <si>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</si>
  <si>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</si>
  <si>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</si>
  <si>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</si>
  <si>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</si>
  <si>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</si>
  <si>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</si>
  <si>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</si>
  <si>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</si>
  <si>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</si>
  <si>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</si>
  <si>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</si>
  <si>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</si>
  <si>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</si>
  <si>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</si>
  <si>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</si>
  <si>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</si>
  <si>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</si>
  <si>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</si>
  <si>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</si>
  <si>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</si>
  <si>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</si>
  <si>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</si>
  <si>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</si>
  <si>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</si>
  <si>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</si>
  <si>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</si>
  <si>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</si>
  <si>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</si>
  <si>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</si>
  <si>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</si>
  <si>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</si>
  <si>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</si>
  <si>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</si>
  <si>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</si>
  <si>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</si>
  <si>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</si>
  <si>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</si>
  <si>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</si>
  <si>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</si>
  <si>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</si>
  <si>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</si>
  <si>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</si>
  <si>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</si>
  <si>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</si>
  <si>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</si>
  <si>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</si>
  <si>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</si>
  <si>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</si>
  <si>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</si>
  <si>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</si>
  <si>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</si>
  <si>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</si>
  <si>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</si>
  <si>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</si>
  <si>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</si>
  <si>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</si>
  <si>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</si>
  <si>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</si>
  <si>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</si>
  <si>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</si>
  <si>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</si>
  <si>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</si>
  <si>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</si>
  <si>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</si>
  <si>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</si>
  <si>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</si>
  <si>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</si>
  <si>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</si>
  <si>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</si>
  <si>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</si>
  <si>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</si>
  <si>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</si>
  <si>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</si>
  <si>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</si>
  <si>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</si>
  <si>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</si>
  <si>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</si>
  <si>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</si>
  <si>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</si>
  <si>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</si>
  <si>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</si>
  <si>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</si>
  <si>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</si>
  <si>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</si>
  <si>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</si>
  <si>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</si>
  <si>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</si>
  <si>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</si>
  <si>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</si>
  <si>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</si>
  <si>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</si>
  <si>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</si>
  <si>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</si>
  <si>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</si>
  <si>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</si>
  <si>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</si>
  <si>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</si>
  <si>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</si>
  <si>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</si>
  <si>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</si>
  <si>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</si>
  <si>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</si>
  <si>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</si>
  <si>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</si>
  <si>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</si>
  <si>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</si>
  <si>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</si>
  <si>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</si>
  <si>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</si>
  <si>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</si>
  <si>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</si>
  <si>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</si>
  <si>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</si>
  <si>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</si>
  <si>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</si>
  <si>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</si>
  <si>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</si>
  <si>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</si>
  <si>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</si>
  <si>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</si>
  <si>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</si>
  <si>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</si>
  <si>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</si>
  <si>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</si>
  <si>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</si>
  <si>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</si>
  <si>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</si>
  <si>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</si>
  <si>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</si>
  <si>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</si>
  <si>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</si>
  <si>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</si>
  <si>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</si>
  <si>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</si>
  <si>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</si>
  <si>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</si>
  <si>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</si>
  <si>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</si>
  <si>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</si>
  <si>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</si>
  <si>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</si>
  <si>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</si>
  <si>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</si>
  <si>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</si>
  <si>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</si>
  <si>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</si>
  <si>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</si>
  <si>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</si>
  <si>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</si>
  <si>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</si>
  <si>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</si>
  <si>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</si>
  <si>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</si>
  <si>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</si>
  <si>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</si>
  <si>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</si>
  <si>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</si>
  <si>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</si>
  <si>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</si>
  <si>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</si>
  <si>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</si>
  <si>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</si>
  <si>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</si>
  <si>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</si>
  <si>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</si>
  <si>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</si>
  <si>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</si>
  <si>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</si>
  <si>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</si>
  <si>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</si>
  <si>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</si>
  <si>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</si>
  <si>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</si>
  <si>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</si>
  <si>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</si>
  <si>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</si>
  <si>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</si>
  <si>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</si>
  <si>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</si>
  <si>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</si>
  <si>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</si>
  <si>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</si>
  <si>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</si>
  <si>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</si>
  <si>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</si>
  <si>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</si>
  <si>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</si>
  <si>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</si>
  <si>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</si>
  <si>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</si>
  <si>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</si>
  <si>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</si>
  <si>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</si>
  <si>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</si>
  <si>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</si>
  <si>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</si>
  <si>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</si>
  <si>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</si>
  <si>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</si>
  <si>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</si>
  <si>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</si>
  <si>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</si>
  <si>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</si>
  <si>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</si>
  <si>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</si>
  <si>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</si>
  <si>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</si>
  <si>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</si>
  <si>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</si>
  <si>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</si>
  <si>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</si>
  <si>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</si>
  <si>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</si>
  <si>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</si>
  <si>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</si>
  <si>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</si>
  <si>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</si>
  <si>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</si>
  <si>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</si>
  <si>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</si>
  <si>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</si>
  <si>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</si>
  <si>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</si>
  <si>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</si>
  <si>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</si>
  <si>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</si>
  <si>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</si>
  <si>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</si>
  <si>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</si>
  <si>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</si>
  <si>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</si>
  <si>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</si>
  <si>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</si>
  <si>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</si>
  <si>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</si>
  <si>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</si>
  <si>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</si>
  <si>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</si>
  <si>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</si>
  <si>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</si>
  <si>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</si>
  <si>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</si>
  <si>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</si>
  <si>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</si>
  <si>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</si>
  <si>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</si>
  <si>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</si>
  <si>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</si>
  <si>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</si>
  <si>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</si>
  <si>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</si>
  <si>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</si>
  <si>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</si>
  <si>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</si>
  <si>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</si>
  <si>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</si>
  <si>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</si>
  <si>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</si>
  <si>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</si>
  <si>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</si>
  <si>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</si>
  <si>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</si>
  <si>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</si>
  <si>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</si>
  <si>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</si>
  <si>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</si>
  <si>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</si>
  <si>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</si>
  <si>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</si>
  <si>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</si>
  <si>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</si>
  <si>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</si>
  <si>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</si>
  <si>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</si>
  <si>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</si>
  <si>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</si>
  <si>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</si>
  <si>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</si>
  <si>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</si>
  <si>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</si>
  <si>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</si>
  <si>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</si>
  <si>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</si>
  <si>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</si>
  <si>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</si>
  <si>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</si>
  <si>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</si>
  <si>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</si>
  <si>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</si>
  <si>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</si>
  <si>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</si>
  <si>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</si>
  <si>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</si>
  <si>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</si>
  <si>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</si>
  <si>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</si>
  <si>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</si>
  <si>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</si>
  <si>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</si>
  <si>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</si>
  <si>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</si>
  <si>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</si>
  <si>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</si>
  <si>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</si>
  <si>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</si>
  <si>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</si>
  <si>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</si>
  <si>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</si>
  <si>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</si>
  <si>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</si>
  <si>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</si>
  <si>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</si>
  <si>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</si>
  <si>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</si>
  <si>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</si>
  <si>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</si>
  <si>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</si>
  <si>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</si>
  <si>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</si>
  <si>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</si>
  <si>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</si>
  <si>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</si>
  <si>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</si>
  <si>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</si>
  <si>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</si>
  <si>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</si>
  <si>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</si>
  <si>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</si>
  <si>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</si>
  <si>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</si>
  <si>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</si>
  <si>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</si>
  <si>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</si>
  <si>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</si>
  <si>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</si>
  <si>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</si>
  <si>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</si>
  <si>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</si>
  <si>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</si>
  <si>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</si>
  <si>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</si>
  <si>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</si>
  <si>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</si>
  <si>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</si>
  <si>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</si>
  <si>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</si>
  <si>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</si>
  <si>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</si>
  <si>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</si>
  <si>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</si>
  <si>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</si>
  <si>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</si>
  <si>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</si>
  <si>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</si>
  <si>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</si>
  <si>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</si>
  <si>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</si>
  <si>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</si>
  <si>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</si>
  <si>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</si>
  <si>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</si>
  <si>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</si>
  <si>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</si>
  <si>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</si>
  <si>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</si>
  <si>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</si>
  <si>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</si>
  <si>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</si>
  <si>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</si>
  <si>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</si>
  <si>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</si>
  <si>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</si>
  <si>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</si>
  <si>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</si>
  <si>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</si>
  <si>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</si>
  <si>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</si>
  <si>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</si>
  <si>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</si>
  <si>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</si>
  <si>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</si>
  <si>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</si>
  <si>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</si>
  <si>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</si>
  <si>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</si>
  <si>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</si>
  <si>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</si>
  <si>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</si>
  <si>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</si>
  <si>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</si>
  <si>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</si>
  <si>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</si>
  <si>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</si>
  <si>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</si>
  <si>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</si>
  <si>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</si>
  <si>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</si>
  <si>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</si>
  <si>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</si>
  <si>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</si>
  <si>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</si>
  <si>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</si>
  <si>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</si>
  <si>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</si>
  <si>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</si>
  <si>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</si>
  <si>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</si>
  <si>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</si>
  <si>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</si>
  <si>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</si>
  <si>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</si>
  <si>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</si>
  <si>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</si>
  <si>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</si>
  <si>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</si>
  <si>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</si>
  <si>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</si>
  <si>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</si>
  <si>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</si>
  <si>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</si>
  <si>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</si>
  <si>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</si>
  <si>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</si>
  <si>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</si>
  <si>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</si>
  <si>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</si>
  <si>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</si>
  <si>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</si>
  <si>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</si>
  <si>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</si>
  <si>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</si>
  <si>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</si>
  <si>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</si>
  <si>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</si>
  <si>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</si>
  <si>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</si>
  <si>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</si>
  <si>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</si>
  <si>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</si>
  <si>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</si>
  <si>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</si>
  <si>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</si>
  <si>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</si>
  <si>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</si>
  <si>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</si>
  <si>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</si>
  <si>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</si>
  <si>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</si>
  <si>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</si>
  <si>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</si>
  <si>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</si>
  <si>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</si>
  <si>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</si>
  <si>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</si>
  <si>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</si>
  <si>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</si>
  <si>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</si>
  <si>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</si>
  <si>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</si>
  <si>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</si>
  <si>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</si>
  <si>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</si>
  <si>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</si>
  <si>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</si>
  <si>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</si>
  <si>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</si>
  <si>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</si>
  <si>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</si>
  <si>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</si>
  <si>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</si>
  <si>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</si>
  <si>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</si>
  <si>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</si>
  <si>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</si>
  <si>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</si>
  <si>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</si>
  <si>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</si>
  <si>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</si>
  <si>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</si>
  <si>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</si>
  <si>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</si>
  <si>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</si>
  <si>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</si>
  <si>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</si>
  <si>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</si>
  <si>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</si>
  <si>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</si>
  <si>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</si>
  <si>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</si>
  <si>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</si>
  <si>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</si>
  <si>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</si>
  <si>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</si>
  <si>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</si>
  <si>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</si>
  <si>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</si>
  <si>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</si>
  <si>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</si>
  <si>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</si>
  <si>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</si>
  <si>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</si>
  <si>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</si>
  <si>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</si>
  <si>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</si>
  <si>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</si>
  <si>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</si>
  <si>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</si>
  <si>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</si>
  <si>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</si>
  <si>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</si>
  <si>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</si>
  <si>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</si>
  <si>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</si>
  <si>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</si>
  <si>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</si>
  <si>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</si>
  <si>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</si>
  <si>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</si>
  <si>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</si>
  <si>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</si>
  <si>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</si>
  <si>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</si>
  <si>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</si>
  <si>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</si>
  <si>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</si>
  <si>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</si>
  <si>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</si>
  <si>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</si>
  <si>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</si>
  <si>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</si>
  <si>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</si>
  <si>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</si>
  <si>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</si>
  <si>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</si>
  <si>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</si>
  <si>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</si>
  <si>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</si>
  <si>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</si>
  <si>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</si>
  <si>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</si>
  <si>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</si>
  <si>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</si>
  <si>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</si>
  <si>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</si>
  <si>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</si>
  <si>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</si>
  <si>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</si>
  <si>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</si>
  <si>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</si>
  <si>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</si>
  <si>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</si>
  <si>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</si>
  <si>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</si>
  <si>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</si>
  <si>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</si>
  <si>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</si>
  <si>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</si>
  <si>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</si>
  <si>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</si>
  <si>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</si>
  <si>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</si>
  <si>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</si>
  <si>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</si>
  <si>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</si>
  <si>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</si>
  <si>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</si>
  <si>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</si>
  <si>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</si>
  <si>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</si>
  <si>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</si>
  <si>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</si>
  <si>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</si>
  <si>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</si>
  <si>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</si>
  <si>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</si>
  <si>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</si>
  <si>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</si>
  <si>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</si>
  <si>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</si>
  <si>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</si>
  <si>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</si>
  <si>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</si>
  <si>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</si>
  <si>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</si>
  <si>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</si>
  <si>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</si>
  <si>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</si>
  <si>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</si>
  <si>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</si>
  <si>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</si>
  <si>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</si>
  <si>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</si>
  <si>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</si>
  <si>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</si>
  <si>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</si>
  <si>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</si>
  <si>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</si>
  <si>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</si>
  <si>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</si>
  <si>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</si>
  <si>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</si>
  <si>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</si>
  <si>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</si>
  <si>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</si>
  <si>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</si>
  <si>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</si>
  <si>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</si>
  <si>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</si>
  <si>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</si>
  <si>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</si>
  <si>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</si>
  <si>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</si>
  <si>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</si>
  <si>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</si>
  <si>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</si>
  <si>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</si>
  <si>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</si>
  <si>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</si>
  <si>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</si>
  <si>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</si>
  <si>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</si>
  <si>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</si>
  <si>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</si>
  <si>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</si>
  <si>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</si>
  <si>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</si>
  <si>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</si>
  <si>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</si>
  <si>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</si>
  <si>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</si>
  <si>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</si>
  <si>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</si>
  <si>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</si>
  <si>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</si>
  <si>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</si>
  <si>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</si>
  <si>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</si>
  <si>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</si>
  <si>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</si>
  <si>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</si>
  <si>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</si>
  <si>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</si>
  <si>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</si>
  <si>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</si>
  <si>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</si>
  <si>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</si>
  <si>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</si>
  <si>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</si>
  <si>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</si>
  <si>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</si>
  <si>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</si>
  <si>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</si>
  <si>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</si>
  <si>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</si>
  <si>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</si>
  <si>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</si>
  <si>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</si>
  <si>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</si>
  <si>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</si>
  <si>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</si>
  <si>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</si>
  <si>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</si>
  <si>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</si>
  <si>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</si>
  <si>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</si>
  <si>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</si>
  <si>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</si>
  <si>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</si>
  <si>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</si>
  <si>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</si>
  <si>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</si>
  <si>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</si>
  <si>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</si>
  <si>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</si>
  <si>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</si>
  <si>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</si>
  <si>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</si>
  <si>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</si>
  <si>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</si>
  <si>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</si>
  <si>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</si>
  <si>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</si>
  <si>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</si>
  <si>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</si>
  <si>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</si>
  <si>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</si>
  <si>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</si>
  <si>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</si>
  <si>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</si>
  <si>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</si>
  <si>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</si>
  <si>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</si>
  <si>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</si>
  <si>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</si>
  <si>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</si>
  <si>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</si>
  <si>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</si>
  <si>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</si>
  <si>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</si>
  <si>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</si>
  <si>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</si>
  <si>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</si>
  <si>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</si>
  <si>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</si>
  <si>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</si>
  <si>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</si>
  <si>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</si>
  <si>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</si>
  <si>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</si>
  <si>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</si>
  <si>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</si>
  <si>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</si>
  <si>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</si>
  <si>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</si>
  <si>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</si>
  <si>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</si>
  <si>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</si>
  <si>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</si>
  <si>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</si>
  <si>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</si>
  <si>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</si>
  <si>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</si>
  <si>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</si>
  <si>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</si>
  <si>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</si>
  <si>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</si>
  <si>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</si>
  <si>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</si>
  <si>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</si>
  <si>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</si>
  <si>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</si>
  <si>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</si>
  <si>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</si>
  <si>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</si>
  <si>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</si>
  <si>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</si>
  <si>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</si>
  <si>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</si>
  <si>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</si>
  <si>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</si>
  <si>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</si>
  <si>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</si>
  <si>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</si>
  <si>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</si>
  <si>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</si>
  <si>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</si>
  <si>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</si>
  <si>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</si>
  <si>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</si>
  <si>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</si>
  <si>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</si>
  <si>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</si>
  <si>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</si>
  <si>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</si>
  <si>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</si>
  <si>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</si>
  <si>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</si>
  <si>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</si>
  <si>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</si>
  <si>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</si>
  <si>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</si>
  <si>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</si>
  <si>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</si>
  <si>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</si>
  <si>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</si>
  <si>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</si>
  <si>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</si>
  <si>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</si>
  <si>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</si>
  <si>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</si>
  <si>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</si>
  <si>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</si>
  <si>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</si>
  <si>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</si>
  <si>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</si>
  <si>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</si>
  <si>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</si>
  <si>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</si>
  <si>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</si>
  <si>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</si>
  <si>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</si>
  <si>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</si>
  <si>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</si>
  <si>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</si>
  <si>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</si>
  <si>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</si>
  <si>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</si>
  <si>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</si>
  <si>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</si>
  <si>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</si>
  <si>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</si>
  <si>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</si>
  <si>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</si>
  <si>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</si>
  <si>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</si>
  <si>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</si>
  <si>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</si>
  <si>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</si>
  <si>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</si>
  <si>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</si>
  <si>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</si>
  <si>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</si>
  <si>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</si>
  <si>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</si>
  <si>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</si>
  <si>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</si>
  <si>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</si>
  <si>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</si>
  <si>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</si>
  <si>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</si>
  <si>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</si>
  <si>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</si>
  <si>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</si>
  <si>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</si>
  <si>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</si>
  <si>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</si>
  <si>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</si>
  <si>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</si>
  <si>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</si>
  <si>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</si>
  <si>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</si>
  <si>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</si>
  <si>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</si>
  <si>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</si>
  <si>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</si>
  <si>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</si>
  <si>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</si>
  <si>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</si>
  <si>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</si>
  <si>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</si>
  <si>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</si>
  <si>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</si>
  <si>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</si>
  <si>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</si>
  <si>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</si>
  <si>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</si>
  <si>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</si>
  <si>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</si>
  <si>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</si>
  <si>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</si>
  <si>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</si>
  <si>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</si>
  <si>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</si>
  <si>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</si>
  <si>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</si>
  <si>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</si>
  <si>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</si>
  <si>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</si>
  <si>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</si>
  <si>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</si>
  <si>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</si>
  <si>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</si>
  <si>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</si>
  <si>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</si>
  <si>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</si>
  <si>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</si>
  <si>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</si>
  <si>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</si>
  <si>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</si>
  <si>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</si>
  <si>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</si>
  <si>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</si>
  <si>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</si>
  <si>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</si>
  <si>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</si>
  <si>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</si>
  <si>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</si>
  <si>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</si>
  <si>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</si>
  <si>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</si>
  <si>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</si>
  <si>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</si>
  <si>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</si>
  <si>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</si>
  <si>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</si>
  <si>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</si>
  <si>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</si>
  <si>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</si>
  <si>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</si>
  <si>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</si>
  <si>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</si>
  <si>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</si>
  <si>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</si>
  <si>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</si>
  <si>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</si>
  <si>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</si>
  <si>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</si>
  <si>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</si>
  <si>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</si>
  <si>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</si>
  <si>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</si>
  <si>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</si>
  <si>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</si>
  <si>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</si>
  <si>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</si>
  <si>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</si>
  <si>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</si>
  <si>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</si>
  <si>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</si>
  <si>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</si>
  <si>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</si>
  <si>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</si>
  <si>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</si>
  <si>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</si>
  <si>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</si>
  <si>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</si>
  <si>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</si>
  <si>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</si>
  <si>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</si>
  <si>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</si>
  <si>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</si>
  <si>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</si>
  <si>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</si>
  <si>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</si>
  <si>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</si>
  <si>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</si>
  <si>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</si>
  <si>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</si>
  <si>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</si>
  <si>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</si>
  <si>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</si>
  <si>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</si>
  <si>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</si>
  <si>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</si>
  <si>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</si>
  <si>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</si>
  <si>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</si>
  <si>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</si>
  <si>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</si>
  <si>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</si>
  <si>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</si>
  <si>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</si>
  <si>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</si>
  <si>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</si>
  <si>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</si>
  <si>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</si>
  <si>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</si>
  <si>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</si>
  <si>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</si>
  <si>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</si>
  <si>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</si>
  <si>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</si>
  <si>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</si>
  <si>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</si>
  <si>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</si>
  <si>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</si>
  <si>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</si>
  <si>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</si>
  <si>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</si>
  <si>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</si>
  <si>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</si>
  <si>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</si>
  <si>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</si>
  <si>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</si>
  <si>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</si>
  <si>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</si>
  <si>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</si>
  <si>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</si>
  <si>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</si>
  <si>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</si>
  <si>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</si>
  <si>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</si>
  <si>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</si>
  <si>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</si>
  <si>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</si>
  <si>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</si>
  <si>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</si>
  <si>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</si>
  <si>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</si>
  <si>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</si>
  <si>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</si>
  <si>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</si>
  <si>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</si>
  <si>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</si>
  <si>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</si>
  <si>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</si>
  <si>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</si>
  <si>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</si>
  <si>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</si>
  <si>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</si>
  <si>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</si>
  <si>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</si>
  <si>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</si>
  <si>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</si>
  <si>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</si>
  <si>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</si>
  <si>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</si>
  <si>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</si>
  <si>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</si>
  <si>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</si>
  <si>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</si>
  <si>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</si>
  <si>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</si>
  <si>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</si>
  <si>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</si>
  <si>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</si>
  <si>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</si>
  <si>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</si>
  <si>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</si>
  <si>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</si>
  <si>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</si>
  <si>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</si>
  <si>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</si>
  <si>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</si>
  <si>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</si>
  <si>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</si>
  <si>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</si>
  <si>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</si>
  <si>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</si>
  <si>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</si>
  <si>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</si>
  <si>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</si>
  <si>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</si>
  <si>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</si>
  <si>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</si>
  <si>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</si>
  <si>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</si>
  <si>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</si>
  <si>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</si>
  <si>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</si>
  <si>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</si>
  <si>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</si>
  <si>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</si>
  <si>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</si>
  <si>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</si>
  <si>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</si>
  <si>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</si>
  <si>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</si>
  <si>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</si>
  <si>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</si>
  <si>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</si>
  <si>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</si>
  <si>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</si>
  <si>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</si>
  <si>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</si>
  <si>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</si>
  <si>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</si>
  <si>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</si>
  <si>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</si>
  <si>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</si>
  <si>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</si>
  <si>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</si>
  <si>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</si>
  <si>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</si>
  <si>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</si>
  <si>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</si>
  <si>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</si>
  <si>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</si>
  <si>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</si>
  <si>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</si>
  <si>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</si>
  <si>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</si>
  <si>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</si>
  <si>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</si>
  <si>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</si>
  <si>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</si>
  <si>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</si>
  <si>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</si>
  <si>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</si>
  <si>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</si>
  <si>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</si>
  <si>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</si>
  <si>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</si>
  <si>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</si>
  <si>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</si>
  <si>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</si>
  <si>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</si>
  <si>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</si>
  <si>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</si>
  <si>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</si>
  <si>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</si>
  <si>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</si>
  <si>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</si>
  <si>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</si>
  <si>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</si>
  <si>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</si>
  <si>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</si>
  <si>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</si>
  <si>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</si>
  <si>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</si>
  <si>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</si>
  <si>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</si>
  <si>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</si>
  <si>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</si>
  <si>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</si>
  <si>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</si>
  <si>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</si>
  <si>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</si>
  <si>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</si>
  <si>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</si>
  <si>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</si>
  <si>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</si>
  <si>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</si>
  <si>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</si>
  <si>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</si>
  <si>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</si>
  <si>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</si>
  <si>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</si>
  <si>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</si>
  <si>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</si>
  <si>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</si>
  <si>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</si>
  <si>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</si>
  <si>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</si>
  <si>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</si>
  <si>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</si>
  <si>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</si>
  <si>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</si>
  <si>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</si>
  <si>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</si>
  <si>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</si>
  <si>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</si>
  <si>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</si>
  <si>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</si>
  <si>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</si>
  <si>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</si>
  <si>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</si>
  <si>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</si>
  <si>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</si>
  <si>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</si>
  <si>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</si>
  <si>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</si>
  <si>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</si>
  <si>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</si>
  <si>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</si>
  <si>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</si>
  <si>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</si>
  <si>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</si>
  <si>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</si>
  <si>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</si>
  <si>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</si>
  <si>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</si>
  <si>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</si>
  <si>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</si>
  <si>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</si>
  <si>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</si>
  <si>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</si>
  <si>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</si>
  <si>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</si>
  <si>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</si>
  <si>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</si>
  <si>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</si>
  <si>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</si>
  <si>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</si>
  <si>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</si>
  <si>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</si>
  <si>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</si>
  <si>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</si>
  <si>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</si>
  <si>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</si>
  <si>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</si>
  <si>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</si>
  <si>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</si>
  <si>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</si>
  <si>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</si>
  <si>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</si>
  <si>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</si>
  <si>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</si>
  <si>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</si>
  <si>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</si>
  <si>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</si>
  <si>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</si>
  <si>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</si>
  <si>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</si>
  <si>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</si>
  <si>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</si>
  <si>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</si>
  <si>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</si>
  <si>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</si>
  <si>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</si>
  <si>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</si>
  <si>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</si>
  <si>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</si>
  <si>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</si>
  <si>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</si>
  <si>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</si>
  <si>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</si>
  <si>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</si>
  <si>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</si>
  <si>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</si>
  <si>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</si>
  <si>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</si>
  <si>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</si>
  <si>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</si>
  <si>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</si>
  <si>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</si>
  <si>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</si>
  <si>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</si>
  <si>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</si>
  <si>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</si>
  <si>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</si>
  <si>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</si>
  <si>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</si>
  <si>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</si>
  <si>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</si>
  <si>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</si>
  <si>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</si>
  <si>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</si>
  <si>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</si>
  <si>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</si>
  <si>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</si>
  <si>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</si>
  <si>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</si>
  <si>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</si>
  <si>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</si>
  <si>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</si>
  <si>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</si>
  <si>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</si>
  <si>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</si>
  <si>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</si>
  <si>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</si>
  <si>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</si>
  <si>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</si>
  <si>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</si>
  <si>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</si>
  <si>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</si>
  <si>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</si>
  <si>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</si>
  <si>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</si>
  <si>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</si>
  <si>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</si>
  <si>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</si>
  <si>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</si>
  <si>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</si>
  <si>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</si>
  <si>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</si>
  <si>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</si>
  <si>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</si>
  <si>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</si>
  <si>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</si>
  <si>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</si>
  <si>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</si>
  <si>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</si>
  <si>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</si>
  <si>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</si>
  <si>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</si>
  <si>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</si>
  <si>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</si>
  <si>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</si>
  <si>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</si>
  <si>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</si>
  <si>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</si>
  <si>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</si>
  <si>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</si>
  <si>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</si>
  <si>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</si>
  <si>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</si>
  <si>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</si>
  <si>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</si>
  <si>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</si>
  <si>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</si>
  <si>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</si>
  <si>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</si>
  <si>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</si>
  <si>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</si>
  <si>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</si>
  <si>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</si>
  <si>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</si>
  <si>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</si>
  <si>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</si>
  <si>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</si>
  <si>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</si>
  <si>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</si>
  <si>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</si>
  <si>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</si>
  <si>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</si>
  <si>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</si>
  <si>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</si>
  <si>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</si>
  <si>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</si>
  <si>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</si>
  <si>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</si>
  <si>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</si>
  <si>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</si>
  <si>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</si>
  <si>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</si>
  <si>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</si>
  <si>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</si>
  <si>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</si>
  <si>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</si>
  <si>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</si>
  <si>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</si>
  <si>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</si>
  <si>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</si>
  <si>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</si>
  <si>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</si>
  <si>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</si>
  <si>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</si>
  <si>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</si>
  <si>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</si>
  <si>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</si>
  <si>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</si>
  <si>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</si>
  <si>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</si>
  <si>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</si>
  <si>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</si>
  <si>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</si>
  <si>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</si>
  <si>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</si>
  <si>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</si>
  <si>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</si>
  <si>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</si>
  <si>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</si>
  <si>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</si>
  <si>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</si>
  <si>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</si>
  <si>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</si>
  <si>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</si>
  <si>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</si>
  <si>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</si>
  <si>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</si>
  <si>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</si>
  <si>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</si>
  <si>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</si>
  <si>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</si>
  <si>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</si>
  <si>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</si>
  <si>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</si>
  <si>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</si>
  <si>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</si>
  <si>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</si>
  <si>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</si>
  <si>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</si>
  <si>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</si>
  <si>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</si>
  <si>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</si>
  <si>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</si>
  <si>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</si>
  <si>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</si>
  <si>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</si>
  <si>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</si>
  <si>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</si>
  <si>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</si>
  <si>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</si>
  <si>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</si>
  <si>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</si>
  <si>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</si>
  <si>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</si>
  <si>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</si>
  <si>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</si>
  <si>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</si>
  <si>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</si>
  <si>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</si>
  <si>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</si>
  <si>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</si>
  <si>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</si>
  <si>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</si>
  <si>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</si>
  <si>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</si>
  <si>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</si>
  <si>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</si>
  <si>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</si>
  <si>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</si>
  <si>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</si>
  <si>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</si>
  <si>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</si>
  <si>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</si>
  <si>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</si>
  <si>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</si>
  <si>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</si>
  <si>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</si>
  <si>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</si>
  <si>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</si>
  <si>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</si>
  <si>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</si>
  <si>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</si>
  <si>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</si>
  <si>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</si>
  <si>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</si>
  <si>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</si>
  <si>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</si>
  <si>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</si>
  <si>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</si>
  <si>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</si>
  <si>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</si>
  <si>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</si>
  <si>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</si>
  <si>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</si>
  <si>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</si>
  <si>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</si>
  <si>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</si>
  <si>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</si>
  <si>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</si>
  <si>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</si>
  <si>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</si>
  <si>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</si>
  <si>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</si>
  <si>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</si>
  <si>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</si>
  <si>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</si>
  <si>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</si>
  <si>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</si>
  <si>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</si>
  <si>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</si>
  <si>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</si>
  <si>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</si>
  <si>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</si>
  <si>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</si>
  <si>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</si>
  <si>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</si>
  <si>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</si>
  <si>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</si>
  <si>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</si>
  <si>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</si>
  <si>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</si>
  <si>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</si>
  <si>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</si>
  <si>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</si>
  <si>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</si>
  <si>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</si>
  <si>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</si>
  <si>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</si>
  <si>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</si>
  <si>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</si>
  <si>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</si>
  <si>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</si>
  <si>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</si>
  <si>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</si>
  <si>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</si>
  <si>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</si>
  <si>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</si>
  <si>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</si>
  <si>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</si>
  <si>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</si>
  <si>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</si>
  <si>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</si>
  <si>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</si>
  <si>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</si>
  <si>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</si>
  <si>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</si>
  <si>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</si>
  <si>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</si>
  <si>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</si>
  <si>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</si>
  <si>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</si>
  <si>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</si>
  <si>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</si>
  <si>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</si>
  <si>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</si>
  <si>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</si>
  <si>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</si>
  <si>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</si>
  <si>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</si>
  <si>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</si>
  <si>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</si>
  <si>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</si>
  <si>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</si>
  <si>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</si>
  <si>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</si>
  <si>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</si>
  <si>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</si>
  <si>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</si>
  <si>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</si>
  <si>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</si>
  <si>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</si>
  <si>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</si>
  <si>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</si>
  <si>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</si>
  <si>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</si>
  <si>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</si>
  <si>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</si>
  <si>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</si>
  <si>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</si>
  <si>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</si>
  <si>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</si>
  <si>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</si>
  <si>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</si>
  <si>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</si>
  <si>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</si>
  <si>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</si>
  <si>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</si>
  <si>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</si>
  <si>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</si>
  <si>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</si>
  <si>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</si>
  <si>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</si>
  <si>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</si>
  <si>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</si>
  <si>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</si>
  <si>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</si>
  <si>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</si>
  <si>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</si>
  <si>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</si>
  <si>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</si>
  <si>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</si>
  <si>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</si>
  <si>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</si>
  <si>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</si>
  <si>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</si>
  <si>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</si>
  <si>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</si>
  <si>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</si>
  <si>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</si>
  <si>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</si>
  <si>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</si>
  <si>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</si>
  <si>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</si>
  <si>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</si>
  <si>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</si>
  <si>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</si>
  <si>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</si>
  <si>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</si>
  <si>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</si>
  <si>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</si>
  <si>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</si>
  <si>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</si>
  <si>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</si>
  <si>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</si>
  <si>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</si>
  <si>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</si>
  <si>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</si>
  <si>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</si>
  <si>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</si>
  <si>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</si>
  <si>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</si>
  <si>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</si>
  <si>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</si>
  <si>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</si>
  <si>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</si>
  <si>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</si>
  <si>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</si>
  <si>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</si>
  <si>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</si>
  <si>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</si>
  <si>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</si>
  <si>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</si>
  <si>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</si>
  <si>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</si>
  <si>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</si>
  <si>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</si>
  <si>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</si>
  <si>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</si>
  <si>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</si>
  <si>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</si>
  <si>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</si>
  <si>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</si>
  <si>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</si>
  <si>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</si>
  <si>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</si>
  <si>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</si>
  <si>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</si>
  <si>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</si>
  <si>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</si>
  <si>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</si>
  <si>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</si>
  <si>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</si>
  <si>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</si>
  <si>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</si>
  <si>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</si>
  <si>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</si>
  <si>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</si>
  <si>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</si>
  <si>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</si>
  <si>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</si>
  <si>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</si>
  <si>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</si>
  <si>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</si>
  <si>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</si>
  <si>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</si>
  <si>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</si>
  <si>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</si>
  <si>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</si>
  <si>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</si>
  <si>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</si>
  <si>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</si>
  <si>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</si>
  <si>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</si>
  <si>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</si>
  <si>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</si>
  <si>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</si>
  <si>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</si>
  <si>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</si>
  <si>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</si>
  <si>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</si>
  <si>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</si>
  <si>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</si>
  <si>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</si>
  <si>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</si>
  <si>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</si>
  <si>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</si>
  <si>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</si>
  <si>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</si>
  <si>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</si>
  <si>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</si>
  <si>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</si>
  <si>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</si>
  <si>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</si>
  <si>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</si>
  <si>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</si>
  <si>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</si>
  <si>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</si>
  <si>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</si>
  <si>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</si>
  <si>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</si>
  <si>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</si>
  <si>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</si>
  <si>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</si>
  <si>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</si>
  <si>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</si>
  <si>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</si>
  <si>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</si>
  <si>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</si>
  <si>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</si>
  <si>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</si>
  <si>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</si>
  <si>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</si>
  <si>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</si>
  <si>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</si>
  <si>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</si>
  <si>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</si>
  <si>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</si>
  <si>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</si>
  <si>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</si>
  <si>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</si>
  <si>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</si>
  <si>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</si>
  <si>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</si>
  <si>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</si>
  <si>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</si>
  <si>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</si>
  <si>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</si>
  <si>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</si>
  <si>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</si>
  <si>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</si>
  <si>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</si>
  <si>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</si>
  <si>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</si>
  <si>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</si>
  <si>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</si>
  <si>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</si>
  <si>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</si>
  <si>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</si>
  <si>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</si>
  <si>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</si>
  <si>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</si>
  <si>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</si>
  <si>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</si>
  <si>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</si>
  <si>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</si>
  <si>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</si>
  <si>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</si>
  <si>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</si>
  <si>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</si>
  <si>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</si>
  <si>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</si>
  <si>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</si>
  <si>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</si>
  <si>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</si>
  <si>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</si>
  <si>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</si>
  <si>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</si>
  <si>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</si>
  <si>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</si>
  <si>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</si>
  <si>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</si>
  <si>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</si>
  <si>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</si>
  <si>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</si>
  <si>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</si>
  <si>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</si>
  <si>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</si>
  <si>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</si>
  <si>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</si>
  <si>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</si>
  <si>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</si>
  <si>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</si>
  <si>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</si>
  <si>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</si>
  <si>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</si>
  <si>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</si>
  <si>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</si>
  <si>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</si>
  <si>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</si>
  <si>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</si>
  <si>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</si>
  <si>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</si>
  <si>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</si>
  <si>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</si>
  <si>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</si>
  <si>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</si>
  <si>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</si>
  <si>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</si>
  <si>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</si>
  <si>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</si>
  <si>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</si>
  <si>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</si>
  <si>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</si>
  <si>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</si>
  <si>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</si>
  <si>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</si>
  <si>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</si>
  <si>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</si>
  <si>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</si>
  <si>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</si>
  <si>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</si>
  <si>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</si>
  <si>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</si>
  <si>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</si>
  <si>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</si>
  <si>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</si>
  <si>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</si>
  <si>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</si>
  <si>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</si>
  <si>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</si>
  <si>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</si>
  <si>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</si>
  <si>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</si>
  <si>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</si>
  <si>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</si>
  <si>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</si>
  <si>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</si>
  <si>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</si>
  <si>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</si>
  <si>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</si>
  <si>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</si>
  <si>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</si>
  <si>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</si>
  <si>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</si>
  <si>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</si>
  <si>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</si>
  <si>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</si>
  <si>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</si>
  <si>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</si>
  <si>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</si>
  <si>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</si>
  <si>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</si>
  <si>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</si>
  <si>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</si>
  <si>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</si>
  <si>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</si>
  <si>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</si>
  <si>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</si>
  <si>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</si>
  <si>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</si>
  <si>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</si>
  <si>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</si>
  <si>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</si>
  <si>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</si>
  <si>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</si>
  <si>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</si>
  <si>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</si>
  <si>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</si>
  <si>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</si>
  <si>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</si>
  <si>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</si>
  <si>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</si>
  <si>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</si>
  <si>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</si>
  <si>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</si>
  <si>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</si>
  <si>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</si>
  <si>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</si>
  <si>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</si>
  <si>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</si>
  <si>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</si>
  <si>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</si>
  <si>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</si>
  <si>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</si>
  <si>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</si>
  <si>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</si>
  <si>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</si>
  <si>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</si>
  <si>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</si>
  <si>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</si>
  <si>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</si>
  <si>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</si>
  <si>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</si>
  <si>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</si>
  <si>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</si>
  <si>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</si>
  <si>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</si>
  <si>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</si>
  <si>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</si>
  <si>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</si>
  <si>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</si>
  <si>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</si>
  <si>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</si>
  <si>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</si>
  <si>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</si>
  <si>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</si>
  <si>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</si>
  <si>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</si>
  <si>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</si>
  <si>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</si>
  <si>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</si>
  <si>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</si>
  <si>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</si>
  <si>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</si>
  <si>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</si>
  <si>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</si>
  <si>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</si>
  <si>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</si>
  <si>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</si>
  <si>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</si>
  <si>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</si>
  <si>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</si>
  <si>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</si>
  <si>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</si>
  <si>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</si>
  <si>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</si>
  <si>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</si>
  <si>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</si>
  <si>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</si>
  <si>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</si>
  <si>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</si>
  <si>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</si>
  <si>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</si>
  <si>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</si>
  <si>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</si>
  <si>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</si>
  <si>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</si>
  <si>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</si>
  <si>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</si>
  <si>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</si>
  <si>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</si>
  <si>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</si>
  <si>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</si>
  <si>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</si>
  <si>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</si>
  <si>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</si>
  <si>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</si>
  <si>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</si>
  <si>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</si>
  <si>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</si>
  <si>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</si>
  <si>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</si>
  <si>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</si>
  <si>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</si>
  <si>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</si>
  <si>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</si>
  <si>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</si>
  <si>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</si>
  <si>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</si>
  <si>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</si>
  <si>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</si>
  <si>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</si>
  <si>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</si>
  <si>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</si>
  <si>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</si>
  <si>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</si>
  <si>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</si>
  <si>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</si>
  <si>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</si>
  <si>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</si>
  <si>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</si>
  <si>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</si>
  <si>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</si>
  <si>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</si>
  <si>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</si>
  <si>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</si>
  <si>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</si>
  <si>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</si>
  <si>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</si>
  <si>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</si>
  <si>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</si>
  <si>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</si>
  <si>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</si>
  <si>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</si>
  <si>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</si>
  <si>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</si>
  <si>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</si>
  <si>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</si>
  <si>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</si>
  <si>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</si>
  <si>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</si>
  <si>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</si>
  <si>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</si>
  <si>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</si>
  <si>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</si>
  <si>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</si>
  <si>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</si>
  <si>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</si>
  <si>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</si>
  <si>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</si>
  <si>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</si>
  <si>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</si>
  <si>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</si>
  <si>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</si>
  <si>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</si>
  <si>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</si>
  <si>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</si>
  <si>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</si>
  <si>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</si>
  <si>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</si>
  <si>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</si>
  <si>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</si>
  <si>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</si>
  <si>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</si>
  <si>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</si>
  <si>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</si>
  <si>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</si>
  <si>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</si>
  <si>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</si>
  <si>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</si>
  <si>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</si>
  <si>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</si>
  <si>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</si>
  <si>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</si>
  <si>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</si>
  <si>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</si>
  <si>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</si>
  <si>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</si>
  <si>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</si>
  <si>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</si>
  <si>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</si>
  <si>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</si>
  <si>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</si>
  <si>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</si>
  <si>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</si>
  <si>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</si>
  <si>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</si>
  <si>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</si>
  <si>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</si>
  <si>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</si>
  <si>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</si>
  <si>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</si>
  <si>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</si>
  <si>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</si>
  <si>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</si>
  <si>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</si>
  <si>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</si>
  <si>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</si>
  <si>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</si>
  <si>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</si>
  <si>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</si>
  <si>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</si>
  <si>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</si>
  <si>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</si>
  <si>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</si>
  <si>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</si>
  <si>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</si>
  <si>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</si>
  <si>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</si>
  <si>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</si>
  <si>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</si>
  <si>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</si>
  <si>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</si>
  <si>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</si>
  <si>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</si>
  <si>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</si>
  <si>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</si>
  <si>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</si>
  <si>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</si>
  <si>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</si>
  <si>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</si>
  <si>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</si>
  <si>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</si>
  <si>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</si>
  <si>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</si>
  <si>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</si>
  <si>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</si>
  <si>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</si>
  <si>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</si>
  <si>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</si>
  <si>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</si>
  <si>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</si>
  <si>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</si>
  <si>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</si>
  <si>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</si>
  <si>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</si>
  <si>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</si>
  <si>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</si>
  <si>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</si>
  <si>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</si>
  <si>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</si>
  <si>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</si>
  <si>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</si>
  <si>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</si>
  <si>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</si>
  <si>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</si>
  <si>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</si>
  <si>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</si>
  <si>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</si>
  <si>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</si>
  <si>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</si>
  <si>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</si>
  <si>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</si>
  <si>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</si>
  <si>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</si>
  <si>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</si>
  <si>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</si>
  <si>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</si>
  <si>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</si>
  <si>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</si>
  <si>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</si>
  <si>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</si>
  <si>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</si>
  <si>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</si>
  <si>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</si>
  <si>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</si>
  <si>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</si>
  <si>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</si>
  <si>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</si>
  <si>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</si>
  <si>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</si>
  <si>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</si>
  <si>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</si>
  <si>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</si>
  <si>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</si>
  <si>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</si>
  <si>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</si>
  <si>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</si>
  <si>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</si>
  <si>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</si>
  <si>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</si>
  <si>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</si>
  <si>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</si>
  <si>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</si>
  <si>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</si>
  <si>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</si>
  <si>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</si>
  <si>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</si>
  <si>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</si>
  <si>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</si>
  <si>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</si>
  <si>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</si>
  <si>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</si>
  <si>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</si>
  <si>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</si>
  <si>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</si>
  <si>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</si>
  <si>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</si>
  <si>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</si>
  <si>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</si>
  <si>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</si>
  <si>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</si>
  <si>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</si>
  <si>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</si>
  <si>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</si>
  <si>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</si>
  <si>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</si>
  <si>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</si>
  <si>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</si>
  <si>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</si>
  <si>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</si>
  <si>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</si>
  <si>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</si>
  <si>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</si>
  <si>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</si>
  <si>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</si>
  <si>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</si>
  <si>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</si>
  <si>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</si>
  <si>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</si>
  <si>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</si>
  <si>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</si>
  <si>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</si>
  <si>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</si>
  <si>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</si>
  <si>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</si>
  <si>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</si>
  <si>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</si>
  <si>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</si>
  <si>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</si>
  <si>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</si>
  <si>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</si>
  <si>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</si>
  <si>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</si>
  <si>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</si>
  <si>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</si>
  <si>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</si>
  <si>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</si>
  <si>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</si>
  <si>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</si>
  <si>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</si>
  <si>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</si>
  <si>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</si>
  <si>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</si>
  <si>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</si>
  <si>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</si>
  <si>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</si>
  <si>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</si>
  <si>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</si>
  <si>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</si>
  <si>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</si>
  <si>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</si>
  <si>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</si>
  <si>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</si>
  <si>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</si>
  <si>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</si>
  <si>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</si>
  <si>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</si>
  <si>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</si>
  <si>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</si>
  <si>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</si>
  <si>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</si>
  <si>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</si>
  <si>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</si>
  <si>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</si>
  <si>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</si>
  <si>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</si>
  <si>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</si>
  <si>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</si>
  <si>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</si>
  <si>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</si>
  <si>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</si>
  <si>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</si>
  <si>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</si>
  <si>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</si>
  <si>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</si>
  <si>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</si>
  <si>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</si>
  <si>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</si>
  <si>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</si>
  <si>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</si>
  <si>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</si>
  <si>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</si>
  <si>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</si>
  <si>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</si>
  <si>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</si>
  <si>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</si>
  <si>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</si>
  <si>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</si>
  <si>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</si>
  <si>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</si>
  <si>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</si>
  <si>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</si>
  <si>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</si>
  <si>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</si>
  <si>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</si>
  <si>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</si>
  <si>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</si>
  <si>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</si>
  <si>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</si>
  <si>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</si>
  <si>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</si>
  <si>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</si>
  <si>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</si>
  <si>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</si>
  <si>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</si>
  <si>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</si>
  <si>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</si>
  <si>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</si>
  <si>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</si>
  <si>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</si>
  <si>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</si>
  <si>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</si>
  <si>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</si>
  <si>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</si>
  <si>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</si>
  <si>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</si>
  <si>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</si>
  <si>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</si>
  <si>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</si>
  <si>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</si>
  <si>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</si>
  <si>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</si>
  <si>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</si>
  <si>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</si>
  <si>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</si>
  <si>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</si>
  <si>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</si>
  <si>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</si>
  <si>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</si>
  <si>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</si>
  <si>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</si>
  <si>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</si>
  <si>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</si>
  <si>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</si>
  <si>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</si>
  <si>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</si>
  <si>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</si>
  <si>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</si>
  <si>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</si>
  <si>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</si>
  <si>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</si>
  <si>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</si>
  <si>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</si>
  <si>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</si>
  <si>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</si>
  <si>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</si>
  <si>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</si>
  <si>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</si>
  <si>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</si>
  <si>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</si>
  <si>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</si>
  <si>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</si>
  <si>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</si>
  <si>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</si>
  <si>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</si>
  <si>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</si>
  <si>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</si>
  <si>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</si>
  <si>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</si>
  <si>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</si>
  <si>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</si>
  <si>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</si>
  <si>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</si>
  <si>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</si>
  <si>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</si>
  <si>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</si>
  <si>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</si>
  <si>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</si>
  <si>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</si>
  <si>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</si>
  <si>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</si>
  <si>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</si>
  <si>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</si>
  <si>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</si>
  <si>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</si>
  <si>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</si>
  <si>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</si>
  <si>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</si>
  <si>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</si>
  <si>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</si>
  <si>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</si>
  <si>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</si>
  <si>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</si>
  <si>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</si>
  <si>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</si>
  <si>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</si>
  <si>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</si>
  <si>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</si>
  <si>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</si>
  <si>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</si>
  <si>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</si>
  <si>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</si>
  <si>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</si>
  <si>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</si>
  <si>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</si>
  <si>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</si>
  <si>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</si>
  <si>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</si>
  <si>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</si>
  <si>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</si>
  <si>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</si>
  <si>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</si>
  <si>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</si>
  <si>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</si>
  <si>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</si>
  <si>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</si>
  <si>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</si>
  <si>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</si>
  <si>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</si>
  <si>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</si>
  <si>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</si>
  <si>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</si>
  <si>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</si>
  <si>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</si>
  <si>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</si>
  <si>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</si>
  <si>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</si>
  <si>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</si>
  <si>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</si>
  <si>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</si>
  <si>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</si>
  <si>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</si>
  <si>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</si>
  <si>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</si>
  <si>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</si>
  <si>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</si>
  <si>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</si>
  <si>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</si>
  <si>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</si>
  <si>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</si>
  <si>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</si>
  <si>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</si>
  <si>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</si>
  <si>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</si>
  <si>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</si>
  <si>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</si>
  <si>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</si>
  <si>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</si>
  <si>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</si>
  <si>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</si>
  <si>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</si>
  <si>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</si>
  <si>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</si>
  <si>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</si>
  <si>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</si>
  <si>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</si>
  <si>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</si>
  <si>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</si>
  <si>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</si>
  <si>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</si>
  <si>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</si>
  <si>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</si>
  <si>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</si>
  <si>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</si>
  <si>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</si>
  <si>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</si>
  <si>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</si>
  <si>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</si>
  <si>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</si>
  <si>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</si>
  <si>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</si>
  <si>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</si>
  <si>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</si>
  <si>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</si>
  <si>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</si>
  <si>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</si>
  <si>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</si>
  <si>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</si>
  <si>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</si>
  <si>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</si>
  <si>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</si>
  <si>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</si>
  <si>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</si>
  <si>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</si>
  <si>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</si>
  <si>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</si>
  <si>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</si>
  <si>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</si>
  <si>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</si>
  <si>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</si>
  <si>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</si>
  <si>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</si>
  <si>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</si>
  <si>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</si>
  <si>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</si>
  <si>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</si>
  <si>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</si>
  <si>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</si>
  <si>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</si>
  <si>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</si>
  <si>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</si>
  <si>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</si>
  <si>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</si>
  <si>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</si>
  <si>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</si>
  <si>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</si>
  <si>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</si>
  <si>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</si>
  <si>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</si>
  <si>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</si>
  <si>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</si>
  <si>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</si>
  <si>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</si>
  <si>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</si>
  <si>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</si>
  <si>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</si>
  <si>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</si>
  <si>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</si>
  <si>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</si>
  <si>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</si>
  <si>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</si>
  <si>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</si>
  <si>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</si>
  <si>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</si>
  <si>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</si>
  <si>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</si>
  <si>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</si>
  <si>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</si>
  <si>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</si>
  <si>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</si>
  <si>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</si>
  <si>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</si>
  <si>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</si>
  <si>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</si>
  <si>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</si>
  <si>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</si>
  <si>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</si>
  <si>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</si>
  <si>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</si>
  <si>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</si>
  <si>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</si>
  <si>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</si>
  <si>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</si>
  <si>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</si>
  <si>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</si>
  <si>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</si>
  <si>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</si>
  <si>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</si>
  <si>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</si>
  <si>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</si>
  <si>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</si>
  <si>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</si>
  <si>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</si>
  <si>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</si>
  <si>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</si>
  <si>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</si>
  <si>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</si>
  <si>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</si>
  <si>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</si>
  <si>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</si>
  <si>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</si>
  <si>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</si>
  <si>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</si>
  <si>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</si>
  <si>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</si>
  <si>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</si>
  <si>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</si>
  <si>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</si>
  <si>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</si>
  <si>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</si>
  <si>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</si>
  <si>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</si>
  <si>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</si>
  <si>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</si>
  <si>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</si>
  <si>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</si>
  <si>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</si>
  <si>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</si>
  <si>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</si>
  <si>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</si>
  <si>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</si>
  <si>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</si>
  <si>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</si>
  <si>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</si>
  <si>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</si>
  <si>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</si>
  <si>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</si>
  <si>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</si>
  <si>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</si>
  <si>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</si>
  <si>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</si>
  <si>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</si>
  <si>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</si>
  <si>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</si>
  <si>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</si>
  <si>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</si>
  <si>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</si>
  <si>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</si>
  <si>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</si>
  <si>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</si>
  <si>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</si>
  <si>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</si>
  <si>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</si>
  <si>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</si>
  <si>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</si>
  <si>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</si>
  <si>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</si>
  <si>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</si>
  <si>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</si>
  <si>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</si>
  <si>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</si>
  <si>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</si>
  <si>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</si>
  <si>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</si>
  <si>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</si>
  <si>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</si>
  <si>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</si>
  <si>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</si>
  <si>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</si>
  <si>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</si>
  <si>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</si>
  <si>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</si>
  <si>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</si>
  <si>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</si>
  <si>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</si>
  <si>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</si>
  <si>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</si>
  <si>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</si>
  <si>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</si>
  <si>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</si>
  <si>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</si>
  <si>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</si>
  <si>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</si>
  <si>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</si>
  <si>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</si>
  <si>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</si>
  <si>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</si>
  <si>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</si>
  <si>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</si>
  <si>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</si>
  <si>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</si>
  <si>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</si>
  <si>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</si>
  <si>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</si>
  <si>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</si>
  <si>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</si>
  <si>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</si>
  <si>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</si>
  <si>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</si>
  <si>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</si>
  <si>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</si>
  <si>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</si>
  <si>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</si>
  <si>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</si>
  <si>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</si>
  <si>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</si>
  <si>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</si>
  <si>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</si>
  <si>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</si>
  <si>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</si>
  <si>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</si>
  <si>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</si>
  <si>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</si>
  <si>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</si>
  <si>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</si>
  <si>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</si>
  <si>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</si>
  <si>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</si>
  <si>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</si>
  <si>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</si>
  <si>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</si>
  <si>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</si>
  <si>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</si>
  <si>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</si>
  <si>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</si>
  <si>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</si>
  <si>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</si>
  <si>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</si>
  <si>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</si>
  <si>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</si>
  <si>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</si>
  <si>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</si>
  <si>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</si>
  <si>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</si>
  <si>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</si>
  <si>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</si>
  <si>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</si>
  <si>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</si>
  <si>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</si>
  <si>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</si>
  <si>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</si>
  <si>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</si>
  <si>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</si>
  <si>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</si>
  <si>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</si>
  <si>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</si>
  <si>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</si>
  <si>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</si>
  <si>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</si>
  <si>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</si>
  <si>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</si>
  <si>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</si>
  <si>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</si>
  <si>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</si>
  <si>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</si>
  <si>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</si>
  <si>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</si>
  <si>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</si>
  <si>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</si>
  <si>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</si>
  <si>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</si>
  <si>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</si>
  <si>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</si>
  <si>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</si>
  <si>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</si>
  <si>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</si>
  <si>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</si>
  <si>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</si>
  <si>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</si>
  <si>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</si>
  <si>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</si>
  <si>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</si>
  <si>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</si>
  <si>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</si>
  <si>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</si>
  <si>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</si>
  <si>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</si>
  <si>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</si>
  <si>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</si>
  <si>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</si>
  <si>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</si>
  <si>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</si>
  <si>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</si>
  <si>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</si>
  <si>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</si>
  <si>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</si>
  <si>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</si>
  <si>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</si>
  <si>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</si>
  <si>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</si>
  <si>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</si>
  <si>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</si>
  <si>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</si>
  <si>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</si>
  <si>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</si>
  <si>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</si>
  <si>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</si>
  <si>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</si>
  <si>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</si>
  <si>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</si>
  <si>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</si>
  <si>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</si>
  <si>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</si>
  <si>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</si>
  <si>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</si>
  <si>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</si>
  <si>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</si>
  <si>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</si>
  <si>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</si>
  <si>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</si>
  <si>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</si>
  <si>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</si>
  <si>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</si>
  <si>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</si>
  <si>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</si>
  <si>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</si>
  <si>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</si>
  <si>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</si>
  <si>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</si>
  <si>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</si>
  <si>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</si>
  <si>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</si>
  <si>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</si>
  <si>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</si>
  <si>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</si>
  <si>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</si>
  <si>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</si>
  <si>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</si>
  <si>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</si>
  <si>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</si>
  <si>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</si>
  <si>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</si>
  <si>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</si>
  <si>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</si>
  <si>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</si>
  <si>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</si>
  <si>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</si>
  <si>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</si>
  <si>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</si>
  <si>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</si>
  <si>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</si>
  <si>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</si>
  <si>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</si>
  <si>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</si>
  <si>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</si>
  <si>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</si>
  <si>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</si>
  <si>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</si>
  <si>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</si>
  <si>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</si>
  <si>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</si>
  <si>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</si>
  <si>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</si>
  <si>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</si>
  <si>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</si>
  <si>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</si>
  <si>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</si>
  <si>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</si>
  <si>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</si>
  <si>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</si>
  <si>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</si>
  <si>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</si>
  <si>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</si>
  <si>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</si>
  <si>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</si>
  <si>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</si>
  <si>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</si>
  <si>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</si>
  <si>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</si>
  <si>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</si>
  <si>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</si>
  <si>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</si>
  <si>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</si>
  <si>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</si>
  <si>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</si>
  <si>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</si>
  <si>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</si>
  <si>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</si>
  <si>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</si>
  <si>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</si>
  <si>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</si>
  <si>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</si>
  <si>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</si>
  <si>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</si>
  <si>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</si>
  <si>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</si>
  <si>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</si>
  <si>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</si>
  <si>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</si>
  <si>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</si>
  <si>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</si>
  <si>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</si>
  <si>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</si>
  <si>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</si>
  <si>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</si>
  <si>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</si>
  <si>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</si>
  <si>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</si>
  <si>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</si>
  <si>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</si>
  <si>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</si>
  <si>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</si>
  <si>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</si>
  <si>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</si>
  <si>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</si>
  <si>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</si>
  <si>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</si>
  <si>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</si>
  <si>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</si>
  <si>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</si>
  <si>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</si>
  <si>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</si>
  <si>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</si>
  <si>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</si>
  <si>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</si>
  <si>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</si>
  <si>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</si>
  <si>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</si>
  <si>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</si>
  <si>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</si>
  <si>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</si>
  <si>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</si>
  <si>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</si>
  <si>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</si>
  <si>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</si>
  <si>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</si>
  <si>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</si>
  <si>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</si>
  <si>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</si>
  <si>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</si>
  <si>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</si>
  <si>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</si>
  <si>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</si>
  <si>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</si>
  <si>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</si>
  <si>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</si>
  <si>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</si>
  <si>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</si>
  <si>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</si>
  <si>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</si>
  <si>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</si>
  <si>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</si>
  <si>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</si>
  <si>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</si>
  <si>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</si>
  <si>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</si>
  <si>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</si>
  <si>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</si>
  <si>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</si>
  <si>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</si>
  <si>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</si>
  <si>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</si>
  <si>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</si>
  <si>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</si>
  <si>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</si>
  <si>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</si>
  <si>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</si>
  <si>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</si>
  <si>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</si>
  <si>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</si>
  <si>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</si>
  <si>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</si>
  <si>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</si>
  <si>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</si>
  <si>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</si>
  <si>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</si>
  <si>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</si>
  <si>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</si>
  <si>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</si>
  <si>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</si>
  <si>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</si>
  <si>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</si>
  <si>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</si>
  <si>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</si>
  <si>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</si>
  <si>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</si>
  <si>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</si>
  <si>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</si>
  <si>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</si>
  <si>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</si>
  <si>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</si>
  <si>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</si>
  <si>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</si>
  <si>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</si>
  <si>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</si>
  <si>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</si>
  <si>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</si>
  <si>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</si>
  <si>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</si>
  <si>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</si>
  <si>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</si>
  <si>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</si>
  <si>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</si>
  <si>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</si>
  <si>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</si>
  <si>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</si>
  <si>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</si>
  <si>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</si>
  <si>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</si>
  <si>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</si>
  <si>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</si>
  <si>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</si>
  <si>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</si>
  <si>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</si>
  <si>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</si>
  <si>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</si>
  <si>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</si>
  <si>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</si>
  <si>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</si>
  <si>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</si>
  <si>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</si>
  <si>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</si>
  <si>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</si>
  <si>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</si>
  <si>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</si>
  <si>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</si>
  <si>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</si>
  <si>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</si>
  <si>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</si>
  <si>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</si>
  <si>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</si>
  <si>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</si>
  <si>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</si>
  <si>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</si>
  <si>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</si>
  <si>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</si>
  <si>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</si>
  <si>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</si>
  <si>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</si>
  <si>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</si>
  <si>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</si>
  <si>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</si>
  <si>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</si>
  <si>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</si>
  <si>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</si>
  <si>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</si>
  <si>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</si>
  <si>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</si>
  <si>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</si>
  <si>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</si>
  <si>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</si>
  <si>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</si>
  <si>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</si>
  <si>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</si>
  <si>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</si>
  <si>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</si>
  <si>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</si>
  <si>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</si>
  <si>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</si>
  <si>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</si>
  <si>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</si>
  <si>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</si>
  <si>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</si>
  <si>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</si>
  <si>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</si>
  <si>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</si>
  <si>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</si>
  <si>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</si>
  <si>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</si>
  <si>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</si>
  <si>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</si>
  <si>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</si>
  <si>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</si>
  <si>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</si>
  <si>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</si>
  <si>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</si>
  <si>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</si>
  <si>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</si>
  <si>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</si>
  <si>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</si>
  <si>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</si>
  <si>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</si>
  <si>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</si>
  <si>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</si>
  <si>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</si>
  <si>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</si>
  <si>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</si>
  <si>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</si>
  <si>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</si>
  <si>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</si>
  <si>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</si>
  <si>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</si>
  <si>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</si>
  <si>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</si>
  <si>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</si>
  <si>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</si>
  <si>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</si>
  <si>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</si>
  <si>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</si>
  <si>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</si>
  <si>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</si>
  <si>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</si>
  <si>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</si>
  <si>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</si>
  <si>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</si>
  <si>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</si>
  <si>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</si>
  <si>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</si>
  <si>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</si>
  <si>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</si>
  <si>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</si>
  <si>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</si>
  <si>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</si>
  <si>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</si>
  <si>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</si>
  <si>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</si>
  <si>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</si>
  <si>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</si>
  <si>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</si>
  <si>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</si>
  <si>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</si>
  <si>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</si>
  <si>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</si>
  <si>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</si>
  <si>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</si>
  <si>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</si>
  <si>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</si>
  <si>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</si>
  <si>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</si>
  <si>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</si>
  <si>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</si>
  <si>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</si>
  <si>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</si>
  <si>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</si>
  <si>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</si>
  <si>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</si>
  <si>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</si>
  <si>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</si>
  <si>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</si>
  <si>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</si>
  <si>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</si>
  <si>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</si>
  <si>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</si>
  <si>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</si>
  <si>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</si>
  <si>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</si>
  <si>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</si>
  <si>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</si>
  <si>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</si>
  <si>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</si>
  <si>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</si>
  <si>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</si>
  <si>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</si>
  <si>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</si>
  <si>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</si>
  <si>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</si>
  <si>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</si>
  <si>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</si>
  <si>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</si>
  <si>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</si>
  <si>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</si>
  <si>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</si>
  <si>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</si>
  <si>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</si>
  <si>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</si>
  <si>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</si>
  <si>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</si>
  <si>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</si>
  <si>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</si>
  <si>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</si>
  <si>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</si>
  <si>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</si>
  <si>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</si>
  <si>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</si>
  <si>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</si>
  <si>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</si>
  <si>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-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</si>
  <si>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</si>
  <si>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</si>
  <si>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</si>
  <si>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</si>
  <si>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</si>
  <si>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</si>
  <si>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</si>
  <si>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</si>
  <si>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</si>
  <si>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</si>
  <si>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</si>
  <si>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</si>
  <si>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</si>
  <si>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</si>
  <si>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</si>
  <si>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</si>
  <si>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</si>
  <si>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</si>
  <si>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</si>
  <si>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</si>
  <si>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</si>
  <si>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</si>
  <si>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</si>
  <si>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</si>
  <si>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</si>
  <si>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</si>
  <si>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</si>
  <si>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</si>
  <si>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</si>
  <si>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Queued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</si>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</sst>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  <xf numFmtId="165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82" totalsRowShown="0" headerRowDxfId="82" dataDxfId="81">
  <autoFilter ref="A1:R282" xr:uid="{97E63F84-BDFB-4C38-B1FD-28318E0D1D3F}"/>
  <sortState xmlns:xlrd2="http://schemas.microsoft.com/office/spreadsheetml/2017/richdata2" ref="A2:R282">
    <sortCondition ref="J1:J282"/>
  </sortState>
  <tableColumns count="18">
    <tableColumn id="1" xr3:uid="{DEBB3640-E433-4779-93BC-95B8FB492623}" name="S.NO" dataDxfId="80">
      <calculatedColumnFormula>ROW()-1</calculatedColumnFormula>
    </tableColumn>
    <tableColumn id="13" xr3:uid="{86C56767-9BFE-4154-9FC1-CEA7C183815E}" name="APPLICATION NO." dataDxfId="79"/>
    <tableColumn id="2" xr3:uid="{6ABB4EDF-0F58-40D7-979C-D37D8D91A6BC}" name="CHASSIS" dataDxfId="78"/>
    <tableColumn id="17" xr3:uid="{0BBF5E4D-B8B0-4055-8D5F-3A6BB4D4A4DA}" name="ENGINE NO." dataDxfId="77"/>
    <tableColumn id="3" xr3:uid="{285CC4F4-4CD1-4FFC-A101-ED051DA40438}" name="NAME" dataDxfId="76"/>
    <tableColumn id="4" xr3:uid="{28DC8B59-EFA0-4502-86B0-033B0B60D615}" name="MODEL" dataDxfId="75"/>
    <tableColumn id="14" xr3:uid="{B25F5A6A-3B72-4772-B75C-D86670F35131}" name="COLOR" dataDxfId="74"/>
    <tableColumn id="15" xr3:uid="{22F5E9AE-FC4E-4EBD-ADBF-5C93F85B331F}" name="RTO" dataDxfId="73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2"/>
    <tableColumn id="6" xr3:uid="{9942893D-0703-456F-8072-CD136C7B4052}" name="DATE OF REG" dataDxfId="71"/>
    <tableColumn id="12" xr3:uid="{CC83ADC7-1924-4CE0-83FB-B2DFBEF7A193}" name="CONTACT" dataDxfId="70"/>
    <tableColumn id="7" xr3:uid="{3AD2B0D9-D7A5-46E0-B596-F6B7F1CDDEA6}" name="DSE" dataDxfId="69"/>
    <tableColumn id="8" xr3:uid="{475221AE-3FDC-4CED-B76C-4DA1DD4F8AD9}" name="RC RECEIVED BY" dataDxfId="68"/>
    <tableColumn id="9" xr3:uid="{F594ED7D-6966-47AC-A5C3-25754B73A3CC}" name="DATE" dataDxfId="67"/>
    <tableColumn id="10" xr3:uid="{452E3ECD-E927-4EC7-A8A2-4A866233750E}" name="FASTTAG" dataDxfId="66"/>
    <tableColumn id="11" xr3:uid="{CFEE5573-D700-4B26-B382-BCA8210C54C2}" name="DATED" dataDxfId="65"/>
    <tableColumn id="16" xr3:uid="{07363D0C-2FBE-403B-A617-BDB5768FAC43}" name="FT STATUS" dataDxfId="64"/>
    <tableColumn id="19" xr3:uid="{9456CF5E-F4D1-41FB-BAEA-332735A8583D}" name="REMARKS" dataDxfId="6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2" dataDxfId="60" headerRowBorderDxfId="61" tableBorderDxfId="59">
  <autoFilter ref="A1:U1475" xr:uid="{D370B51C-D08F-47BE-AAB1-EC19B1CB5D0A}"/>
  <tableColumns count="21">
    <tableColumn id="1" xr3:uid="{F2AB5776-2910-4922-8F7A-A29B241AFBFB}" name="S.NO" dataDxfId="58"/>
    <tableColumn id="2" xr3:uid="{BD6FD91D-E737-4D6A-B00A-D80EC1A61CA8}" name="DATE" dataDxfId="57"/>
    <tableColumn id="3" xr3:uid="{523BFE7D-9361-4DD0-92B3-69A6F8F0C3E9}" name="CUSTOMER NAME" dataDxfId="56"/>
    <tableColumn id="4" xr3:uid="{D470DE80-5E84-419F-ABF9-6269311CD45E}" name="MARUTI" dataDxfId="55"/>
    <tableColumn id="5" xr3:uid="{89C10B6F-C9EE-4AD2-A610-262BFCF29B4E}" name="MODEL OR VARIANT" dataDxfId="54"/>
    <tableColumn id="6" xr3:uid="{9CB69D3E-706F-4EED-A315-D5399BE00D5C}" name="RTO" dataDxfId="53"/>
    <tableColumn id="7" xr3:uid="{2FB81954-C8D6-43B3-92E2-574B07BBFCCB}" name="VEHICLE CLASS" dataDxfId="52"/>
    <tableColumn id="8" xr3:uid="{1892A735-1187-4E6C-8786-9B173567AAD2}" name="REG. NO" dataDxfId="51"/>
    <tableColumn id="9" xr3:uid="{AFB37B1C-50E7-42BE-BC49-27B4D7E4E829}" name="VIN" dataDxfId="50"/>
    <tableColumn id="10" xr3:uid="{A3569458-1056-4E90-B079-94E3430A5743}" name="APPLICATION NO." dataDxfId="49"/>
    <tableColumn id="11" xr3:uid="{E25E7D92-4EC4-485D-93B8-A15B0538604A}" name="RTO AMMOUNT " dataDxfId="48"/>
    <tableColumn id="12" xr3:uid="{DB89535A-8F36-4EF8-B62C-86ABB378F51F}" name="HSRP" dataDxfId="47"/>
    <tableColumn id="13" xr3:uid="{6BD25826-954F-49C4-BE9E-24422B1B85BE}" name="ACCOUNT" dataDxfId="46"/>
    <tableColumn id="14" xr3:uid="{974951AE-D99C-487A-9DB5-065DA8DD25D4}" name="RM NAME" dataDxfId="45"/>
    <tableColumn id="15" xr3:uid="{FA4014CD-BE60-4554-9D6D-C0CC54B2CA05}" name="PAYMENT MODE" dataDxfId="44"/>
    <tableColumn id="16" xr3:uid="{84C48B22-72C9-4BD7-86AD-D8ECD87C3A64}" name="FILE PUNCHED BY" dataDxfId="43"/>
    <tableColumn id="17" xr3:uid="{87E46E14-6F6C-41D4-BBF8-CEAFAFE4CA8F}" name="PAYMENT ID" dataDxfId="42"/>
    <tableColumn id="18" xr3:uid="{0F2CD467-C868-4769-B436-AE2A25413B52}" name="RC STATUS" dataDxfId="41"/>
    <tableColumn id="19" xr3:uid="{0A9FDBF9-6418-4F2B-8B46-BE05C8150A04}" name="RC GIVEN DATE" dataDxfId="40"/>
    <tableColumn id="20" xr3:uid="{3A50F2B6-47D6-4A09-AA43-188FC568EA57}" name="FASTTAG ISSUE" dataDxfId="39"/>
    <tableColumn id="21" xr3:uid="{E4802D5D-D65F-42D3-B57E-E27729185964}" name="FASTTAG ISSUE DATE 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24" totalsRowShown="0" headerRowDxfId="37" dataDxfId="36">
  <autoFilter ref="A2:H124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35"/>
    <tableColumn id="11" xr3:uid="{7AA66E15-5D81-45A6-A480-BC2F7EFDEB4C}" name="Name" dataDxfId="34"/>
    <tableColumn id="10" xr3:uid="{DA1D923C-25B3-4F76-823C-435E6464FF55}" name="Contact" dataDxfId="33"/>
    <tableColumn id="2" xr3:uid="{5FEBD558-5EB7-4421-BA25-DCAC1134B168}" name="Barcode No." dataDxfId="32"/>
    <tableColumn id="12" xr3:uid="{77758C8B-F2C8-47C0-B104-570729F9693B}" name="Reg Num" dataDxfId="31"/>
    <tableColumn id="5" xr3:uid="{9AC97A3F-3009-4A59-ACCF-A178780E6F61}" name="Date" dataDxfId="30"/>
    <tableColumn id="7" xr3:uid="{82C8F4C5-8489-4228-83CC-0B9666328CDD}" name="CHANNEL" dataDxfId="29"/>
    <tableColumn id="8" xr3:uid="{DDF1FC61-A0D6-46E9-9515-6DDC5AB1E932}" name="Status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2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6"/>
    <tableColumn id="2" xr3:uid="{1E57C5CE-907A-4DF0-BCA2-BBCD2651216C}" name="APPLICATION NO." dataDxfId="25"/>
    <tableColumn id="3" xr3:uid="{F626713A-3C61-423D-BD37-451203C3E29C}" name="CHASSIS" dataDxfId="24"/>
    <tableColumn id="4" xr3:uid="{32C5A048-ADD8-4648-8106-9F20D6757D66}" name="NAME" dataDxfId="23"/>
    <tableColumn id="5" xr3:uid="{BA1FDE8E-99ED-4918-A545-B2E041B306D6}" name="MODEL" dataDxfId="22"/>
    <tableColumn id="6" xr3:uid="{872ECA2D-515D-4EDE-B60A-82A8BDEFEDCC}" name="COLOR" dataDxfId="21"/>
    <tableColumn id="7" xr3:uid="{C729A2AA-8F61-4959-9BE7-9F1BD3A49990}" name="RTO" dataDxfId="20"/>
    <tableColumn id="8" xr3:uid="{49CDED17-8118-4E4F-BBF5-6407D0788647}" name="REG NUM" dataDxfId="19"/>
    <tableColumn id="9" xr3:uid="{6E044422-F791-464A-944A-0668F0C8112F}" name="DATE OF REG" dataDxfId="18"/>
    <tableColumn id="11" xr3:uid="{942D52E6-8B19-4B1A-ADDF-6D959D8E7BE1}" name="DSE" dataDxfId="17"/>
    <tableColumn id="12" xr3:uid="{04B58679-3282-4D6D-BF3E-2233E3C4DC81}" name="RC RECEIVED BY" dataDxfId="1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5" tableBorderDxfId="14" totalsRowBorderDxfId="13">
  <autoFilter ref="B27:E32" xr:uid="{859DCBAE-920B-4469-9E0B-BF5ADC0248E9}"/>
  <tableColumns count="4">
    <tableColumn id="1" xr3:uid="{898528DA-B3AC-435C-B00C-9234887E5F11}" name="REG NUM" dataDxfId="12"/>
    <tableColumn id="2" xr3:uid="{89440296-A536-440E-A74B-186B5A98AE6C}" name="DATE OF REG" dataDxfId="11"/>
    <tableColumn id="3" xr3:uid="{7A04E3EB-93DA-4428-AB0C-3D251E144655}" name="RC RECEIVED BY" dataDxfId="10"/>
    <tableColumn id="4" xr3:uid="{0D350352-EB5F-413B-8CE6-3B46D80C3172}" name="DATE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60"/>
  <sheetViews>
    <sheetView topLeftCell="G108" zoomScaleNormal="100" workbookViewId="0">
      <selection activeCell="N121" sqref="N12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7461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5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2"/>
        <v>KULGAM</v>
      </c>
      <c r="I65" s="47" t="s">
        <v>6536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9" si="3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ref="H66:H97" si="4">IF(LEFT(I66,4)="JK13","PULWAMA",IF(LEFT(I66,4)="JK01","SRINAGAR",IF(LEFT(I66,4)="JK04","BUDGAM",IF(LEFT(I66,4)="JK03","ANANTNAG",IF(LEFT(I66,4)="JK05","BARAMULLA",IF(LEFT(I66,4)="25BH","BHARAT",IF(LEFT(I66,4)="JK12","POONCH",IF(LEFT(I66,4)="JK18","KULGAM",IF(LEFT(I66,4)="JK22","SHOPIAN",IF(LEFT(I66,4)="T102","TEMP",IF(LEFT(I66,4)="JK09","KUPWARA",IF(LEFT(I66,4)="JK15","BANDIPORA",IF(LEFT(I66,4)="T112","KARGIL","NEW")))))))))))))</f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/>
      <c r="P88" s="50"/>
      <c r="Q88" s="47"/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/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4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ref="H98:H129" si="5">IF(LEFT(I98,4)="JK13","PULWAMA",IF(LEFT(I98,4)="JK01","SRINAGAR",IF(LEFT(I98,4)="JK04","BUDGAM",IF(LEFT(I98,4)="JK03","ANANTNAG",IF(LEFT(I98,4)="JK05","BARAMULLA",IF(LEFT(I98,4)="25BH","BHARAT",IF(LEFT(I98,4)="JK12","POONCH",IF(LEFT(I98,4)="JK18","KULGAM",IF(LEFT(I98,4)="JK22","SHOPIAN",IF(LEFT(I98,4)="T102","TEMP",IF(LEFT(I98,4)="JK09","KUPWARA",IF(LEFT(I98,4)="JK15","BANDIPORA",IF(LEFT(I98,4)="T112","KARGIL","NEW")))))))))))))</f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7620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3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5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6"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ref="H130:H161" si="7">IF(LEFT(I130,4)="JK13","PULWAMA",IF(LEFT(I130,4)="JK01","SRINAGAR",IF(LEFT(I130,4)="JK04","BUDGAM",IF(LEFT(I130,4)="JK03","ANANTNAG",IF(LEFT(I130,4)="JK05","BARAMULLA",IF(LEFT(I130,4)="25BH","BHARAT",IF(LEFT(I130,4)="JK12","POONCH",IF(LEFT(I130,4)="JK18","KULGAM",IF(LEFT(I130,4)="JK22","SHOPIAN",IF(LEFT(I130,4)="T102","TEMP",IF(LEFT(I130,4)="JK09","KUPWARA",IF(LEFT(I130,4)="JK15","BANDIPORA",IF(LEFT(I130,4)="T112","KARGIL","NEW"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6733</v>
      </c>
      <c r="C132" s="47" t="s">
        <v>6731</v>
      </c>
      <c r="D132" s="47" t="s">
        <v>6732</v>
      </c>
      <c r="E132" s="47" t="s">
        <v>6730</v>
      </c>
      <c r="F132" s="47" t="s">
        <v>31</v>
      </c>
      <c r="G132" s="47" t="s">
        <v>199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6741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si="8"/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7618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95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7044</v>
      </c>
      <c r="C183" s="47" t="s">
        <v>7045</v>
      </c>
      <c r="D183" s="47" t="s">
        <v>7046</v>
      </c>
      <c r="E183" s="47" t="s">
        <v>7047</v>
      </c>
      <c r="F183" s="47" t="s">
        <v>119</v>
      </c>
      <c r="G183" s="47" t="s">
        <v>200</v>
      </c>
      <c r="H183" s="47" t="str">
        <f t="shared" si="9"/>
        <v>BUDGAM</v>
      </c>
      <c r="I183" s="47" t="s">
        <v>7065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6"/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11">ROW()-1</f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/>
      <c r="N197" s="48"/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/>
      <c r="N201" s="48"/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7456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/>
      <c r="N214" s="48"/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7457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/>
      <c r="N221" s="48"/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7288</v>
      </c>
      <c r="C222" s="47" t="s">
        <v>7289</v>
      </c>
      <c r="D222" s="47" t="s">
        <v>7290</v>
      </c>
      <c r="E222" s="47" t="s">
        <v>7291</v>
      </c>
      <c r="F222" s="47" t="s">
        <v>6546</v>
      </c>
      <c r="G222" s="47" t="s">
        <v>6475</v>
      </c>
      <c r="H222" s="47" t="str">
        <f t="shared" si="10"/>
        <v>SRINAGAR</v>
      </c>
      <c r="I222" s="47" t="s">
        <v>7293</v>
      </c>
      <c r="J222" s="48">
        <v>46010</v>
      </c>
      <c r="K222" s="47">
        <v>9018112121</v>
      </c>
      <c r="L222" s="47" t="s">
        <v>26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7307</v>
      </c>
      <c r="C225" s="47" t="s">
        <v>7308</v>
      </c>
      <c r="D225" s="47" t="s">
        <v>7309</v>
      </c>
      <c r="E225" s="47" t="s">
        <v>7310</v>
      </c>
      <c r="F225" s="47" t="s">
        <v>1264</v>
      </c>
      <c r="G225" s="47" t="s">
        <v>174</v>
      </c>
      <c r="H225" s="47" t="str">
        <f t="shared" si="12"/>
        <v>BUDGAM</v>
      </c>
      <c r="I225" s="47" t="s">
        <v>7322</v>
      </c>
      <c r="J225" s="48">
        <v>46011</v>
      </c>
      <c r="K225" s="47">
        <v>9797913220</v>
      </c>
      <c r="L225" s="47" t="s">
        <v>26</v>
      </c>
      <c r="M225" s="49"/>
      <c r="N225" s="48"/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7314</v>
      </c>
      <c r="C226" s="47" t="s">
        <v>7311</v>
      </c>
      <c r="D226" s="47" t="s">
        <v>7312</v>
      </c>
      <c r="E226" s="47" t="s">
        <v>7313</v>
      </c>
      <c r="F226" s="47" t="s">
        <v>238</v>
      </c>
      <c r="G226" s="47" t="s">
        <v>200</v>
      </c>
      <c r="H226" s="47" t="str">
        <f t="shared" si="12"/>
        <v>PULWAMA</v>
      </c>
      <c r="I226" s="47" t="s">
        <v>7321</v>
      </c>
      <c r="J226" s="48">
        <v>46011</v>
      </c>
      <c r="K226" s="47">
        <v>7006878734</v>
      </c>
      <c r="L226" s="47" t="s">
        <v>26</v>
      </c>
      <c r="M226" s="49"/>
      <c r="N226" s="48"/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7620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7330</v>
      </c>
      <c r="C229" s="47" t="s">
        <v>7326</v>
      </c>
      <c r="D229" s="47" t="s">
        <v>7327</v>
      </c>
      <c r="E229" s="47" t="s">
        <v>7328</v>
      </c>
      <c r="F229" s="47" t="s">
        <v>31</v>
      </c>
      <c r="G229" s="47" t="s">
        <v>174</v>
      </c>
      <c r="H229" s="47" t="str">
        <f t="shared" si="12"/>
        <v>SRINAGAR</v>
      </c>
      <c r="I229" s="47" t="s">
        <v>7329</v>
      </c>
      <c r="J229" s="48">
        <v>46011</v>
      </c>
      <c r="K229" s="47">
        <v>9622755213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/>
      <c r="P234" s="50"/>
      <c r="Q234" s="47"/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7458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7427</v>
      </c>
      <c r="C245" s="47" t="s">
        <v>7428</v>
      </c>
      <c r="D245" s="47" t="s">
        <v>7429</v>
      </c>
      <c r="E245" s="47" t="s">
        <v>7430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7444</v>
      </c>
      <c r="J245" s="48">
        <v>46014</v>
      </c>
      <c r="K245" s="47">
        <v>9797999350</v>
      </c>
      <c r="L245" s="47" t="s">
        <v>176</v>
      </c>
      <c r="M245" s="49"/>
      <c r="N245" s="48"/>
      <c r="O245" s="47"/>
      <c r="P245" s="50"/>
      <c r="Q245" s="47"/>
      <c r="R245" s="47"/>
    </row>
    <row r="246" spans="1:18" x14ac:dyDescent="0.25">
      <c r="A246" s="47">
        <f t="shared" si="11"/>
        <v>245</v>
      </c>
      <c r="B246" s="47" t="s">
        <v>7434</v>
      </c>
      <c r="C246" s="47" t="s">
        <v>7431</v>
      </c>
      <c r="D246" s="47" t="s">
        <v>7432</v>
      </c>
      <c r="E246" s="47" t="s">
        <v>7433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7439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7435</v>
      </c>
      <c r="C247" s="47" t="s">
        <v>7436</v>
      </c>
      <c r="D247" s="47" t="s">
        <v>7437</v>
      </c>
      <c r="E247" s="47" t="s">
        <v>7438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7442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7445</v>
      </c>
      <c r="C248" s="47" t="s">
        <v>7446</v>
      </c>
      <c r="D248" s="47" t="s">
        <v>7447</v>
      </c>
      <c r="E248" s="47" t="s">
        <v>7448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7459</v>
      </c>
      <c r="J248" s="48">
        <v>46014</v>
      </c>
      <c r="K248" s="47">
        <v>7889666298</v>
      </c>
      <c r="L248" s="47" t="s">
        <v>70</v>
      </c>
      <c r="M248" s="49"/>
      <c r="N248" s="48"/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7449</v>
      </c>
      <c r="C249" s="47" t="s">
        <v>7450</v>
      </c>
      <c r="D249" s="47" t="s">
        <v>7451</v>
      </c>
      <c r="E249" s="47" t="s">
        <v>7452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7460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7568</v>
      </c>
      <c r="R249" s="47"/>
    </row>
    <row r="250" spans="1:18" x14ac:dyDescent="0.25">
      <c r="A250" s="47">
        <f t="shared" si="11"/>
        <v>249</v>
      </c>
      <c r="B250" s="47" t="s">
        <v>7479</v>
      </c>
      <c r="C250" s="47" t="s">
        <v>7471</v>
      </c>
      <c r="D250" s="47" t="s">
        <v>7518</v>
      </c>
      <c r="E250" s="47" t="s">
        <v>7463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7489</v>
      </c>
      <c r="J250" s="48">
        <v>46015</v>
      </c>
      <c r="K250" s="47">
        <v>9596022327</v>
      </c>
      <c r="L250" s="47" t="s">
        <v>6683</v>
      </c>
      <c r="M250" s="49"/>
      <c r="N250" s="48"/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7480</v>
      </c>
      <c r="C251" s="47" t="s">
        <v>7472</v>
      </c>
      <c r="D251" s="47" t="s">
        <v>7498</v>
      </c>
      <c r="E251" s="47" t="s">
        <v>7464</v>
      </c>
      <c r="F251" s="47" t="s">
        <v>7487</v>
      </c>
      <c r="G251" s="47" t="s">
        <v>199</v>
      </c>
      <c r="H251" s="47" t="str">
        <f t="shared" si="12"/>
        <v>BARAMULLA</v>
      </c>
      <c r="I251" s="47" t="s">
        <v>7490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7481</v>
      </c>
      <c r="C252" s="47" t="s">
        <v>7473</v>
      </c>
      <c r="D252" s="47" t="s">
        <v>7523</v>
      </c>
      <c r="E252" s="47" t="s">
        <v>7465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7491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7445</v>
      </c>
      <c r="C253" s="47" t="s">
        <v>7446</v>
      </c>
      <c r="D253" s="47" t="s">
        <v>7447</v>
      </c>
      <c r="E253" s="47" t="s">
        <v>7448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7459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7482</v>
      </c>
      <c r="C254" s="47" t="s">
        <v>7474</v>
      </c>
      <c r="D254" s="47" t="s">
        <v>7501</v>
      </c>
      <c r="E254" s="47" t="s">
        <v>7466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7492</v>
      </c>
      <c r="J254" s="48">
        <v>46015</v>
      </c>
      <c r="K254" s="47">
        <v>7889383674</v>
      </c>
      <c r="L254" s="47" t="s">
        <v>48</v>
      </c>
      <c r="M254" s="49"/>
      <c r="N254" s="48"/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7483</v>
      </c>
      <c r="C255" s="47" t="s">
        <v>7475</v>
      </c>
      <c r="D255" s="47" t="s">
        <v>7525</v>
      </c>
      <c r="E255" s="47" t="s">
        <v>7467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7493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7484</v>
      </c>
      <c r="C256" s="47" t="s">
        <v>7476</v>
      </c>
      <c r="D256" s="47" t="s">
        <v>7499</v>
      </c>
      <c r="E256" s="47" t="s">
        <v>7468</v>
      </c>
      <c r="F256" s="47" t="s">
        <v>7488</v>
      </c>
      <c r="G256" s="47" t="s">
        <v>199</v>
      </c>
      <c r="H256" s="47" t="str">
        <f t="shared" ref="H256:H287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7494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11"/>
        <v>256</v>
      </c>
      <c r="B257" s="47" t="s">
        <v>7485</v>
      </c>
      <c r="C257" s="47" t="s">
        <v>7477</v>
      </c>
      <c r="D257" s="47" t="s">
        <v>7497</v>
      </c>
      <c r="E257" s="47" t="s">
        <v>7469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7495</v>
      </c>
      <c r="J257" s="48">
        <v>46015</v>
      </c>
      <c r="K257" s="47">
        <v>9205000009</v>
      </c>
      <c r="L257" s="47" t="s">
        <v>18</v>
      </c>
      <c r="M257" s="49" t="s">
        <v>7617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ref="A258:A282" si="14">ROW()-1</f>
        <v>257</v>
      </c>
      <c r="B258" s="47" t="s">
        <v>7486</v>
      </c>
      <c r="C258" s="47" t="s">
        <v>7478</v>
      </c>
      <c r="D258" s="47" t="s">
        <v>7500</v>
      </c>
      <c r="E258" s="47" t="s">
        <v>7470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7496</v>
      </c>
      <c r="J258" s="48">
        <v>46015</v>
      </c>
      <c r="K258" s="47">
        <v>9541622336</v>
      </c>
      <c r="L258" s="47" t="s">
        <v>18</v>
      </c>
      <c r="M258" s="49"/>
      <c r="N258" s="48"/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7559</v>
      </c>
      <c r="C259" s="47" t="s">
        <v>7560</v>
      </c>
      <c r="D259" s="47" t="s">
        <v>7561</v>
      </c>
      <c r="E259" s="47" t="s">
        <v>7562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7563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7502</v>
      </c>
      <c r="C260" s="47" t="s">
        <v>7503</v>
      </c>
      <c r="D260" s="47" t="s">
        <v>7504</v>
      </c>
      <c r="E260" s="47" t="s">
        <v>7505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7519</v>
      </c>
      <c r="J260" s="48">
        <v>46016</v>
      </c>
      <c r="K260" s="47">
        <v>6005068829</v>
      </c>
      <c r="L260" s="47" t="s">
        <v>194</v>
      </c>
      <c r="M260" s="49" t="s">
        <v>7598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7506</v>
      </c>
      <c r="C261" s="47" t="s">
        <v>7507</v>
      </c>
      <c r="D261" s="47" t="s">
        <v>7508</v>
      </c>
      <c r="E261" s="47" t="s">
        <v>7509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7520</v>
      </c>
      <c r="J261" s="48">
        <v>46016</v>
      </c>
      <c r="K261" s="47">
        <v>9858727429</v>
      </c>
      <c r="L261" s="47" t="s">
        <v>176</v>
      </c>
      <c r="M261" s="49"/>
      <c r="N261" s="48"/>
      <c r="O261" s="47"/>
      <c r="P261" s="50"/>
      <c r="Q261" s="47"/>
      <c r="R261" s="47"/>
    </row>
    <row r="262" spans="1:18" x14ac:dyDescent="0.25">
      <c r="A262" s="47">
        <f t="shared" si="14"/>
        <v>261</v>
      </c>
      <c r="B262" s="47" t="s">
        <v>7510</v>
      </c>
      <c r="C262" s="47" t="s">
        <v>7511</v>
      </c>
      <c r="D262" s="47" t="s">
        <v>7512</v>
      </c>
      <c r="E262" s="47" t="s">
        <v>7513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7521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7514</v>
      </c>
      <c r="C263" s="47" t="s">
        <v>7515</v>
      </c>
      <c r="D263" s="47" t="s">
        <v>7516</v>
      </c>
      <c r="E263" s="47" t="s">
        <v>7517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7522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7524</v>
      </c>
    </row>
    <row r="264" spans="1:18" x14ac:dyDescent="0.25">
      <c r="A264" s="47">
        <f t="shared" si="14"/>
        <v>263</v>
      </c>
      <c r="B264" s="47" t="s">
        <v>7530</v>
      </c>
      <c r="C264" s="47" t="s">
        <v>7526</v>
      </c>
      <c r="D264" s="47" t="s">
        <v>7527</v>
      </c>
      <c r="E264" s="47" t="s">
        <v>7528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7529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7531</v>
      </c>
      <c r="C265" s="47" t="s">
        <v>7532</v>
      </c>
      <c r="D265" s="47" t="s">
        <v>7533</v>
      </c>
      <c r="E265" s="47" t="s">
        <v>7534</v>
      </c>
      <c r="F265" s="47" t="s">
        <v>100</v>
      </c>
      <c r="G265" s="47" t="s">
        <v>200</v>
      </c>
      <c r="H265" s="47" t="str">
        <f t="shared" si="13"/>
        <v>PULWAMA</v>
      </c>
      <c r="I265" s="47" t="s">
        <v>7542</v>
      </c>
      <c r="J265" s="48">
        <v>46016</v>
      </c>
      <c r="K265" s="47">
        <v>9697972995</v>
      </c>
      <c r="L265" s="47" t="s">
        <v>26</v>
      </c>
      <c r="M265" s="49"/>
      <c r="N265" s="48"/>
      <c r="O265" s="47"/>
      <c r="P265" s="50"/>
      <c r="Q265" s="47"/>
      <c r="R265" s="47"/>
    </row>
    <row r="266" spans="1:18" x14ac:dyDescent="0.25">
      <c r="A266" s="47">
        <f t="shared" si="14"/>
        <v>265</v>
      </c>
      <c r="B266" s="47" t="s">
        <v>7535</v>
      </c>
      <c r="C266" s="47" t="s">
        <v>7536</v>
      </c>
      <c r="D266" s="47" t="s">
        <v>7537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7557</v>
      </c>
      <c r="J266" s="48">
        <v>46016</v>
      </c>
      <c r="K266" s="47">
        <v>9858321757</v>
      </c>
      <c r="L266" s="47" t="s">
        <v>43</v>
      </c>
      <c r="M266" s="49" t="s">
        <v>7599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7538</v>
      </c>
      <c r="C267" s="47" t="s">
        <v>7539</v>
      </c>
      <c r="D267" s="47" t="s">
        <v>7540</v>
      </c>
      <c r="E267" s="47" t="s">
        <v>7541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7556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7543</v>
      </c>
      <c r="C268" s="47" t="s">
        <v>7544</v>
      </c>
      <c r="D268" s="47" t="s">
        <v>7545</v>
      </c>
      <c r="E268" s="47" t="s">
        <v>7546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7558</v>
      </c>
      <c r="J268" s="48">
        <v>46016</v>
      </c>
      <c r="K268" s="47">
        <v>8825061187</v>
      </c>
      <c r="L268" s="47" t="s">
        <v>7547</v>
      </c>
      <c r="M268" s="49"/>
      <c r="N268" s="48"/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7564</v>
      </c>
      <c r="C269" s="47" t="s">
        <v>7565</v>
      </c>
      <c r="D269" s="47" t="s">
        <v>7566</v>
      </c>
      <c r="E269" s="47" t="s">
        <v>7567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7593</v>
      </c>
      <c r="J269" s="48">
        <v>46017</v>
      </c>
      <c r="K269" s="47">
        <v>9906918176</v>
      </c>
      <c r="L269" s="47" t="s">
        <v>26</v>
      </c>
      <c r="M269" s="49" t="s">
        <v>7619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7576</v>
      </c>
      <c r="C270" s="47" t="s">
        <v>7578</v>
      </c>
      <c r="D270" s="47" t="s">
        <v>7579</v>
      </c>
      <c r="E270" s="47" t="s">
        <v>7577</v>
      </c>
      <c r="F270" s="47" t="s">
        <v>7580</v>
      </c>
      <c r="G270" s="47" t="s">
        <v>6475</v>
      </c>
      <c r="H270" s="47" t="str">
        <f t="shared" si="13"/>
        <v>SRINAGAR</v>
      </c>
      <c r="I270" s="47" t="s">
        <v>7594</v>
      </c>
      <c r="J270" s="48">
        <v>46017</v>
      </c>
      <c r="K270" s="47">
        <v>9419002237</v>
      </c>
      <c r="L270" s="47" t="s">
        <v>106</v>
      </c>
      <c r="M270" s="49" t="s">
        <v>7604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7581</v>
      </c>
      <c r="C271" s="47" t="s">
        <v>7582</v>
      </c>
      <c r="D271" s="47" t="s">
        <v>7583</v>
      </c>
      <c r="E271" s="47" t="s">
        <v>7584</v>
      </c>
      <c r="F271" s="47" t="s">
        <v>290</v>
      </c>
      <c r="G271" s="47" t="s">
        <v>175</v>
      </c>
      <c r="H271" s="47" t="str">
        <f t="shared" si="13"/>
        <v>SRINAGAR</v>
      </c>
      <c r="I271" s="47" t="s">
        <v>7595</v>
      </c>
      <c r="J271" s="48">
        <v>46017</v>
      </c>
      <c r="K271" s="47">
        <v>7006907205</v>
      </c>
      <c r="L271" s="47" t="s">
        <v>26</v>
      </c>
      <c r="M271" s="49"/>
      <c r="N271" s="48"/>
      <c r="O271" s="47"/>
      <c r="P271" s="50"/>
      <c r="Q271" s="47"/>
      <c r="R271" s="47"/>
    </row>
    <row r="272" spans="1:18" x14ac:dyDescent="0.25">
      <c r="A272" s="47">
        <f t="shared" si="14"/>
        <v>271</v>
      </c>
      <c r="B272" s="47" t="s">
        <v>7585</v>
      </c>
      <c r="C272" s="47" t="s">
        <v>7586</v>
      </c>
      <c r="D272" s="47" t="s">
        <v>7587</v>
      </c>
      <c r="E272" s="47" t="s">
        <v>7588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7596</v>
      </c>
      <c r="J272" s="48">
        <v>46017</v>
      </c>
      <c r="K272" s="47">
        <v>7889773670</v>
      </c>
      <c r="L272" s="47" t="s">
        <v>7589</v>
      </c>
      <c r="M272" s="49"/>
      <c r="N272" s="48"/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7590</v>
      </c>
      <c r="C273" s="47" t="s">
        <v>7590</v>
      </c>
      <c r="D273" s="47" t="s">
        <v>7591</v>
      </c>
      <c r="E273" s="47" t="s">
        <v>7592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7597</v>
      </c>
      <c r="J273" s="48">
        <v>46017</v>
      </c>
      <c r="K273" s="47">
        <v>8491093722</v>
      </c>
      <c r="L273" s="47" t="s">
        <v>6521</v>
      </c>
      <c r="M273" s="49"/>
      <c r="N273" s="48"/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7600</v>
      </c>
      <c r="C274" s="47" t="s">
        <v>7601</v>
      </c>
      <c r="D274" s="47" t="s">
        <v>7602</v>
      </c>
      <c r="E274" s="47" t="s">
        <v>7603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7614</v>
      </c>
      <c r="J274" s="48">
        <v>46017</v>
      </c>
      <c r="K274" s="47">
        <v>9797222635</v>
      </c>
      <c r="L274" s="47" t="s">
        <v>1517</v>
      </c>
      <c r="M274" s="49"/>
      <c r="N274" s="48"/>
      <c r="O274" s="47"/>
      <c r="P274" s="50"/>
      <c r="Q274" s="47"/>
      <c r="R274" s="47"/>
    </row>
    <row r="275" spans="1:18" x14ac:dyDescent="0.25">
      <c r="A275" s="47">
        <f t="shared" si="14"/>
        <v>274</v>
      </c>
      <c r="B275" s="47" t="s">
        <v>7605</v>
      </c>
      <c r="C275" s="47" t="s">
        <v>7606</v>
      </c>
      <c r="D275" s="47" t="s">
        <v>7607</v>
      </c>
      <c r="E275" s="47" t="s">
        <v>7608</v>
      </c>
      <c r="F275" s="47" t="s">
        <v>31</v>
      </c>
      <c r="G275" s="47" t="s">
        <v>174</v>
      </c>
      <c r="H275" s="47" t="str">
        <f t="shared" si="13"/>
        <v>SHOPIAN</v>
      </c>
      <c r="I275" s="56" t="s">
        <v>7613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7615</v>
      </c>
      <c r="C276" s="47" t="s">
        <v>7609</v>
      </c>
      <c r="D276" s="47" t="s">
        <v>7610</v>
      </c>
      <c r="E276" s="47" t="s">
        <v>7611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7612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/>
      <c r="C277" s="47"/>
      <c r="D277" s="47"/>
      <c r="E277" s="47"/>
      <c r="F277" s="47"/>
      <c r="G277" s="47"/>
      <c r="H277" s="47" t="str">
        <f t="shared" si="13"/>
        <v>NEW</v>
      </c>
      <c r="I277" s="47"/>
      <c r="J277" s="48"/>
      <c r="K277" s="47"/>
      <c r="L277" s="47"/>
      <c r="M277" s="49"/>
      <c r="N277" s="48"/>
      <c r="O277" s="47"/>
      <c r="P277" s="50"/>
      <c r="Q277" s="47"/>
      <c r="R277" s="47"/>
    </row>
    <row r="278" spans="1:18" x14ac:dyDescent="0.25">
      <c r="A278" s="47">
        <f t="shared" si="14"/>
        <v>277</v>
      </c>
      <c r="B278" s="47"/>
      <c r="C278" s="47"/>
      <c r="D278" s="47"/>
      <c r="E278" s="47"/>
      <c r="F278" s="47"/>
      <c r="G278" s="47"/>
      <c r="H278" s="47" t="str">
        <f t="shared" si="13"/>
        <v>NEW</v>
      </c>
      <c r="I278" s="47"/>
      <c r="J278" s="48"/>
      <c r="K278" s="47"/>
      <c r="L278" s="47"/>
      <c r="M278" s="49"/>
      <c r="N278" s="48"/>
      <c r="O278" s="47"/>
      <c r="P278" s="50"/>
      <c r="Q278" s="47"/>
      <c r="R278" s="47"/>
    </row>
    <row r="279" spans="1:18" x14ac:dyDescent="0.25">
      <c r="A279" s="47">
        <f t="shared" si="14"/>
        <v>278</v>
      </c>
      <c r="B279" s="47"/>
      <c r="C279" s="47"/>
      <c r="D279" s="47"/>
      <c r="E279" s="47"/>
      <c r="F279" s="47"/>
      <c r="G279" s="47"/>
      <c r="H279" s="47" t="str">
        <f t="shared" si="13"/>
        <v>NEW</v>
      </c>
      <c r="I279" s="47"/>
      <c r="J279" s="48"/>
      <c r="K279" s="47"/>
      <c r="L279" s="47"/>
      <c r="M279" s="49"/>
      <c r="N279" s="48"/>
      <c r="O279" s="47"/>
      <c r="P279" s="50"/>
      <c r="Q279" s="47"/>
      <c r="R279" s="47"/>
    </row>
    <row r="280" spans="1:18" x14ac:dyDescent="0.25">
      <c r="A280" s="47">
        <f t="shared" si="14"/>
        <v>279</v>
      </c>
      <c r="B280" s="47"/>
      <c r="C280" s="47"/>
      <c r="D280" s="47"/>
      <c r="E280" s="47"/>
      <c r="F280" s="47"/>
      <c r="G280" s="47"/>
      <c r="H280" s="47" t="str">
        <f t="shared" si="13"/>
        <v>NEW</v>
      </c>
      <c r="I280" s="47"/>
      <c r="J280" s="48"/>
      <c r="K280" s="47"/>
      <c r="L280" s="47"/>
      <c r="M280" s="49"/>
      <c r="N280" s="48"/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/>
      <c r="C281" s="47"/>
      <c r="D281" s="47"/>
      <c r="E281" s="47"/>
      <c r="F281" s="47"/>
      <c r="G281" s="47"/>
      <c r="H281" s="47" t="str">
        <f t="shared" si="13"/>
        <v>NEW</v>
      </c>
      <c r="I281" s="47"/>
      <c r="J281" s="48"/>
      <c r="K281" s="47"/>
      <c r="L281" s="47"/>
      <c r="M281" s="49"/>
      <c r="N281" s="48"/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/>
      <c r="C282" s="47"/>
      <c r="D282" s="47"/>
      <c r="E282" s="47"/>
      <c r="F282" s="47"/>
      <c r="G282" s="47"/>
      <c r="H282" s="47" t="str">
        <f t="shared" si="13"/>
        <v>NEW</v>
      </c>
      <c r="I282" s="47"/>
      <c r="J282" s="48"/>
      <c r="K282" s="47"/>
      <c r="L282" s="47"/>
      <c r="M282" s="49"/>
      <c r="N282" s="48"/>
      <c r="O282" s="47"/>
      <c r="P282" s="50"/>
      <c r="Q282" s="47"/>
      <c r="R282" s="47"/>
    </row>
    <row r="283" spans="1:18" ht="15.75" x14ac:dyDescent="0.25">
      <c r="F283" s="1"/>
      <c r="G283" s="1"/>
      <c r="H283" s="1"/>
      <c r="I283" s="20"/>
      <c r="J283" s="19"/>
      <c r="K283" s="47"/>
      <c r="M283" t="s">
        <v>44</v>
      </c>
    </row>
    <row r="284" spans="1:18" ht="15.75" x14ac:dyDescent="0.25">
      <c r="F284" s="1"/>
      <c r="G284" s="1"/>
      <c r="H284" s="1"/>
      <c r="I284" s="20"/>
      <c r="K284" s="47"/>
    </row>
    <row r="285" spans="1:18" ht="15.75" x14ac:dyDescent="0.25">
      <c r="F285" s="1"/>
      <c r="G285" s="1"/>
      <c r="H285" s="1"/>
      <c r="I285" s="20"/>
      <c r="K285" s="47"/>
    </row>
    <row r="286" spans="1:18" ht="15.75" x14ac:dyDescent="0.25">
      <c r="F286" s="1"/>
      <c r="G286" s="1"/>
      <c r="H286" s="1"/>
      <c r="I286" s="20"/>
      <c r="K286" s="47"/>
    </row>
    <row r="287" spans="1:18" ht="15.75" x14ac:dyDescent="0.25">
      <c r="C287" s="1"/>
      <c r="D287" s="1"/>
      <c r="E287" s="1"/>
      <c r="F287" s="1"/>
      <c r="G287" s="1"/>
      <c r="H287" s="1"/>
      <c r="I287" s="20"/>
      <c r="K287" s="47"/>
    </row>
    <row r="288" spans="1:18" x14ac:dyDescent="0.25">
      <c r="A288" s="5"/>
      <c r="B288" s="6"/>
      <c r="C288" s="7"/>
      <c r="D288" s="7"/>
      <c r="E288" s="7"/>
      <c r="F288" s="7"/>
      <c r="G288" s="7"/>
      <c r="H288" s="7"/>
      <c r="I288" s="7"/>
      <c r="J288" s="7"/>
      <c r="K288" s="47"/>
      <c r="L288" s="7"/>
      <c r="M288" s="7"/>
      <c r="N288" s="7"/>
      <c r="O288" s="7"/>
      <c r="P288" s="7"/>
      <c r="Q288" s="7"/>
    </row>
    <row r="289" spans="1:17" x14ac:dyDescent="0.25">
      <c r="A289" s="5"/>
      <c r="B289" s="6"/>
      <c r="C289" s="7"/>
      <c r="D289" s="7"/>
      <c r="E289" s="7"/>
      <c r="F289" s="7"/>
      <c r="G289" s="7"/>
      <c r="H289" s="7"/>
      <c r="I289" s="7"/>
      <c r="J289" s="7"/>
      <c r="K289" s="47"/>
      <c r="L289" s="7"/>
      <c r="M289" s="7"/>
      <c r="N289" s="7"/>
      <c r="O289" s="7"/>
      <c r="P289" s="7"/>
      <c r="Q289" s="7"/>
    </row>
    <row r="290" spans="1:17" x14ac:dyDescent="0.25">
      <c r="K290" s="47"/>
    </row>
    <row r="291" spans="1:17" x14ac:dyDescent="0.25">
      <c r="K291" s="47"/>
    </row>
    <row r="292" spans="1:17" x14ac:dyDescent="0.25">
      <c r="K292" s="47"/>
    </row>
    <row r="293" spans="1:17" x14ac:dyDescent="0.25">
      <c r="K293" s="47"/>
    </row>
    <row r="294" spans="1:17" x14ac:dyDescent="0.25">
      <c r="K294" s="47"/>
    </row>
    <row r="295" spans="1:17" x14ac:dyDescent="0.25">
      <c r="K295" s="47"/>
    </row>
    <row r="296" spans="1:17" x14ac:dyDescent="0.25">
      <c r="K296" s="47"/>
    </row>
    <row r="297" spans="1:17" x14ac:dyDescent="0.25">
      <c r="K297" s="47"/>
    </row>
    <row r="298" spans="1:17" x14ac:dyDescent="0.25">
      <c r="K298" s="47"/>
    </row>
    <row r="299" spans="1:17" x14ac:dyDescent="0.25">
      <c r="K299" s="47"/>
    </row>
    <row r="300" spans="1:17" x14ac:dyDescent="0.25">
      <c r="K300" s="47"/>
    </row>
    <row r="301" spans="1:17" x14ac:dyDescent="0.25">
      <c r="K301" s="47"/>
    </row>
    <row r="302" spans="1:17" x14ac:dyDescent="0.25">
      <c r="K302" s="47"/>
    </row>
    <row r="303" spans="1:17" x14ac:dyDescent="0.25">
      <c r="K303" s="47"/>
    </row>
    <row r="304" spans="1:17" x14ac:dyDescent="0.25">
      <c r="K304" s="47"/>
    </row>
    <row r="305" spans="11:11" x14ac:dyDescent="0.25">
      <c r="K305" s="47"/>
    </row>
    <row r="306" spans="11:11" x14ac:dyDescent="0.25">
      <c r="K306" s="47"/>
    </row>
    <row r="307" spans="11:11" x14ac:dyDescent="0.25">
      <c r="K307" s="47"/>
    </row>
    <row r="308" spans="11:11" x14ac:dyDescent="0.25">
      <c r="K308" s="47"/>
    </row>
    <row r="309" spans="11:11" x14ac:dyDescent="0.25">
      <c r="K309" s="47"/>
    </row>
    <row r="310" spans="11:11" x14ac:dyDescent="0.25">
      <c r="K310" s="47"/>
    </row>
    <row r="311" spans="11:11" x14ac:dyDescent="0.25">
      <c r="K311" s="47"/>
    </row>
    <row r="312" spans="11:11" x14ac:dyDescent="0.25">
      <c r="K312" s="47"/>
    </row>
    <row r="313" spans="11:11" x14ac:dyDescent="0.25">
      <c r="K313" s="47"/>
    </row>
    <row r="314" spans="11:11" x14ac:dyDescent="0.25">
      <c r="K314" s="47"/>
    </row>
    <row r="315" spans="11:11" x14ac:dyDescent="0.25">
      <c r="K315" s="47"/>
    </row>
    <row r="316" spans="11:11" x14ac:dyDescent="0.25">
      <c r="K316" s="47"/>
    </row>
    <row r="317" spans="11:11" x14ac:dyDescent="0.25">
      <c r="K317" s="47"/>
    </row>
    <row r="318" spans="11:11" x14ac:dyDescent="0.25">
      <c r="K318" s="47"/>
    </row>
    <row r="319" spans="11:11" x14ac:dyDescent="0.25">
      <c r="K319" s="47"/>
    </row>
    <row r="320" spans="11:11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x14ac:dyDescent="0.25">
      <c r="K323" s="47"/>
    </row>
    <row r="324" spans="11:11" x14ac:dyDescent="0.25">
      <c r="K324" s="47"/>
    </row>
    <row r="325" spans="11:11" x14ac:dyDescent="0.25">
      <c r="K325" s="47"/>
    </row>
    <row r="326" spans="11:11" x14ac:dyDescent="0.25">
      <c r="K326" s="47"/>
    </row>
    <row r="327" spans="11:11" x14ac:dyDescent="0.25">
      <c r="K327" s="47"/>
    </row>
    <row r="328" spans="11:11" x14ac:dyDescent="0.25">
      <c r="K328" s="47"/>
    </row>
    <row r="329" spans="11:11" x14ac:dyDescent="0.25">
      <c r="K329" s="47"/>
    </row>
    <row r="330" spans="11:11" x14ac:dyDescent="0.25">
      <c r="K330" s="47"/>
    </row>
    <row r="331" spans="11:11" x14ac:dyDescent="0.25">
      <c r="K331" s="47"/>
    </row>
    <row r="332" spans="11:11" x14ac:dyDescent="0.25">
      <c r="K332" s="47"/>
    </row>
    <row r="333" spans="11:11" x14ac:dyDescent="0.25">
      <c r="K333" s="47"/>
    </row>
    <row r="334" spans="11:11" x14ac:dyDescent="0.25">
      <c r="K334" s="47"/>
    </row>
    <row r="335" spans="11:11" x14ac:dyDescent="0.25">
      <c r="K335" s="47"/>
    </row>
    <row r="336" spans="11:11" x14ac:dyDescent="0.25">
      <c r="K336" s="47"/>
    </row>
    <row r="337" spans="11:11" x14ac:dyDescent="0.25">
      <c r="K337" s="47"/>
    </row>
    <row r="338" spans="11:11" x14ac:dyDescent="0.25">
      <c r="K338" s="47"/>
    </row>
    <row r="339" spans="11:11" x14ac:dyDescent="0.25">
      <c r="K339" s="47"/>
    </row>
    <row r="340" spans="11:11" x14ac:dyDescent="0.25">
      <c r="K340" s="47"/>
    </row>
    <row r="341" spans="11:11" x14ac:dyDescent="0.25">
      <c r="K341" s="47"/>
    </row>
    <row r="342" spans="11:11" x14ac:dyDescent="0.25">
      <c r="K342" s="47"/>
    </row>
    <row r="343" spans="11:11" x14ac:dyDescent="0.25">
      <c r="K343" s="47"/>
    </row>
    <row r="344" spans="11:11" x14ac:dyDescent="0.25">
      <c r="K344" s="47"/>
    </row>
    <row r="345" spans="11:11" x14ac:dyDescent="0.25">
      <c r="K345" s="47"/>
    </row>
    <row r="346" spans="11:11" x14ac:dyDescent="0.25">
      <c r="K346" s="47"/>
    </row>
    <row r="347" spans="11:11" x14ac:dyDescent="0.25">
      <c r="K347" s="47"/>
    </row>
    <row r="348" spans="11:11" x14ac:dyDescent="0.25">
      <c r="K348" s="47"/>
    </row>
    <row r="349" spans="11:11" x14ac:dyDescent="0.25">
      <c r="K349" s="47"/>
    </row>
    <row r="350" spans="11:11" x14ac:dyDescent="0.25">
      <c r="K350" s="47"/>
    </row>
    <row r="351" spans="11:11" x14ac:dyDescent="0.25">
      <c r="K351" s="47"/>
    </row>
    <row r="352" spans="11:11" x14ac:dyDescent="0.25">
      <c r="K352" s="47"/>
    </row>
    <row r="353" spans="11:11" x14ac:dyDescent="0.25">
      <c r="K353" s="47"/>
    </row>
    <row r="354" spans="11:11" x14ac:dyDescent="0.25">
      <c r="K354" s="47"/>
    </row>
    <row r="355" spans="11:11" x14ac:dyDescent="0.25">
      <c r="K355" s="47"/>
    </row>
    <row r="356" spans="11:11" x14ac:dyDescent="0.25">
      <c r="K356" s="47"/>
    </row>
    <row r="357" spans="11:11" x14ac:dyDescent="0.25">
      <c r="K357" s="47"/>
    </row>
    <row r="358" spans="11:11" x14ac:dyDescent="0.25">
      <c r="K358" s="47"/>
    </row>
    <row r="359" spans="11:11" x14ac:dyDescent="0.25">
      <c r="K359" s="47"/>
    </row>
    <row r="360" spans="11:11" x14ac:dyDescent="0.25">
      <c r="K360" s="47"/>
    </row>
    <row r="361" spans="11:11" x14ac:dyDescent="0.25">
      <c r="K361" s="47"/>
    </row>
    <row r="362" spans="11:11" x14ac:dyDescent="0.25">
      <c r="K362" s="47"/>
    </row>
    <row r="363" spans="11:11" x14ac:dyDescent="0.25">
      <c r="K363" s="47"/>
    </row>
    <row r="364" spans="11:11" x14ac:dyDescent="0.25">
      <c r="K364" s="47"/>
    </row>
    <row r="365" spans="11:11" x14ac:dyDescent="0.25">
      <c r="K365" s="47"/>
    </row>
    <row r="366" spans="11:11" x14ac:dyDescent="0.25">
      <c r="K366" s="47"/>
    </row>
    <row r="367" spans="11:11" x14ac:dyDescent="0.25">
      <c r="K367" s="47"/>
    </row>
    <row r="368" spans="11:11" x14ac:dyDescent="0.25">
      <c r="K368" s="47"/>
    </row>
    <row r="369" spans="11:11" x14ac:dyDescent="0.25">
      <c r="K369" s="47"/>
    </row>
    <row r="370" spans="11:11" x14ac:dyDescent="0.25">
      <c r="K370" s="47"/>
    </row>
    <row r="371" spans="11:11" x14ac:dyDescent="0.25">
      <c r="K371" s="47"/>
    </row>
    <row r="372" spans="11:11" x14ac:dyDescent="0.25">
      <c r="K372" s="47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  <row r="383" spans="11:11" ht="15.75" x14ac:dyDescent="0.25">
      <c r="K383" s="19"/>
    </row>
    <row r="384" spans="11:11" ht="15.75" x14ac:dyDescent="0.25">
      <c r="K384" s="19"/>
    </row>
    <row r="385" spans="11:11" ht="15.75" x14ac:dyDescent="0.25">
      <c r="K385" s="19"/>
    </row>
    <row r="386" spans="11:11" ht="15.75" x14ac:dyDescent="0.25">
      <c r="K386" s="19"/>
    </row>
    <row r="387" spans="11:11" ht="15.75" x14ac:dyDescent="0.25">
      <c r="K387" s="19"/>
    </row>
    <row r="388" spans="11:11" ht="15.75" x14ac:dyDescent="0.25">
      <c r="K388" s="19"/>
    </row>
    <row r="389" spans="11:11" ht="15.75" x14ac:dyDescent="0.25">
      <c r="K389" s="19"/>
    </row>
    <row r="390" spans="11:11" ht="15.75" x14ac:dyDescent="0.25">
      <c r="K390" s="19"/>
    </row>
    <row r="391" spans="11:11" ht="15.75" x14ac:dyDescent="0.25">
      <c r="K391" s="19"/>
    </row>
    <row r="392" spans="11:11" ht="15.75" x14ac:dyDescent="0.25">
      <c r="K392" s="19"/>
    </row>
    <row r="393" spans="11:11" ht="15.75" x14ac:dyDescent="0.25">
      <c r="K393" s="19"/>
    </row>
    <row r="394" spans="11:11" ht="15.75" x14ac:dyDescent="0.25">
      <c r="K394" s="19"/>
    </row>
    <row r="395" spans="11:11" ht="15.75" x14ac:dyDescent="0.25">
      <c r="K395" s="19"/>
    </row>
    <row r="396" spans="11:11" ht="15.75" x14ac:dyDescent="0.25">
      <c r="K396" s="19"/>
    </row>
    <row r="397" spans="11:11" ht="15.75" x14ac:dyDescent="0.25">
      <c r="K397" s="19"/>
    </row>
    <row r="398" spans="11:11" ht="15.75" x14ac:dyDescent="0.25">
      <c r="K398" s="19"/>
    </row>
    <row r="399" spans="11:11" ht="15.75" x14ac:dyDescent="0.25">
      <c r="K399" s="19"/>
    </row>
    <row r="400" spans="11:11" ht="15.75" x14ac:dyDescent="0.25">
      <c r="K400" s="19"/>
    </row>
    <row r="401" spans="11:11" ht="15.75" x14ac:dyDescent="0.25">
      <c r="K401" s="19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  <row r="411" spans="11:11" ht="15.75" x14ac:dyDescent="0.25">
      <c r="K411" s="19"/>
    </row>
    <row r="412" spans="11:11" ht="15.75" x14ac:dyDescent="0.25">
      <c r="K412" s="19"/>
    </row>
    <row r="413" spans="11:11" ht="15.75" x14ac:dyDescent="0.25">
      <c r="K413" s="19"/>
    </row>
    <row r="414" spans="11:11" ht="15.75" x14ac:dyDescent="0.25">
      <c r="K414" s="19"/>
    </row>
    <row r="415" spans="11:11" ht="15.75" x14ac:dyDescent="0.25">
      <c r="K415" s="19"/>
    </row>
    <row r="416" spans="11:11" ht="15.75" x14ac:dyDescent="0.25">
      <c r="K416" s="19"/>
    </row>
    <row r="417" spans="11:11" ht="15.75" x14ac:dyDescent="0.25">
      <c r="K417" s="19"/>
    </row>
    <row r="418" spans="11:11" ht="15.75" x14ac:dyDescent="0.25">
      <c r="K418" s="19"/>
    </row>
    <row r="419" spans="11:11" ht="15.75" x14ac:dyDescent="0.25">
      <c r="K419" s="19"/>
    </row>
    <row r="420" spans="11:11" ht="15.75" x14ac:dyDescent="0.25">
      <c r="K420" s="19"/>
    </row>
    <row r="421" spans="11:11" ht="15.75" x14ac:dyDescent="0.25">
      <c r="K421" s="19"/>
    </row>
    <row r="422" spans="11:11" x14ac:dyDescent="0.25">
      <c r="K422" s="44"/>
    </row>
    <row r="423" spans="11:11" ht="15.75" x14ac:dyDescent="0.25">
      <c r="K423" s="19"/>
    </row>
    <row r="424" spans="11:11" ht="15.75" x14ac:dyDescent="0.25">
      <c r="K424" s="19"/>
    </row>
    <row r="425" spans="11:11" ht="15.75" x14ac:dyDescent="0.25">
      <c r="K425" s="19"/>
    </row>
    <row r="426" spans="11:11" ht="15.75" x14ac:dyDescent="0.25">
      <c r="K426" s="19"/>
    </row>
    <row r="427" spans="11:11" ht="15.75" x14ac:dyDescent="0.25">
      <c r="K427" s="19"/>
    </row>
    <row r="428" spans="11:11" ht="15.75" x14ac:dyDescent="0.25">
      <c r="K428" s="19"/>
    </row>
    <row r="429" spans="11:11" ht="15.75" x14ac:dyDescent="0.25">
      <c r="K429" s="19"/>
    </row>
    <row r="430" spans="11:11" ht="15.75" x14ac:dyDescent="0.25">
      <c r="K430" s="19"/>
    </row>
    <row r="431" spans="11:11" ht="15.75" x14ac:dyDescent="0.25">
      <c r="K431" s="19"/>
    </row>
    <row r="432" spans="11:11" ht="15.75" x14ac:dyDescent="0.25">
      <c r="K432" s="19"/>
    </row>
    <row r="433" spans="11:11" ht="15.75" x14ac:dyDescent="0.25">
      <c r="K433" s="19"/>
    </row>
    <row r="434" spans="11:11" ht="15.75" x14ac:dyDescent="0.25">
      <c r="K434" s="19"/>
    </row>
    <row r="435" spans="11:11" ht="15.75" x14ac:dyDescent="0.25">
      <c r="K435" s="19"/>
    </row>
    <row r="436" spans="11:11" ht="15.75" x14ac:dyDescent="0.25">
      <c r="K436" s="19"/>
    </row>
    <row r="437" spans="11:11" ht="15.75" x14ac:dyDescent="0.25">
      <c r="K437" s="19"/>
    </row>
    <row r="438" spans="11:11" ht="15.75" x14ac:dyDescent="0.25">
      <c r="K438" s="19"/>
    </row>
    <row r="439" spans="11:11" ht="15.75" x14ac:dyDescent="0.25">
      <c r="K439" s="19"/>
    </row>
    <row r="440" spans="11:11" ht="15.75" x14ac:dyDescent="0.25">
      <c r="K440" s="19"/>
    </row>
    <row r="441" spans="11:11" ht="15.75" x14ac:dyDescent="0.25">
      <c r="K441" s="19"/>
    </row>
    <row r="442" spans="11:11" ht="15.75" x14ac:dyDescent="0.25">
      <c r="K442" s="19"/>
    </row>
    <row r="443" spans="11:11" ht="15.75" x14ac:dyDescent="0.25">
      <c r="K443" s="19"/>
    </row>
    <row r="444" spans="11:11" ht="15.75" x14ac:dyDescent="0.25">
      <c r="K444" s="19"/>
    </row>
    <row r="445" spans="11:11" ht="15.75" x14ac:dyDescent="0.25">
      <c r="K445" s="19"/>
    </row>
    <row r="446" spans="11:11" ht="15.75" x14ac:dyDescent="0.25">
      <c r="K446" s="19"/>
    </row>
    <row r="447" spans="11:11" ht="15.75" x14ac:dyDescent="0.25">
      <c r="K447" s="19"/>
    </row>
    <row r="448" spans="11:11" ht="15.75" x14ac:dyDescent="0.25">
      <c r="K448" s="19"/>
    </row>
    <row r="449" spans="11:11" ht="15.75" x14ac:dyDescent="0.25">
      <c r="K449" s="19"/>
    </row>
    <row r="450" spans="11:11" ht="15.75" x14ac:dyDescent="0.25">
      <c r="K450" s="19"/>
    </row>
    <row r="451" spans="11:11" ht="15.75" x14ac:dyDescent="0.25">
      <c r="K451" s="19"/>
    </row>
    <row r="452" spans="11:11" ht="15.75" x14ac:dyDescent="0.25">
      <c r="K452" s="19"/>
    </row>
    <row r="453" spans="11:11" ht="15.75" x14ac:dyDescent="0.25">
      <c r="K453" s="19"/>
    </row>
    <row r="454" spans="11:11" ht="15.75" x14ac:dyDescent="0.25">
      <c r="K454" s="19"/>
    </row>
    <row r="455" spans="11:11" ht="15.75" x14ac:dyDescent="0.25">
      <c r="K455" s="19"/>
    </row>
    <row r="456" spans="11:11" ht="15.75" x14ac:dyDescent="0.25">
      <c r="K456" s="19"/>
    </row>
    <row r="457" spans="11:11" ht="15.75" x14ac:dyDescent="0.25">
      <c r="K457" s="19"/>
    </row>
    <row r="458" spans="11:11" ht="15.75" x14ac:dyDescent="0.25">
      <c r="K458" s="19"/>
    </row>
    <row r="459" spans="11:11" ht="15.75" x14ac:dyDescent="0.25">
      <c r="K459" s="19"/>
    </row>
    <row r="460" spans="11:11" ht="15.75" x14ac:dyDescent="0.25">
      <c r="K460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G221:J222 I221:I224 A222:A231 L222:R244 H223:J223 H224 J224 H225:J226 H227:H229 I227:J238 F230:H230 H231 A232:H232 A233 H233:H234 A234:B234 A235:H237 H238 A238:A241 G239:J244 A242:B242 A243 A244:B244 H245:R245 A245:A282 B246:J249 L246:R254 D247:D251 G247:G251 D248:F253 H250:J250 B250:C256 E250:F256 G251:J252 H253:J253 D254:D256 G254:J256 G254:G258 K255:R255 L255:L263 L256:R260 H257:J257 J258:J262 H258:I264 M261:R261 L262:R262 J263:R263 J264:J265 I264:I273 L264:R282 H265:J269 H270:H273 J270:J273 K283:K372 H274:J274 H277:J282 I276 H275:H276 J275:J276 K220:K276">
    <cfRule type="expression" dxfId="8" priority="4">
      <formula>CELL("row")=ROW()</formula>
    </cfRule>
  </conditionalFormatting>
  <conditionalFormatting sqref="B257:G276">
    <cfRule type="expression" dxfId="7" priority="2">
      <formula>CELL("row")=ROW()</formula>
    </cfRule>
  </conditionalFormatting>
  <conditionalFormatting sqref="G266">
    <cfRule type="expression" dxfId="6" priority="1">
      <formula>CELL("row")=ROW()</formula>
    </cfRule>
  </conditionalFormatting>
  <conditionalFormatting sqref="K284:O294 L283:O283">
    <cfRule type="expression" dxfId="5" priority="13">
      <formula>ROW(M93)=HighlightRow</formula>
    </cfRule>
  </conditionalFormatting>
  <conditionalFormatting sqref="P283:Q294">
    <cfRule type="expression" dxfId="4" priority="17">
      <formula>ROW(S93)=HighlightRow</formula>
    </cfRule>
  </conditionalFormatting>
  <conditionalFormatting sqref="S105:XFD105">
    <cfRule type="expression" dxfId="3" priority="18">
      <formula>ROW(T94)=HighlightRow</formula>
    </cfRule>
  </conditionalFormatting>
  <conditionalFormatting sqref="S106:XFD114">
    <cfRule type="expression" dxfId="2" priority="15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L1217" zoomScaleNormal="100" workbookViewId="0">
      <selection activeCell="R1206" sqref="R1206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7462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3"/>
  <sheetViews>
    <sheetView tabSelected="1" topLeftCell="A87" zoomScale="85" zoomScaleNormal="85" workbookViewId="0">
      <selection activeCell="B101" sqref="B101:E112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5" t="s">
        <v>6654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24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7424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7425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7426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7438</v>
      </c>
      <c r="C90" s="43">
        <v>9906998728</v>
      </c>
      <c r="D90" s="43" t="s">
        <v>7443</v>
      </c>
      <c r="E90" s="43" t="s">
        <v>7442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7441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7440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7548</v>
      </c>
      <c r="C93" s="43">
        <v>7889605207</v>
      </c>
      <c r="D93" s="43" t="s">
        <v>7549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7550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7465</v>
      </c>
      <c r="C95" s="43">
        <v>9018754974</v>
      </c>
      <c r="D95" s="43" t="s">
        <v>7551</v>
      </c>
      <c r="E95" s="43" t="s">
        <v>7491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7470</v>
      </c>
      <c r="C96" s="43">
        <v>9541622336</v>
      </c>
      <c r="D96" s="43" t="s">
        <v>7552</v>
      </c>
      <c r="E96" s="43" t="s">
        <v>7496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7466</v>
      </c>
      <c r="C97" s="43">
        <v>7889383674</v>
      </c>
      <c r="D97" s="43" t="s">
        <v>7553</v>
      </c>
      <c r="E97" s="43" t="s">
        <v>7492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7505</v>
      </c>
      <c r="C98" s="43">
        <v>6005068829</v>
      </c>
      <c r="D98" s="43" t="s">
        <v>7554</v>
      </c>
      <c r="E98" s="43" t="s">
        <v>7519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7555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7433</v>
      </c>
      <c r="C100" s="43">
        <v>7889474847</v>
      </c>
      <c r="D100" s="43" t="s">
        <v>7454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7455</v>
      </c>
      <c r="E101" s="43" t="s">
        <v>7439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7452</v>
      </c>
      <c r="C102" s="43">
        <v>7298772174</v>
      </c>
      <c r="D102" s="43" t="s">
        <v>7569</v>
      </c>
      <c r="E102" s="43" t="s">
        <v>7460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7464</v>
      </c>
      <c r="C103" s="43">
        <v>9906539681</v>
      </c>
      <c r="D103" s="43" t="s">
        <v>7570</v>
      </c>
      <c r="E103" s="43" t="s">
        <v>7490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7571</v>
      </c>
      <c r="E104" s="43" t="s">
        <v>7557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7572</v>
      </c>
      <c r="C105" s="43">
        <v>7889559968</v>
      </c>
      <c r="D105" s="43" t="s">
        <v>7573</v>
      </c>
      <c r="E105" s="43" t="s">
        <v>7556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7574</v>
      </c>
      <c r="E106" s="43" t="s">
        <v>6500</v>
      </c>
      <c r="F106" s="21"/>
      <c r="G106" s="21"/>
      <c r="H106" s="19" t="s">
        <v>7575</v>
      </c>
    </row>
    <row r="107" spans="1:13" ht="15.75" x14ac:dyDescent="0.25">
      <c r="A107" s="19">
        <f t="shared" si="2"/>
        <v>105</v>
      </c>
      <c r="B107" s="43" t="s">
        <v>7577</v>
      </c>
      <c r="C107" s="43">
        <v>9419002237</v>
      </c>
      <c r="D107" s="43" t="s">
        <v>7616</v>
      </c>
      <c r="E107" s="43" t="s">
        <v>7594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7621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7567</v>
      </c>
      <c r="C109" s="43">
        <v>9906918176</v>
      </c>
      <c r="D109" s="43" t="s">
        <v>7622</v>
      </c>
      <c r="E109" s="43" t="s">
        <v>7593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7611</v>
      </c>
      <c r="C110" s="43">
        <v>9149416177</v>
      </c>
      <c r="D110" s="43" t="s">
        <v>7623</v>
      </c>
      <c r="E110" s="43" t="s">
        <v>7612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7624</v>
      </c>
      <c r="C111" s="43">
        <v>7889773670</v>
      </c>
      <c r="D111" s="43" t="s">
        <v>7625</v>
      </c>
      <c r="E111" s="43" t="s">
        <v>7596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7546</v>
      </c>
      <c r="C112" s="43">
        <v>8825061187</v>
      </c>
      <c r="D112" s="43" t="s">
        <v>7626</v>
      </c>
      <c r="E112" s="43" t="s">
        <v>7558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19"/>
      <c r="C113" s="19"/>
      <c r="D113" s="19"/>
      <c r="E113" s="19"/>
      <c r="F113" s="21"/>
      <c r="G113" s="21"/>
      <c r="H113" s="19"/>
    </row>
    <row r="114" spans="1:8" ht="15.75" x14ac:dyDescent="0.25">
      <c r="A114" s="19">
        <f t="shared" si="2"/>
        <v>112</v>
      </c>
      <c r="B114" s="19"/>
      <c r="C114" s="19"/>
      <c r="D114" s="19"/>
      <c r="E114" s="19"/>
      <c r="F114" s="21"/>
      <c r="G114" s="21"/>
      <c r="H114" s="19"/>
    </row>
    <row r="115" spans="1:8" ht="15.75" x14ac:dyDescent="0.25">
      <c r="A115" s="19">
        <f t="shared" si="2"/>
        <v>113</v>
      </c>
      <c r="B115" s="19"/>
      <c r="C115" s="19"/>
      <c r="D115" s="19"/>
      <c r="E115" s="19"/>
      <c r="F115" s="21"/>
      <c r="G115" s="21"/>
      <c r="H115" s="19"/>
    </row>
    <row r="116" spans="1:8" ht="15.75" x14ac:dyDescent="0.25">
      <c r="A116" s="19">
        <f t="shared" si="2"/>
        <v>114</v>
      </c>
      <c r="B116" s="19"/>
      <c r="C116" s="19"/>
      <c r="D116" s="19"/>
      <c r="E116" s="19"/>
      <c r="F116" s="21"/>
      <c r="G116" s="21"/>
      <c r="H116" s="19"/>
    </row>
    <row r="117" spans="1:8" ht="15.75" x14ac:dyDescent="0.25">
      <c r="A117" s="19">
        <f t="shared" si="2"/>
        <v>115</v>
      </c>
      <c r="B117" s="19"/>
      <c r="C117" s="19"/>
      <c r="D117" s="19"/>
      <c r="E117" s="19"/>
      <c r="F117" s="21"/>
      <c r="G117" s="21"/>
      <c r="H117" s="19"/>
    </row>
    <row r="118" spans="1:8" ht="15.75" x14ac:dyDescent="0.25">
      <c r="A118" s="19">
        <f t="shared" si="2"/>
        <v>116</v>
      </c>
      <c r="B118" s="19"/>
      <c r="C118" s="19"/>
      <c r="D118" s="19"/>
      <c r="E118" s="19"/>
      <c r="F118" s="21"/>
      <c r="G118" s="21"/>
      <c r="H118" s="19"/>
    </row>
    <row r="119" spans="1:8" ht="15.75" x14ac:dyDescent="0.25">
      <c r="A119" s="19">
        <f t="shared" si="2"/>
        <v>117</v>
      </c>
      <c r="B119" s="19"/>
      <c r="C119" s="19"/>
      <c r="D119" s="19"/>
      <c r="E119" s="19"/>
      <c r="F119" s="21"/>
      <c r="G119" s="21"/>
      <c r="H119" s="19"/>
    </row>
    <row r="120" spans="1:8" ht="15.75" x14ac:dyDescent="0.25">
      <c r="A120" s="19">
        <f t="shared" si="2"/>
        <v>118</v>
      </c>
      <c r="B120" s="19"/>
      <c r="C120" s="19"/>
      <c r="D120" s="19"/>
      <c r="E120" s="19"/>
      <c r="F120" s="21"/>
      <c r="G120" s="21"/>
      <c r="H120" s="19"/>
    </row>
    <row r="121" spans="1:8" ht="15.75" x14ac:dyDescent="0.25">
      <c r="A121" s="19">
        <f t="shared" si="2"/>
        <v>119</v>
      </c>
      <c r="B121" s="19"/>
      <c r="C121" s="19"/>
      <c r="D121" s="19"/>
      <c r="E121" s="19"/>
      <c r="F121" s="21"/>
      <c r="G121" s="21"/>
      <c r="H121" s="19"/>
    </row>
    <row r="122" spans="1:8" ht="15.75" x14ac:dyDescent="0.25">
      <c r="A122" s="19">
        <f t="shared" si="2"/>
        <v>120</v>
      </c>
      <c r="B122" s="19"/>
      <c r="C122" s="19"/>
      <c r="D122" s="19"/>
      <c r="E122" s="19"/>
      <c r="F122" s="21"/>
      <c r="G122" s="21"/>
      <c r="H122" s="19"/>
    </row>
    <row r="123" spans="1:8" ht="15.75" x14ac:dyDescent="0.25">
      <c r="A123" s="19">
        <f t="shared" si="2"/>
        <v>121</v>
      </c>
      <c r="B123" s="19"/>
      <c r="C123" s="19"/>
      <c r="D123" s="19"/>
      <c r="E123" s="19"/>
      <c r="F123" s="21"/>
      <c r="G123" s="21"/>
      <c r="H123" s="19"/>
    </row>
    <row r="124" spans="1:8" ht="15.75" x14ac:dyDescent="0.25">
      <c r="A124" s="19">
        <f t="shared" si="2"/>
        <v>122</v>
      </c>
      <c r="B124" s="19"/>
      <c r="C124" s="19"/>
      <c r="D124" s="19"/>
      <c r="E124" s="19"/>
      <c r="F124" s="21"/>
      <c r="G124" s="21"/>
      <c r="H124" s="19"/>
    </row>
    <row r="125" spans="1:8" x14ac:dyDescent="0.25">
      <c r="D125" s="46" t="s">
        <v>6665</v>
      </c>
      <c r="F125" s="45" t="s">
        <v>7423</v>
      </c>
    </row>
    <row r="127" spans="1:8" x14ac:dyDescent="0.25">
      <c r="D127" s="34" t="s">
        <v>7453</v>
      </c>
      <c r="F127" s="34" t="s">
        <v>7423</v>
      </c>
      <c r="G127" s="34" t="s">
        <v>7376</v>
      </c>
      <c r="H127" s="34" t="s">
        <v>7423</v>
      </c>
    </row>
    <row r="128" spans="1:8" x14ac:dyDescent="0.25">
      <c r="B128" s="45"/>
      <c r="E128" s="46" t="s">
        <v>6665</v>
      </c>
      <c r="G128" s="45" t="s">
        <v>7423</v>
      </c>
    </row>
    <row r="133" spans="6:8" x14ac:dyDescent="0.25">
      <c r="F133" s="34"/>
      <c r="H133" s="34"/>
    </row>
  </sheetData>
  <mergeCells count="1">
    <mergeCell ref="A1:H1"/>
  </mergeCells>
  <conditionalFormatting sqref="B106 E106">
    <cfRule type="expression" dxfId="1" priority="2">
      <formula>CELL("row")=ROW()</formula>
    </cfRule>
  </conditionalFormatting>
  <conditionalFormatting sqref="C106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2025-12-26T12:18:51Z</dcterms:modified>
</cp:coreProperties>
</file>