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C8C389-613C-4B00-857F-4850414DEAD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7" i="7" l="1"/>
  <c r="A718" i="7"/>
  <c r="A719" i="7"/>
  <c r="A720" i="7"/>
  <c r="A721" i="7"/>
  <c r="A722" i="7"/>
  <c r="H1052" i="4"/>
  <c r="H1051" i="4"/>
  <c r="H1050" i="4"/>
  <c r="H1053" i="4" l="1"/>
  <c r="H1054" i="4"/>
  <c r="H1055" i="4"/>
  <c r="A1051" i="4"/>
  <c r="A1052" i="4"/>
  <c r="A1053" i="4"/>
  <c r="A1054" i="4"/>
  <c r="A1055" i="4"/>
  <c r="A711" i="7"/>
  <c r="A712" i="7"/>
  <c r="A713" i="7"/>
  <c r="A714" i="7"/>
  <c r="A715" i="7"/>
  <c r="A716" i="7"/>
  <c r="H1048" i="4"/>
  <c r="H1043" i="4"/>
  <c r="H1049" i="4"/>
  <c r="A1048" i="4"/>
  <c r="A1043" i="4"/>
  <c r="A1049" i="4"/>
  <c r="A1050" i="4"/>
  <c r="H1046" i="4" l="1"/>
  <c r="H1047" i="4"/>
  <c r="A1046" i="4"/>
  <c r="A1047" i="4"/>
  <c r="H934" i="4"/>
  <c r="H1042" i="4"/>
  <c r="H1044" i="4"/>
  <c r="H1045" i="4"/>
  <c r="A1042" i="4"/>
  <c r="A1044" i="4"/>
  <c r="A1045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<sst xmlns="http://schemas.openxmlformats.org/spreadsheetml/2006/main" count="30948" uniqueCount="12530">
  <si>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</si>
  <si>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</si>
  <si>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</si>
  <si>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</si>
  <si>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</si>
  <si>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</si>
  <si>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</si>
  <si>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</si>
  <si>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</si>
  <si>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</si>
  <si>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</si>
  <si>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</si>
  <si>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</si>
  <si>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</si>
  <si>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</si>
  <si>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</si>
  <si>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</si>
  <si>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</si>
  <si>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</si>
  <si>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</si>
  <si>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</si>
  <si>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</si>
  <si>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</si>
  <si>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</si>
  <si>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</si>
  <si>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</si>
  <si>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</si>
  <si>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</si>
  <si>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</si>
  <si>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</si>
  <si>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</si>
  <si>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</si>
  <si>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</si>
  <si>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</si>
  <si>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</si>
  <si>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</si>
  <si>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</si>
  <si>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</si>
  <si>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</si>
  <si>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</si>
  <si>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</si>
  <si>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</si>
  <si>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</si>
  <si>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</si>
  <si>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</si>
  <si>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</si>
  <si>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</si>
  <si>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</si>
  <si>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</si>
  <si>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</si>
  <si>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</si>
  <si>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</si>
  <si>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</si>
  <si>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</si>
  <si>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</si>
  <si>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</si>
  <si>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</si>
  <si>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</si>
  <si>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</si>
  <si>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</si>
  <si>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</si>
  <si>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</si>
  <si>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</si>
  <si>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</si>
  <si>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</si>
  <si>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</si>
  <si>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</si>
  <si>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</si>
  <si>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</si>
  <si>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</si>
  <si>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</si>
  <si>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</si>
  <si>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</si>
  <si>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</si>
  <si>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</si>
  <si>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</si>
  <si>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</si>
  <si>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</si>
  <si>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</si>
  <si>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</si>
  <si>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</si>
  <si>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</si>
  <si>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</si>
  <si>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</si>
  <si>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</si>
  <si>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</si>
  <si>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</si>
  <si>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</si>
  <si>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</si>
  <si>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</si>
  <si>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</si>
  <si>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</si>
  <si>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</si>
  <si>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</si>
  <si>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</si>
  <si>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</si>
  <si>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</si>
  <si>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</si>
  <si>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</si>
  <si>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</si>
  <si>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</si>
  <si>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</si>
  <si>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</si>
  <si>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</si>
  <si>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</si>
  <si>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</si>
  <si>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</si>
  <si>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</si>
  <si>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</si>
  <si>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</si>
  <si>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</si>
  <si>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</si>
  <si>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</si>
  <si>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</si>
  <si>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</si>
  <si>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</si>
  <si>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</si>
  <si>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</si>
  <si>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</si>
  <si>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</si>
  <si>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</si>
  <si>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</si>
  <si>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</si>
  <si>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</si>
  <si>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</si>
  <si>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</si>
  <si>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</si>
  <si>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</si>
  <si>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</si>
  <si>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</si>
  <si>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</si>
  <si>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</si>
  <si>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</si>
  <si>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</si>
  <si>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</si>
  <si>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</si>
  <si>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</si>
  <si>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</si>
  <si>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</si>
  <si>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</si>
  <si>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</si>
  <si>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</si>
  <si>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</si>
  <si>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</si>
  <si>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</si>
  <si>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</si>
  <si>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</si>
  <si>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</si>
  <si>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</si>
  <si>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</si>
  <si>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</si>
  <si>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</si>
  <si>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</si>
  <si>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</si>
  <si>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</si>
  <si>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</si>
  <si>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</si>
  <si>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</si>
  <si>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</si>
  <si>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</si>
  <si>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</si>
  <si>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</si>
  <si>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</si>
  <si>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</si>
  <si>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</si>
  <si>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</si>
  <si>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</si>
  <si>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</si>
  <si>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</si>
  <si>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</si>
  <si>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</si>
  <si>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</si>
  <si>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</si>
  <si>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</si>
  <si>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</si>
  <si>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</si>
  <si>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</si>
  <si>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</si>
  <si>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</si>
  <si>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</si>
  <si>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</si>
  <si>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</si>
  <si>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</si>
  <si>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</si>
  <si>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</si>
  <si>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</si>
  <si>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</si>
  <si>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</si>
  <si>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</si>
  <si>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</si>
  <si>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</si>
  <si>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</si>
  <si>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</si>
  <si>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</si>
  <si>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</si>
  <si>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</si>
  <si>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</si>
  <si>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</si>
  <si>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</si>
  <si>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</si>
  <si>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</si>
  <si>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</si>
  <si>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</si>
  <si>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</si>
  <si>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</si>
  <si>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</si>
  <si>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</si>
  <si>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</si>
  <si>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</si>
  <si>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</si>
  <si>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</si>
  <si>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</si>
  <si>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</si>
  <si>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</si>
  <si>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</si>
  <si>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</si>
  <si>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</si>
  <si>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</si>
  <si>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</si>
  <si>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</si>
  <si>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</si>
  <si>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</si>
  <si>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</si>
  <si>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</si>
  <si>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</si>
  <si>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</si>
  <si>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</si>
  <si>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</si>
  <si>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</si>
  <si>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</si>
  <si>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</si>
  <si>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</si>
  <si>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</si>
  <si>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</si>
  <si>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</si>
  <si>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</si>
  <si>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</si>
  <si>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</si>
  <si>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</si>
  <si>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</si>
  <si>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</si>
  <si>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</si>
  <si>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</si>
  <si>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</si>
  <si>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</si>
  <si>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</si>
  <si>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</si>
  <si>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</si>
  <si>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</si>
  <si>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</si>
  <si>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</si>
  <si>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</si>
  <si>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</si>
  <si>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</si>
  <si>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</si>
  <si>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</si>
  <si>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</si>
  <si>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</si>
  <si>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</si>
  <si>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</si>
  <si>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</si>
  <si>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</si>
  <si>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</si>
  <si>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</si>
  <si>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</si>
  <si>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</si>
  <si>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</si>
  <si>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</si>
  <si>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</si>
  <si>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</si>
  <si>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</si>
  <si>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</si>
  <si>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</si>
  <si>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</si>
  <si>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</si>
  <si>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</si>
  <si>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</si>
  <si>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</si>
  <si>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</si>
  <si>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</si>
  <si>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</si>
  <si>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</si>
  <si>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</si>
  <si>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</si>
  <si>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</si>
  <si>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</si>
  <si>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</si>
  <si>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</si>
  <si>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</si>
  <si>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</si>
  <si>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</si>
  <si>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</si>
  <si>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</si>
  <si>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</si>
  <si>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</si>
  <si>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</si>
  <si>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</si>
  <si>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</si>
  <si>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</si>
  <si>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</si>
  <si>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</si>
  <si>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</si>
  <si>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</si>
  <si>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</si>
  <si>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</si>
  <si>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</si>
  <si>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</si>
  <si>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</si>
  <si>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</si>
  <si>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</si>
  <si>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</si>
  <si>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</si>
  <si>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</si>
  <si>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</si>
  <si>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</si>
  <si>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</si>
  <si>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</si>
  <si>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</si>
  <si>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</si>
  <si>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</si>
  <si>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</si>
  <si>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</si>
  <si>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</si>
  <si>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</si>
  <si>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</si>
  <si>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</si>
  <si>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</si>
  <si>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</si>
  <si>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</si>
  <si>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</si>
  <si>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</si>
  <si>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</si>
  <si>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</si>
  <si>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</si>
  <si>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</si>
  <si>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</si>
  <si>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</si>
  <si>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</si>
  <si>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</si>
  <si>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</si>
  <si>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</si>
  <si>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</si>
  <si>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</si>
  <si>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</si>
  <si>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</si>
  <si>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</si>
  <si>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</si>
  <si>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</si>
  <si>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</si>
  <si>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</si>
  <si>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</si>
  <si>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</si>
  <si>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</si>
  <si>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</si>
  <si>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</si>
  <si>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</si>
  <si>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</si>
  <si>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</si>
  <si>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</si>
  <si>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</si>
  <si>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</si>
  <si>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</si>
  <si>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</si>
  <si>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</si>
  <si>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</si>
  <si>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</si>
  <si>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</si>
  <si>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</si>
  <si>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</si>
  <si>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</si>
  <si>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</si>
  <si>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</si>
  <si>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</si>
  <si>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</si>
  <si>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</si>
  <si>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</si>
  <si>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</si>
  <si>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</si>
  <si>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</si>
  <si>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</si>
  <si>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</si>
  <si>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</si>
  <si>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</si>
  <si>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</si>
  <si>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</si>
  <si>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</si>
  <si>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</si>
  <si>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</si>
  <si>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</si>
  <si>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</si>
  <si>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</si>
  <si>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</si>
  <si>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</si>
  <si>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</si>
  <si>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</si>
  <si>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</si>
  <si>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</si>
  <si>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</si>
  <si>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</si>
  <si>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</si>
  <si>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</si>
  <si>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</si>
  <si>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</si>
  <si>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</si>
  <si>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</si>
  <si>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</si>
  <si>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</si>
  <si>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</si>
  <si>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</si>
  <si>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</si>
  <si>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</si>
  <si>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</si>
  <si>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</si>
  <si>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</si>
  <si>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</si>
  <si>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</si>
  <si>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</si>
  <si>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</si>
  <si>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</si>
  <si>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</si>
  <si>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</si>
  <si>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</si>
  <si>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</si>
  <si>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</si>
  <si>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</si>
  <si>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</si>
  <si>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</si>
  <si>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</si>
  <si>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</si>
  <si>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</si>
  <si>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</si>
  <si>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</si>
  <si>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</si>
  <si>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</si>
  <si>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</si>
  <si>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</si>
  <si>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</si>
  <si>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</si>
  <si>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</si>
  <si>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</si>
  <si>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</si>
  <si>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</si>
  <si>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</si>
  <si>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</si>
  <si>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</si>
  <si>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</si>
  <si>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</si>
  <si>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</si>
  <si>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</si>
  <si>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</si>
  <si>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</si>
  <si>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</si>
  <si>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</si>
  <si>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</si>
  <si>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</si>
  <si>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</si>
  <si>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</si>
  <si>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</si>
  <si>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</si>
  <si>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</si>
  <si>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</si>
  <si>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</si>
  <si>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</si>
  <si>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</si>
  <si>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</si>
  <si>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</si>
  <si>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</si>
  <si>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</si>
  <si>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</si>
  <si>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</si>
  <si>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</si>
  <si>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</si>
  <si>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</si>
  <si>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</si>
  <si>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</si>
  <si>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</si>
  <si>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</si>
  <si>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</si>
  <si>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</si>
  <si>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</si>
  <si>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</si>
  <si>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</si>
  <si>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</si>
  <si>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</si>
  <si>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</si>
  <si>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</si>
  <si>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</si>
  <si>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</si>
  <si>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</si>
  <si>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</si>
  <si>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</si>
  <si>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</si>
  <si>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</si>
  <si>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</si>
  <si>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</si>
  <si>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</si>
  <si>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</si>
  <si>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</si>
  <si>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</si>
  <si>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</si>
  <si>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</si>
  <si>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</si>
  <si>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</si>
  <si>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</si>
  <si>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</si>
  <si>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</si>
  <si>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</si>
  <si>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</si>
  <si>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</si>
  <si>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</si>
  <si>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</si>
  <si>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</si>
  <si>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</si>
  <si>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</si>
  <si>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</si>
  <si>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</si>
  <si>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</si>
  <si>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</si>
  <si>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</si>
  <si>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</si>
  <si>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</si>
  <si>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</si>
  <si>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</si>
  <si>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</si>
  <si>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</si>
  <si>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</si>
  <si>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</si>
  <si>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</si>
  <si>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</si>
  <si>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</si>
  <si>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</si>
  <si>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</si>
  <si>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</si>
  <si>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</si>
  <si>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</si>
  <si>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</si>
  <si>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</si>
  <si>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</si>
  <si>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</si>
  <si>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</si>
  <si>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</si>
  <si>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</si>
  <si>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</si>
  <si>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</si>
  <si>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</si>
  <si>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</si>
  <si>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</si>
  <si>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</si>
  <si>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</si>
  <si>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</si>
  <si>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</si>
  <si>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</si>
  <si>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</si>
  <si>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</si>
  <si>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</si>
  <si>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</si>
  <si>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</si>
  <si>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</si>
  <si>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</si>
  <si>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</si>
  <si>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</si>
  <si>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</si>
  <si>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</si>
  <si>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</si>
  <si>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</si>
  <si>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</si>
  <si>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</si>
  <si>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</si>
  <si>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</si>
  <si>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</si>
  <si>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</si>
  <si>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</si>
  <si>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</si>
  <si>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</si>
  <si>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</si>
  <si>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</si>
  <si>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</si>
  <si>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</si>
  <si>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</si>
  <si>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</si>
  <si>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</si>
  <si>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</si>
  <si>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</si>
  <si>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</si>
  <si>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</si>
  <si>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</si>
  <si>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</si>
  <si>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</si>
  <si>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</si>
  <si>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</si>
  <si>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</si>
  <si>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</si>
  <si>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</si>
  <si>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</si>
  <si>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</si>
  <si>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</si>
  <si>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</si>
  <si>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</si>
  <si>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</si>
  <si>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</si>
  <si>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</si>
  <si>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</si>
  <si>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</si>
  <si>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</si>
  <si>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</si>
  <si>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</si>
  <si>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</si>
  <si>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</si>
  <si>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</si>
  <si>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</si>
  <si>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</si>
  <si>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</si>
  <si>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</si>
  <si>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</si>
  <si>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</si>
  <si>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</si>
  <si>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</si>
  <si>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</si>
  <si>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</si>
  <si>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</si>
  <si>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</si>
  <si>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</si>
  <si>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</si>
  <si>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</si>
  <si>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</si>
  <si>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</si>
  <si>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</si>
  <si>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</si>
  <si>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</si>
  <si>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</si>
  <si>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</si>
  <si>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</si>
  <si>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</si>
  <si>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</si>
  <si>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</si>
  <si>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</si>
  <si>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</si>
  <si>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</si>
  <si>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</si>
  <si>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</si>
  <si>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</si>
  <si>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</si>
  <si>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</si>
  <si>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</si>
  <si>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</si>
  <si>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</si>
  <si>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</si>
  <si>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</si>
  <si>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</si>
  <si>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</si>
  <si>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</si>
  <si>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</si>
  <si>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</si>
  <si>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</si>
  <si>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</si>
  <si>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</si>
  <si>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</si>
  <si>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</si>
  <si>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</si>
  <si>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</si>
  <si>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</si>
  <si>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</si>
  <si>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</si>
  <si>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</si>
  <si>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</si>
  <si>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</si>
  <si>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</si>
  <si>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</si>
  <si>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</si>
  <si>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</si>
  <si>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</si>
  <si>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</si>
  <si>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</si>
  <si>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</si>
  <si>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</si>
  <si>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</si>
  <si>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</si>
  <si>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</si>
  <si>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</si>
  <si>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</si>
  <si>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</si>
  <si>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</si>
  <si>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</si>
  <si>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</si>
  <si>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</si>
  <si>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</si>
  <si>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</si>
  <si>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</si>
  <si>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</si>
  <si>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</si>
  <si>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</si>
  <si>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</si>
  <si>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</si>
  <si>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</si>
  <si>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</si>
  <si>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</si>
  <si>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</si>
  <si>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</si>
  <si>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</si>
  <si>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</si>
  <si>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</si>
  <si>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</si>
  <si>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</si>
  <si>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</si>
  <si>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</si>
  <si>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</si>
  <si>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</si>
  <si>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</si>
  <si>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</si>
  <si>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</si>
  <si>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</si>
  <si>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</si>
  <si>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</si>
  <si>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</si>
  <si>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</si>
  <si>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</si>
  <si>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</si>
  <si>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</si>
  <si>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</si>
  <si>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</si>
  <si>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</si>
  <si>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</si>
  <si>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</si>
  <si>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</si>
  <si>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</si>
  <si>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</si>
  <si>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</si>
  <si>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</si>
  <si>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</si>
  <si>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</si>
  <si>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</si>
  <si>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</si>
  <si>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</si>
  <si>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</si>
  <si>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</si>
  <si>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</si>
  <si>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</si>
  <si>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</si>
  <si>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</si>
  <si>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</si>
  <si>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</si>
  <si>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</si>
  <si>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</si>
  <si>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</si>
  <si>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</si>
  <si>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</si>
  <si>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</si>
  <si>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</si>
  <si>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</si>
  <si>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</si>
  <si>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</si>
  <si>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</si>
  <si>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</si>
  <si>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</si>
  <si>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</si>
  <si>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</si>
  <si>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</si>
  <si>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</si>
  <si>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</si>
  <si>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</si>
  <si>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</si>
  <si>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</si>
  <si>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</si>
  <si>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</si>
  <si>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</si>
  <si>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</si>
  <si>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</si>
  <si>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</si>
  <si>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</si>
  <si>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</si>
  <si>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</si>
  <si>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</si>
  <si>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</si>
  <si>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</si>
  <si>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</si>
  <si>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</si>
  <si>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</si>
  <si>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</si>
  <si>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</si>
  <si>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</si>
  <si>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</si>
  <si>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</si>
  <si>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</si>
  <si>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</si>
  <si>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</si>
  <si>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</si>
  <si>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</si>
  <si>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</si>
  <si>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</si>
  <si>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</si>
  <si>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</si>
  <si>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</si>
  <si>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</si>
  <si>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</si>
  <si>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</si>
  <si>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</si>
  <si>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</si>
  <si>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</si>
  <si>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</si>
  <si>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</si>
  <si>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</si>
  <si>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</si>
  <si>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</si>
  <si>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</si>
  <si>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</si>
  <si>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</si>
  <si>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</si>
  <si>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</si>
  <si>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</si>
  <si>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</si>
  <si>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</si>
  <si>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</si>
  <si>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</si>
  <si>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</si>
  <si>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</si>
  <si>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</si>
  <si>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</si>
  <si>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</si>
  <si>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</si>
  <si>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</si>
  <si>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</si>
  <si>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</si>
  <si>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</si>
  <si>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</si>
  <si>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</si>
  <si>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</si>
  <si>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</si>
  <si>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</si>
  <si>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</si>
  <si>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</si>
  <si>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</si>
  <si>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</si>
  <si>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</si>
  <si>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</si>
  <si>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</si>
  <si>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</si>
  <si>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</si>
  <si>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</si>
  <si>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</si>
  <si>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</si>
  <si>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</si>
  <si>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</si>
  <si>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</si>
  <si>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</si>
  <si>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</si>
  <si>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</si>
  <si>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</si>
  <si>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</si>
  <si>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</si>
  <si>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</si>
  <si>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</si>
  <si>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</si>
  <si>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</si>
  <si>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</si>
  <si>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</si>
  <si>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</si>
  <si>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</si>
  <si>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</si>
  <si>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</si>
  <si>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</si>
  <si>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</si>
  <si>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</si>
  <si>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</si>
  <si>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</si>
  <si>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</si>
  <si>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</si>
  <si>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</si>
  <si>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</si>
  <si>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</si>
  <si>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</si>
  <si>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</si>
  <si>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</si>
  <si>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</si>
  <si>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</si>
  <si>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</si>
  <si>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</si>
  <si>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</si>
  <si>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</si>
  <si>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</si>
  <si>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</si>
  <si>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</si>
  <si>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</si>
  <si>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</si>
  <si>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</si>
  <si>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</si>
  <si>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</si>
  <si>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</si>
  <si>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</si>
  <si>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</si>
  <si>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</si>
  <si>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</si>
  <si>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</si>
  <si>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</si>
  <si>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</si>
  <si>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</si>
  <si>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</si>
  <si>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</si>
  <si>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</si>
  <si>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</si>
  <si>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</si>
  <si>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</si>
  <si>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</si>
  <si>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</si>
  <si>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</si>
  <si>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</si>
  <si>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</si>
  <si>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</si>
  <si>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</si>
  <si>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</si>
  <si>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</si>
  <si>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</si>
  <si>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</si>
  <si>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</si>
  <si>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</si>
  <si>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</si>
  <si>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</si>
  <si>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</si>
  <si>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</si>
  <si>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</si>
  <si>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</si>
  <si>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</si>
  <si>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</si>
  <si>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</si>
  <si>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</si>
  <si>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</si>
  <si>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</si>
  <si>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</si>
  <si>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</si>
  <si>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</si>
  <si>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</si>
  <si>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</si>
  <si>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</si>
  <si>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</si>
  <si>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</si>
  <si>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</si>
  <si>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</si>
  <si>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</si>
  <si>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</si>
  <si>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</si>
  <si>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</si>
  <si>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</si>
  <si>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</si>
  <si>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</si>
  <si>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</si>
  <si>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</si>
  <si>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</si>
  <si>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</si>
  <si>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</si>
  <si>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</si>
  <si>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</si>
  <si>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</si>
  <si>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</si>
  <si>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</si>
  <si>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</si>
  <si>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</si>
  <si>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</si>
  <si>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</si>
  <si>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</si>
  <si>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</si>
  <si>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</si>
  <si>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</si>
  <si>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</si>
  <si>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</si>
  <si>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</si>
  <si>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</si>
  <si>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</si>
  <si>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</si>
  <si>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</si>
  <si>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</si>
  <si>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</si>
  <si>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</si>
  <si>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</si>
  <si>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</si>
  <si>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</si>
  <si>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</si>
  <si>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</si>
  <si>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</si>
  <si>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</si>
  <si>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</si>
  <si>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</si>
  <si>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</si>
  <si>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</si>
  <si>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</si>
  <si>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</si>
  <si>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</si>
  <si>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</si>
  <si>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</si>
  <si>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</si>
  <si>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</si>
  <si>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</si>
  <si>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</si>
  <si>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</si>
  <si>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</si>
  <si>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</si>
  <si>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</si>
  <si>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</si>
  <si>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</si>
  <si>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</si>
  <si>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</si>
  <si>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</si>
  <si>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</si>
  <si>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</si>
  <si>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</si>
  <si>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</si>
  <si>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</si>
  <si>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</si>
  <si>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</si>
  <si>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</si>
  <si>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</si>
  <si>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</si>
  <si>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</si>
  <si>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</si>
  <si>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</si>
  <si>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</si>
  <si>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</si>
  <si>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</si>
  <si>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</si>
  <si>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</si>
  <si>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</si>
  <si>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</si>
  <si>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</si>
  <si>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</si>
  <si>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</si>
  <si>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</si>
  <si>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</si>
  <si>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</si>
  <si>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</si>
  <si>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</si>
  <si>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</si>
  <si>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</si>
  <si>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</si>
  <si>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</si>
  <si>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</si>
  <si>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</si>
  <si>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</si>
  <si>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</si>
  <si>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</si>
  <si>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</si>
  <si>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</si>
  <si>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</si>
  <si>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</si>
  <si>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</si>
  <si>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</si>
  <si>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</si>
  <si>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</si>
  <si>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</si>
  <si>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</si>
  <si>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</si>
  <si>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</si>
  <si>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</si>
  <si>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</si>
  <si>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</si>
  <si>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</si>
  <si>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</si>
  <si>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</si>
  <si>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</si>
  <si>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</si>
  <si>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</si>
  <si>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</si>
  <si>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</si>
  <si>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</si>
  <si>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</si>
  <si>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</si>
  <si>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</si>
  <si>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</si>
  <si>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</si>
  <si>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</si>
  <si>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</si>
  <si>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</si>
  <si>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</si>
  <si>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</si>
  <si>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</si>
  <si>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</si>
  <si>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</si>
  <si>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</si>
  <si>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</si>
  <si>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</si>
  <si>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</si>
  <si>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</si>
  <si>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</si>
  <si>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</si>
  <si>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</si>
  <si>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</si>
  <si>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</si>
  <si>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</si>
  <si>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</si>
  <si>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</si>
  <si>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</si>
  <si>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</si>
  <si>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</si>
  <si>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</si>
  <si>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</si>
  <si>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</si>
  <si>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</si>
  <si>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</si>
  <si>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</si>
  <si>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</si>
  <si>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</si>
  <si>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</si>
  <si>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</si>
  <si>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</si>
  <si>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</si>
  <si>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</si>
  <si>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</si>
  <si>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</si>
  <si>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</si>
  <si>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</si>
  <si>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</si>
  <si>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</si>
  <si>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</si>
  <si>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</si>
  <si>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</si>
  <si>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</si>
  <si>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</si>
  <si>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</si>
  <si>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</si>
  <si>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</si>
  <si>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</si>
  <si>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</si>
  <si>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</si>
  <si>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</si>
  <si>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</si>
  <si>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</si>
  <si>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</si>
  <si>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</si>
  <si>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</si>
  <si>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</si>
  <si>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</si>
  <si>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</si>
  <si>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</si>
  <si>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</si>
  <si>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</si>
  <si>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</si>
  <si>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</si>
  <si>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</si>
  <si>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</si>
  <si>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</si>
  <si>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</si>
  <si>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</si>
  <si>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</si>
  <si>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</si>
  <si>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</si>
  <si>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</si>
  <si>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</si>
  <si>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</si>
  <si>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</si>
  <si>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</si>
  <si>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</si>
  <si>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</si>
  <si>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</si>
  <si>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</si>
  <si>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</si>
  <si>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</si>
  <si>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</si>
  <si>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</si>
  <si>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</si>
  <si>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</si>
  <si>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</si>
  <si>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</si>
  <si>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</si>
  <si>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</si>
  <si>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</si>
  <si>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</si>
  <si>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</si>
  <si>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</si>
  <si>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</si>
  <si>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</si>
  <si>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</si>
  <si>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</si>
  <si>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</si>
  <si>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</si>
  <si>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</si>
  <si>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</si>
  <si>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</si>
  <si>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</si>
  <si>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</si>
  <si>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</si>
  <si>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</si>
  <si>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</si>
  <si>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</si>
  <si>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</si>
  <si>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</si>
  <si>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</si>
  <si>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</si>
  <si>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</si>
  <si>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</si>
  <si>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</si>
  <si>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</si>
  <si>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</si>
  <si>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</si>
  <si>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</si>
  <si>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</si>
  <si>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</si>
  <si>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</si>
  <si>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</si>
  <si>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</si>
  <si>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</si>
  <si>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</si>
  <si>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</si>
  <si>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</si>
  <si>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</si>
  <si>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</si>
  <si>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</si>
  <si>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</si>
  <si>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</si>
  <si>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</si>
  <si>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</si>
  <si>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</si>
  <si>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</si>
  <si>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</si>
  <si>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</si>
  <si>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</si>
  <si>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</si>
  <si>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</si>
  <si>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</si>
  <si>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</si>
  <si>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</si>
  <si>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</si>
  <si>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</si>
  <si>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</si>
  <si>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</si>
  <si>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</si>
  <si>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</si>
  <si>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</si>
  <si>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</si>
  <si>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</si>
  <si>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</si>
  <si>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</si>
  <si>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</si>
  <si>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</si>
  <si>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</si>
  <si>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</si>
  <si>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</si>
  <si>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</si>
  <si>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</si>
  <si>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</si>
  <si>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</si>
  <si>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</si>
  <si>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</si>
  <si>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</si>
  <si>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</si>
  <si>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</si>
  <si>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</si>
  <si>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</si>
  <si>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</si>
  <si>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</si>
  <si>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</si>
  <si>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</si>
  <si>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</si>
  <si>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</si>
  <si>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</si>
  <si>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</si>
  <si>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</si>
  <si>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</si>
  <si>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</si>
  <si>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</si>
  <si>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</si>
  <si>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</si>
  <si>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</si>
  <si>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</si>
  <si>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</si>
  <si>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</si>
  <si>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</si>
  <si>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</si>
  <si>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</si>
  <si>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</si>
  <si>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</si>
  <si>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</si>
  <si>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</si>
  <si>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</si>
  <si>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</si>
  <si>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</si>
  <si>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</si>
  <si>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</si>
  <si>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</si>
  <si>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</si>
  <si>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</si>
  <si>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</si>
  <si>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</si>
  <si>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</si>
  <si>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</si>
  <si>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</si>
  <si>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</si>
  <si>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</si>
  <si>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</si>
  <si>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</si>
  <si>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</si>
  <si>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</si>
  <si>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</si>
  <si>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</si>
  <si>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</si>
  <si>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</si>
  <si>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</si>
  <si>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</si>
  <si>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</si>
  <si>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</si>
  <si>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</si>
  <si>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</si>
  <si>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</si>
  <si>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</si>
  <si>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</si>
  <si>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</si>
  <si>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</si>
  <si>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</si>
  <si>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</si>
  <si>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</si>
  <si>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</si>
  <si>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</si>
  <si>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</si>
  <si>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</si>
  <si>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</si>
  <si>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</si>
  <si>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</si>
  <si>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</si>
  <si>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</si>
  <si>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</si>
  <si>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</si>
  <si>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</si>
  <si>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</si>
  <si>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</si>
  <si>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</si>
  <si>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</si>
  <si>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</si>
  <si>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</si>
  <si>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</si>
  <si>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</si>
  <si>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</si>
  <si>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</si>
  <si>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</si>
  <si>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</si>
  <si>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</si>
  <si>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</si>
  <si>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</si>
  <si>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</si>
  <si>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</si>
  <si>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</si>
  <si>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</si>
  <si>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</si>
  <si>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</si>
  <si>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</si>
  <si>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</si>
  <si>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</si>
  <si>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</si>
  <si>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</si>
  <si>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</si>
  <si>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</si>
  <si>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</si>
  <si>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</si>
  <si>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</si>
  <si>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</si>
  <si>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</si>
  <si>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</si>
  <si>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</si>
  <si>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</si>
  <si>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</si>
  <si>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</si>
  <si>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</si>
  <si>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</si>
  <si>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</si>
  <si>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</si>
  <si>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</si>
  <si>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</si>
  <si>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</si>
  <si>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</si>
  <si>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</si>
  <si>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</si>
  <si>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</si>
  <si>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</si>
  <si>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</si>
  <si>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</si>
  <si>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</si>
  <si>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</si>
  <si>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</si>
  <si>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</si>
  <si>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</si>
  <si>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</si>
  <si>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</si>
  <si>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</si>
  <si>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</si>
  <si>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</si>
  <si>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</si>
  <si>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</si>
  <si>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</si>
  <si>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</si>
  <si>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</si>
  <si>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</si>
  <si>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</si>
  <si>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</si>
  <si>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</si>
  <si>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</si>
  <si>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</si>
  <si>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</si>
  <si>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</si>
  <si>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</si>
  <si>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</si>
  <si>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</si>
  <si>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</si>
  <si>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</si>
  <si>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</si>
  <si>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</si>
  <si>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</si>
  <si>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</si>
  <si>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</si>
  <si>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</si>
  <si>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</si>
  <si>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</si>
  <si>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</si>
  <si>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</si>
  <si>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</si>
  <si>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</si>
  <si>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</si>
  <si>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</si>
  <si>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</si>
  <si>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</si>
  <si>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</si>
  <si>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</si>
  <si>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</si>
  <si>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</si>
  <si>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</si>
  <si>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</si>
  <si>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</si>
  <si>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</si>
  <si>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</si>
  <si>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</si>
  <si>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</si>
  <si>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</si>
  <si>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</si>
  <si>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</si>
  <si>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</si>
  <si>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</si>
  <si>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</si>
  <si>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</si>
  <si>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</si>
  <si>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</si>
  <si>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</si>
  <si>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</si>
  <si>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</si>
  <si>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</si>
  <si>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</si>
  <si>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</si>
  <si>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</si>
  <si>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</si>
  <si>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</si>
  <si>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</si>
  <si>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</si>
  <si>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</si>
  <si>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</si>
  <si>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</si>
  <si>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</si>
  <si>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</si>
  <si>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</si>
  <si>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</si>
  <si>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</si>
  <si>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</si>
  <si>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</si>
  <si>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</si>
  <si>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</si>
  <si>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</si>
  <si>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</si>
  <si>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</si>
  <si>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</si>
  <si>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</si>
  <si>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</si>
  <si>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</si>
  <si>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</si>
  <si>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</si>
  <si>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</si>
  <si>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</si>
  <si>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</si>
  <si>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</si>
  <si>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</si>
  <si>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</si>
  <si>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</si>
  <si>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</si>
  <si>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</si>
  <si>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</si>
  <si>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</si>
  <si>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</si>
  <si>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</si>
  <si>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</si>
  <si>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</si>
  <si>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</si>
  <si>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</si>
  <si>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</si>
  <si>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</si>
  <si>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</si>
  <si>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</si>
  <si>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</si>
  <si>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</si>
  <si>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</si>
  <si>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</si>
  <si>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</si>
  <si>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</si>
  <si>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</si>
  <si>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</si>
  <si>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</si>
  <si>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</si>
  <si>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</si>
  <si>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</si>
  <si>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</si>
  <si>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</si>
  <si>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</si>
  <si>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</si>
  <si>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</si>
  <si>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</si>
  <si>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</si>
  <si>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</si>
  <si>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</si>
  <si>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</si>
  <si>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</si>
  <si>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</si>
  <si>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</si>
  <si>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</si>
  <si>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</si>
  <si>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</si>
  <si>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</si>
  <si>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</si>
  <si>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</si>
  <si>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</si>
  <si>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</si>
  <si>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</si>
  <si>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</si>
  <si>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</si>
  <si>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</si>
  <si>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</si>
  <si>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</si>
  <si>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</si>
  <si>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</si>
  <si>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</si>
  <si>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</si>
  <si>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</si>
  <si>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</si>
  <si>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</si>
  <si>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</si>
  <si>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</si>
  <si>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</si>
  <si>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</si>
  <si>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</si>
  <si>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</si>
  <si>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</si>
  <si>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</si>
  <si>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</si>
  <si>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</si>
  <si>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</si>
  <si>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</si>
  <si>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</si>
  <si>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</si>
  <si>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</si>
  <si>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</si>
  <si>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</si>
  <si>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</si>
  <si>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</si>
  <si>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</si>
  <si>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</si>
  <si>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</si>
  <si>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</si>
  <si>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</si>
  <si>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</si>
  <si>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</si>
  <si>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</si>
  <si>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</si>
  <si>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</si>
  <si>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</si>
  <si>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</si>
  <si>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</si>
  <si>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</si>
  <si>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</si>
  <si>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</si>
  <si>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</si>
  <si>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</si>
  <si>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</si>
  <si>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</si>
  <si>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</si>
  <si>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</si>
  <si>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</si>
  <si>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</si>
  <si>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</si>
  <si>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</si>
  <si>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</si>
  <si>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</si>
  <si>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</si>
  <si>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</si>
  <si>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</si>
  <si>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</si>
  <si>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</si>
  <si>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</si>
  <si>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</si>
  <si>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</si>
  <si>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</si>
  <si>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</si>
  <si>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</si>
  <si>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</si>
  <si>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</si>
  <si>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</si>
  <si>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</si>
  <si>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</si>
  <si>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</si>
  <si>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</si>
  <si>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</si>
  <si>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</si>
  <si>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</si>
  <si>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</si>
  <si>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</si>
  <si>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</si>
  <si>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</si>
  <si>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</si>
  <si>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</si>
  <si>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</si>
  <si>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</si>
  <si>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</si>
  <si>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</si>
  <si>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</si>
  <si>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</si>
  <si>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</si>
  <si>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</si>
  <si>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</si>
  <si>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</si>
  <si>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</si>
  <si>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</si>
  <si>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</si>
  <si>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</si>
  <si>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</si>
  <si>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</si>
  <si>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</si>
  <si>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</si>
  <si>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</si>
  <si>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</si>
  <si>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</si>
  <si>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</si>
  <si>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</si>
  <si>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</si>
  <si>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</si>
  <si>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</si>
  <si>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</si>
  <si>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</si>
  <si>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</si>
  <si>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</si>
  <si>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</si>
  <si>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</si>
  <si>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</si>
  <si>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</si>
  <si>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</si>
  <si>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</si>
  <si>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</si>
  <si>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</si>
  <si>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</si>
  <si>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</si>
  <si>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</si>
  <si>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</si>
  <si>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</si>
  <si>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</si>
  <si>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</si>
  <si>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</si>
  <si>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</si>
  <si>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</si>
  <si>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</si>
  <si>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</si>
  <si>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</si>
  <si>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</si>
  <si>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</si>
  <si>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</si>
  <si>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</si>
  <si>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</si>
  <si>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</si>
  <si>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</si>
  <si>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</si>
  <si>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</si>
  <si>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</si>
  <si>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</si>
  <si>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</si>
  <si>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</si>
  <si>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</si>
  <si>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</si>
  <si>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</si>
  <si>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</si>
  <si>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</si>
  <si>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</si>
  <si>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</si>
  <si>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</si>
  <si>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</si>
  <si>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</si>
  <si>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</si>
  <si>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</si>
  <si>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</si>
  <si>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</si>
  <si>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</si>
  <si>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</si>
  <si>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</si>
  <si>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</si>
  <si>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</si>
  <si>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</si>
  <si>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</si>
  <si>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</si>
  <si>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</si>
  <si>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</si>
  <si>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</si>
  <si>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</si>
  <si>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</si>
  <si>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</si>
  <si>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</si>
  <si>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</si>
  <si>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</si>
  <si>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</si>
  <si>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</si>
  <si>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</si>
  <si>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</si>
  <si>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</si>
  <si>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</si>
  <si>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</si>
  <si>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</si>
  <si>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</si>
  <si>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</si>
  <si>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</si>
  <si>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</si>
  <si>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</si>
  <si>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</si>
  <si>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</si>
  <si>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</si>
  <si>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</si>
  <si>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</si>
  <si>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</si>
  <si>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</si>
  <si>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</si>
  <si>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</si>
  <si>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</si>
  <si>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</si>
  <si>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</si>
  <si>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</si>
  <si>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</si>
  <si>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</si>
  <si>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</si>
  <si>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</si>
  <si>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</si>
  <si>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</si>
  <si>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</si>
  <si>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</si>
  <si>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</si>
  <si>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</si>
  <si>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</si>
  <si>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</si>
  <si>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</si>
  <si>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</si>
  <si>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</si>
  <si>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</si>
  <si>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</si>
  <si>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</si>
  <si>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</si>
  <si>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</si>
  <si>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</si>
  <si>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</si>
  <si>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</si>
  <si>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</si>
  <si>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</si>
  <si>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</si>
  <si>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</si>
  <si>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</si>
  <si>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</si>
  <si>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</si>
  <si>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</si>
  <si>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</si>
  <si>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</si>
  <si>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</si>
  <si>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</si>
  <si>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</si>
  <si>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</si>
  <si>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</si>
  <si>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</si>
  <si>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</si>
  <si>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</si>
  <si>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</si>
  <si>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</si>
  <si>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</si>
  <si>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</si>
  <si>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</si>
  <si>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</si>
  <si>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</si>
  <si>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</si>
  <si>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</si>
  <si>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</si>
  <si>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</si>
  <si>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</si>
  <si>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</si>
  <si>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</si>
  <si>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</si>
  <si>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</si>
  <si>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</si>
  <si>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</si>
  <si>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</si>
  <si>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</si>
  <si>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</si>
  <si>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</si>
  <si>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</si>
  <si>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</si>
  <si>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</si>
  <si>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</si>
  <si>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</si>
  <si>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</si>
  <si>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</si>
  <si>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</si>
  <si>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</si>
  <si>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</si>
  <si>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</si>
  <si>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</si>
  <si>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</si>
  <si>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</si>
  <si>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</si>
  <si>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</si>
  <si>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</si>
  <si>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</si>
  <si>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</si>
  <si>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</si>
  <si>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</si>
  <si>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</si>
  <si>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</si>
  <si>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</si>
  <si>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</si>
  <si>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</si>
  <si>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</si>
  <si>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</si>
  <si>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</si>
  <si>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</si>
  <si>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</si>
  <si>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</si>
  <si>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</si>
  <si>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</si>
  <si>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</si>
  <si>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</si>
  <si>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</si>
  <si>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</si>
  <si>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</si>
  <si>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</si>
  <si>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</si>
  <si>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</si>
  <si>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</si>
  <si>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</si>
  <si>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</si>
  <si>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</si>
  <si>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</si>
  <si>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</si>
  <si>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</si>
  <si>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</si>
  <si>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</si>
  <si>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</si>
  <si>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</si>
  <si>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</si>
  <si>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</si>
  <si>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</si>
  <si>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</si>
  <si>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</si>
  <si>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</si>
  <si>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</si>
  <si>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</si>
  <si>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</si>
  <si>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</si>
  <si>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</si>
  <si>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</si>
  <si>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</si>
  <si>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</si>
  <si>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</si>
  <si>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</si>
  <si>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</si>
  <si>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</si>
  <si>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</si>
  <si>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</si>
  <si>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</si>
  <si>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</si>
  <si>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</si>
  <si>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</si>
  <si>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</si>
  <si>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</si>
  <si>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</si>
  <si>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</si>
  <si>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</si>
  <si>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</si>
  <si>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</si>
  <si>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</si>
  <si>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</si>
  <si>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</si>
  <si>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</si>
  <si>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</si>
  <si>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</si>
  <si>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</si>
  <si>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</si>
  <si>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</si>
  <si>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</si>
  <si>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</si>
  <si>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</si>
  <si>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</si>
  <si>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</si>
  <si>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</si>
  <si>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</si>
  <si>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</si>
  <si>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</si>
  <si>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</si>
  <si>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</si>
  <si>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</si>
  <si>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</si>
  <si>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</si>
  <si>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</si>
  <si>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</si>
  <si>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</si>
  <si>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</si>
  <si>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</si>
  <si>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</si>
  <si>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</si>
  <si>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</si>
  <si>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</si>
  <si>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</si>
  <si>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</si>
  <si>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</si>
  <si>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</si>
  <si>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</si>
  <si>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</si>
  <si>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</si>
  <si>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</si>
  <si>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</si>
  <si>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</si>
  <si>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</si>
  <si>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</si>
  <si>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</si>
  <si>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</si>
  <si>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</si>
  <si>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</si>
  <si>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</si>
  <si>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</si>
  <si>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</si>
  <si>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</si>
  <si>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</si>
  <si>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</si>
  <si>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</si>
  <si>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</si>
  <si>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</si>
  <si>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</si>
  <si>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</si>
  <si>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</si>
  <si>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</si>
  <si>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</si>
  <si>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</si>
  <si>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</si>
  <si>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</si>
  <si>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</si>
  <si>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</si>
  <si>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</si>
  <si>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</si>
  <si>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</si>
  <si>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</si>
  <si>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</si>
  <si>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</si>
  <si>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</si>
  <si>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</si>
  <si>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</si>
  <si>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</si>
  <si>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</si>
  <si>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</si>
  <si>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</si>
  <si>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</si>
  <si>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</si>
  <si>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</si>
  <si>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</si>
  <si>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</si>
  <si>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</si>
  <si>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</si>
  <si>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</si>
  <si>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</si>
  <si>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</si>
  <si>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</si>
  <si>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</si>
  <si>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</si>
  <si>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</si>
  <si>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</si>
  <si>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</si>
  <si>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</si>
  <si>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</si>
  <si>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</si>
  <si>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</si>
  <si>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</si>
  <si>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</si>
  <si>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</si>
  <si>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</si>
  <si>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</si>
  <si>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</si>
  <si>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</si>
  <si>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</si>
  <si>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</si>
  <si>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</si>
  <si>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</si>
  <si>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</si>
  <si>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</si>
  <si>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</si>
  <si>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</si>
  <si>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</si>
  <si>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</si>
  <si>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</si>
  <si>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</si>
  <si>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</si>
  <si>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</si>
  <si>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</si>
  <si>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</si>
  <si>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</si>
  <si>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</si>
  <si>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</si>
  <si>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</si>
  <si>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</si>
  <si>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</si>
  <si>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</si>
  <si>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</si>
  <si>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</si>
  <si>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</si>
  <si>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</si>
  <si>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</si>
  <si>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</si>
  <si>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</si>
  <si>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</si>
  <si>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</si>
  <si>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</si>
  <si>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</si>
  <si>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</si>
  <si>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</si>
  <si>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</si>
  <si>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</si>
  <si>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</si>
  <si>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</si>
  <si>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</si>
  <si>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</si>
  <si>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</si>
  <si>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</si>
  <si>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</si>
  <si>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</si>
  <si>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</si>
  <si>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</si>
  <si>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</si>
  <si>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</si>
  <si>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</si>
  <si>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</si>
  <si>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</si>
  <si>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</si>
  <si>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</si>
  <si>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</si>
  <si>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</si>
  <si>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</si>
  <si>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</si>
  <si>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</si>
  <si>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</si>
  <si>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</si>
  <si>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</si>
  <si>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</si>
  <si>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</si>
  <si>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</si>
  <si>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</si>
  <si>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</si>
  <si>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</si>
  <si>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</si>
  <si>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</si>
  <si>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</si>
  <si>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</si>
  <si>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</si>
  <si>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</si>
  <si>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</si>
  <si>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</si>
  <si>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</si>
  <si>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</si>
  <si>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</si>
  <si>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</si>
  <si>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</si>
  <si>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</si>
  <si>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</si>
  <si>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</si>
  <si>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</si>
  <si>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</si>
  <si>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</si>
  <si>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</si>
  <si>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</si>
  <si>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</si>
  <si>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</si>
  <si>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</si>
  <si>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</si>
  <si>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</si>
  <si>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</si>
  <si>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</si>
  <si>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</si>
  <si>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</si>
  <si>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</si>
  <si>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</si>
  <si>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</si>
  <si>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</si>
  <si>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</si>
  <si>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</si>
  <si>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</si>
  <si>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</si>
  <si>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</si>
  <si>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</si>
  <si>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</si>
  <si>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</si>
  <si>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</si>
  <si>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</si>
  <si>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</si>
  <si>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</si>
  <si>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</si>
  <si>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</si>
  <si>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</si>
  <si>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</si>
  <si>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</si>
  <si>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</si>
  <si>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</si>
  <si>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</si>
  <si>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</si>
  <si>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</si>
  <si>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</si>
  <si>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</si>
  <si>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</si>
  <si>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</si>
  <si>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</si>
  <si>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</si>
  <si>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</si>
  <si>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</si>
  <si>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</si>
  <si>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</si>
  <si>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</si>
  <si>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</si>
  <si>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</si>
  <si>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</si>
  <si>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</si>
  <si>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</si>
  <si>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</si>
  <si>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</si>
  <si>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</si>
  <si>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</si>
  <si>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</si>
  <si>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</si>
  <si>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</si>
  <si>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</si>
  <si>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</si>
  <si>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</si>
  <si>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</si>
  <si>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</si>
  <si>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</si>
  <si>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</si>
  <si>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</si>
  <si>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</si>
  <si>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</si>
  <si>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</si>
  <si>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</si>
  <si>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</si>
  <si>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</si>
  <si>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</si>
  <si>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</si>
  <si>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</si>
  <si>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</si>
  <si>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</si>
  <si>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</si>
  <si>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</si>
  <si>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</si>
  <si>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</si>
  <si>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</si>
  <si>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</si>
  <si>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</si>
  <si>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</si>
  <si>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</si>
  <si>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</si>
  <si>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</si>
  <si>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</si>
  <si>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</si>
  <si>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</si>
  <si>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</si>
  <si>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</si>
  <si>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</si>
  <si>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</si>
  <si>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</si>
  <si>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</si>
  <si>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</si>
  <si>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</si>
  <si>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</si>
  <si>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</si>
  <si>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</si>
  <si>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</si>
  <si>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</si>
  <si>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</si>
  <si>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</si>
  <si>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</si>
  <si>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</si>
  <si>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</si>
  <si>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</si>
  <si>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</si>
  <si>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</si>
  <si>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</si>
  <si>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</si>
  <si>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</si>
  <si>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</si>
  <si>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</si>
  <si>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</si>
  <si>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</si>
  <si>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</si>
  <si>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</si>
  <si>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</si>
  <si>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</si>
  <si>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</si>
  <si>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</si>
  <si>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</si>
  <si>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</si>
  <si>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</si>
  <si>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</si>
  <si>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</si>
  <si>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</si>
  <si>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</si>
  <si>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</si>
  <si>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</si>
  <si>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</si>
  <si>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</si>
  <si>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</si>
  <si>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</si>
  <si>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</si>
  <si>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</si>
  <si>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</si>
  <si>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</si>
  <si>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</si>
  <si>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</si>
  <si>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</si>
  <si>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</si>
  <si>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</si>
  <si>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</si>
  <si>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</si>
  <si>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</si>
  <si>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</si>
  <si>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</si>
  <si>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</si>
  <si>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</si>
  <si>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</si>
  <si>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</si>
  <si>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</si>
  <si>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</si>
  <si>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</si>
  <si>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</si>
  <si>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</si>
  <si>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</si>
  <si>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</si>
  <si>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</si>
  <si>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</si>
  <si>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</si>
  <si>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</si>
  <si>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</si>
  <si>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</si>
  <si>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</si>
  <si>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</si>
  <si>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</si>
  <si>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</si>
  <si>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</si>
  <si>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</si>
  <si>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</si>
  <si>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</si>
  <si>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</si>
  <si>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</si>
  <si>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</si>
  <si>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</si>
  <si>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</si>
  <si>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</si>
  <si>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</si>
  <si>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</si>
  <si>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</si>
  <si>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</si>
  <si>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</si>
  <si>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</si>
  <si>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</si>
  <si>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</si>
  <si>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</si>
  <si>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</si>
  <si>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</si>
  <si>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</si>
  <si>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</si>
  <si>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</si>
  <si>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</si>
  <si>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</si>
  <si>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</si>
  <si>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</si>
  <si>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</si>
  <si>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</si>
  <si>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</si>
  <si>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</si>
  <si>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</si>
  <si>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</si>
  <si>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</si>
  <si>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</si>
  <si>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</si>
  <si>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</si>
  <si>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</si>
  <si>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</si>
  <si>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</si>
  <si>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</si>
  <si>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</si>
  <si>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</si>
  <si>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</si>
  <si>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</si>
  <si>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</si>
  <si>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</si>
  <si>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</si>
  <si>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</si>
  <si>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</si>
  <si>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</si>
  <si>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</si>
  <si>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</si>
  <si>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</si>
  <si>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</si>
  <si>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</si>
  <si>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</si>
  <si>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</si>
  <si>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</si>
  <si>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</si>
  <si>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</si>
  <si>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</si>
  <si>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</si>
  <si>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</si>
  <si>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</si>
  <si>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</si>
  <si>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</si>
  <si>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</si>
  <si>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</si>
  <si>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</si>
  <si>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</si>
  <si>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</si>
  <si>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</si>
  <si>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</si>
  <si>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</si>
  <si>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</si>
  <si>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</si>
  <si>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</si>
  <si>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</si>
  <si>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</si>
  <si>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</si>
  <si>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</si>
  <si>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</si>
  <si>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</si>
  <si>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</si>
  <si>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</si>
  <si>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</si>
  <si>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</si>
  <si>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</si>
  <si>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</si>
  <si>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</si>
  <si>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</si>
  <si>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</si>
  <si>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</si>
  <si>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</si>
  <si>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</si>
  <si>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</si>
  <si>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</si>
  <si>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</si>
  <si>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</si>
  <si>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</si>
  <si>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</si>
  <si>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</si>
  <si>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</si>
  <si>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</si>
  <si>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</si>
  <si>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</si>
  <si>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</si>
  <si>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</si>
  <si>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</si>
  <si>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</si>
  <si>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</si>
  <si>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</si>
  <si>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</si>
  <si>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</si>
  <si>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</si>
  <si>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</si>
  <si>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</si>
  <si>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</si>
  <si>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</si>
  <si>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</si>
  <si>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</si>
  <si>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</si>
  <si>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</si>
  <si>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</si>
  <si>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</si>
  <si>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</si>
  <si>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</si>
  <si>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</si>
  <si>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</si>
  <si>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</si>
  <si>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</si>
  <si>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</si>
  <si>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</si>
  <si>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</si>
  <si>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</si>
  <si>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</si>
  <si>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</si>
  <si>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</si>
  <si>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</si>
  <si>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</si>
  <si>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</si>
  <si>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</si>
  <si>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</si>
  <si>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</si>
  <si>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</si>
  <si>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</si>
  <si>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</si>
  <si>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</si>
  <si>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</si>
  <si>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</si>
  <si>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</si>
  <si>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</si>
  <si>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</si>
  <si>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</si>
  <si>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</si>
  <si>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</si>
  <si>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</si>
  <si>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</si>
  <si>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</si>
  <si>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</si>
  <si>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</si>
  <si>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</si>
  <si>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</si>
  <si>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</si>
  <si>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</si>
  <si>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</si>
  <si>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</si>
  <si>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</si>
  <si>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</si>
  <si>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</si>
  <si>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</si>
  <si>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</si>
  <si>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</si>
  <si>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</si>
  <si>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</si>
  <si>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</si>
  <si>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</si>
  <si>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</si>
  <si>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</si>
  <si>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</si>
  <si>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</si>
  <si>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</si>
  <si>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</si>
  <si>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</si>
  <si>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</si>
  <si>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</si>
  <si>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</si>
  <si>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</si>
  <si>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</si>
  <si>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</si>
  <si>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</si>
  <si>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</si>
  <si>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</si>
  <si>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</si>
  <si>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</si>
  <si>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</si>
  <si>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</si>
  <si>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</si>
  <si>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</si>
  <si>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</si>
  <si>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</si>
  <si>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</si>
  <si>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</si>
  <si>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</si>
  <si>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</si>
  <si>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</si>
  <si>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</si>
  <si>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</si>
  <si>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</si>
  <si>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</si>
  <si>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</si>
  <si>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</si>
  <si>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</si>
  <si>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</si>
  <si>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</si>
  <si>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</si>
  <si>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</si>
  <si>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</si>
  <si>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</si>
  <si>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</si>
  <si>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</si>
  <si>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</si>
  <si>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</si>
  <si>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</si>
  <si>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</si>
  <si>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</si>
  <si>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</si>
  <si>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</si>
  <si>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</si>
  <si>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</si>
  <si>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</si>
  <si>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</si>
  <si>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</si>
  <si>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</si>
  <si>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</si>
  <si>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</si>
  <si>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</si>
  <si>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</si>
  <si>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</si>
  <si>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</si>
  <si>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</si>
  <si>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</si>
  <si>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</si>
  <si>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</si>
  <si>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</si>
  <si>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</si>
  <si>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</si>
  <si>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</si>
  <si>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</si>
  <si>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</si>
  <si>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</si>
  <si>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</si>
  <si>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</si>
  <si>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</si>
  <si>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</si>
  <si>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</si>
  <si>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</si>
  <si>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</si>
  <si>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</si>
  <si>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</si>
  <si>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</si>
  <si>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</si>
  <si>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</si>
  <si>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</si>
  <si>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</si>
  <si>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</si>
  <si>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</si>
  <si>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</si>
  <si>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</si>
  <si>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</si>
  <si>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</si>
  <si>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</si>
  <si>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</si>
  <si>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</si>
  <si>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</si>
  <si>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</si>
  <si>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</si>
  <si>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</si>
  <si>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</si>
  <si>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</si>
  <si>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</si>
  <si>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</si>
  <si>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</si>
  <si>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</si>
  <si>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</si>
  <si>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</si>
  <si>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</si>
  <si>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</si>
  <si>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</si>
  <si>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</si>
  <si>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</si>
  <si>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</si>
  <si>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</si>
  <si>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</si>
  <si>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</si>
  <si>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</si>
  <si>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</si>
  <si>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</si>
  <si>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</si>
  <si>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</si>
  <si>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</si>
  <si>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</si>
  <si>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</si>
  <si>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</si>
  <si>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</si>
  <si>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</si>
  <si>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</si>
  <si>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</si>
  <si>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</si>
  <si>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</si>
  <si>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</si>
  <si>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</si>
  <si>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</si>
  <si>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</si>
  <si>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</si>
  <si>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</si>
  <si>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</si>
  <si>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</si>
  <si>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</si>
  <si>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</si>
  <si>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</si>
  <si>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</si>
  <si>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</si>
  <si>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</si>
  <si>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</si>
  <si>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</si>
  <si>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</si>
  <si>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</si>
  <si>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</si>
  <si>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</si>
  <si>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</si>
  <si>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</si>
  <si>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</si>
  <si>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</si>
  <si>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</si>
  <si>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</si>
  <si>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</si>
  <si>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</si>
  <si>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</si>
  <si>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</si>
  <si>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</si>
  <si>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</si>
  <si>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</si>
  <si>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</si>
  <si>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</si>
  <si>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</si>
  <si>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</si>
  <si>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</si>
  <si>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</si>
  <si>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</si>
  <si>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</si>
  <si>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</si>
  <si>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</si>
  <si>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</si>
  <si>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</si>
  <si>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</si>
  <si>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</si>
  <si>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</si>
  <si>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</si>
  <si>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</si>
  <si>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</si>
  <si>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</si>
  <si>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</si>
  <si>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</si>
  <si>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</si>
  <si>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</si>
  <si>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</si>
  <si>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</si>
  <si>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</si>
  <si>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</si>
  <si>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</si>
  <si>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</si>
  <si>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</si>
  <si>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</si>
  <si>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</si>
  <si>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</si>
  <si>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</si>
  <si>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</si>
  <si>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</si>
  <si>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</si>
  <si>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</si>
  <si>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</si>
  <si>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</si>
  <si>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</si>
  <si>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</si>
  <si>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</si>
  <si>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</si>
  <si>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</si>
  <si>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</si>
  <si>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</si>
  <si>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</si>
  <si>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</si>
  <si>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</si>
  <si>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</si>
  <si>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</si>
  <si>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</si>
  <si>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</si>
  <si>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</si>
  <si>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</si>
  <si>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</si>
  <si>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</si>
  <si>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</si>
  <si>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</si>
  <si>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</si>
  <si>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</si>
  <si>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</si>
  <si>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</si>
  <si>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</si>
  <si>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</si>
  <si>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</si>
  <si>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</si>
  <si>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</si>
  <si>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</si>
  <si>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</si>
  <si>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</si>
  <si>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</si>
  <si>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</si>
  <si>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</si>
  <si>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</si>
  <si>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</si>
  <si>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</si>
  <si>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</si>
  <si>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</si>
  <si>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</si>
  <si>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</si>
  <si>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</si>
  <si>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</si>
  <si>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</si>
  <si>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</si>
  <si>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</si>
  <si>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</si>
  <si>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</si>
  <si>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</si>
  <si>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</si>
  <si>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</si>
  <si>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</si>
  <si>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</si>
  <si>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</si>
  <si>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</si>
  <si>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</si>
  <si>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</si>
  <si>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</si>
  <si>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</si>
  <si>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</si>
  <si>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</si>
  <si>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</si>
  <si>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</si>
  <si>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</si>
  <si>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</si>
  <si>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</si>
  <si>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</si>
  <si>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</si>
  <si>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</si>
  <si>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</si>
  <si>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</si>
  <si>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</si>
  <si>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</si>
  <si>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</si>
  <si>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</si>
  <si>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</si>
  <si>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</si>
  <si>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</si>
  <si>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</si>
  <si>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</si>
  <si>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</si>
  <si>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</si>
  <si>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</si>
  <si>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</si>
  <si>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</si>
  <si>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</si>
  <si>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</si>
  <si>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</si>
  <si>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</si>
  <si>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</si>
  <si>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</si>
  <si>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</si>
  <si>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</si>
  <si>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</si>
  <si>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</si>
  <si>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</si>
  <si>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</si>
  <si>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</si>
  <si>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</si>
  <si>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</si>
  <si>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</si>
  <si>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</si>
  <si>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</si>
  <si>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</si>
  <si>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</si>
  <si>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</si>
  <si>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</si>
  <si>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</si>
  <si>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</si>
  <si>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</si>
  <si>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</si>
  <si>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</si>
  <si>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</si>
  <si>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</si>
  <si>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</si>
  <si>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</si>
  <si>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</si>
  <si>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</si>
  <si>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</si>
  <si>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</si>
  <si>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</si>
  <si>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</si>
  <si>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</si>
  <si>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</si>
  <si>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</si>
  <si>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</si>
  <si>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</si>
  <si>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</si>
  <si>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</si>
  <si>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</si>
  <si>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</si>
  <si>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</si>
  <si>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</si>
  <si>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</si>
  <si>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</si>
  <si>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</si>
  <si>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</si>
  <si>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</si>
  <si>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</si>
  <si>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</si>
  <si>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</si>
  <si>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</si>
  <si>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</si>
  <si>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</si>
  <si>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</si>
  <si>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</si>
  <si>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</si>
  <si>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</si>
  <si>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</si>
  <si>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</si>
  <si>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</si>
  <si>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</si>
  <si>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</si>
  <si>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</si>
  <si>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</si>
  <si>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</si>
  <si>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</si>
  <si>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</si>
  <si>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</si>
  <si>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</si>
  <si>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</si>
  <si>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</si>
  <si>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</si>
  <si>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</si>
  <si>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</si>
  <si>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</si>
  <si>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</si>
  <si>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</si>
  <si>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</si>
  <si>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</si>
  <si>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</si>
  <si>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</si>
  <si>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</si>
  <si>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</si>
  <si>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</si>
  <si>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</si>
  <si>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</si>
  <si>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</si>
  <si>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</si>
  <si>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</si>
  <si>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</si>
  <si>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</si>
  <si>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</si>
  <si>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</si>
  <si>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</si>
  <si>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</si>
  <si>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</si>
  <si>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</si>
  <si>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</si>
  <si>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</si>
  <si>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</si>
  <si>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</si>
  <si>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</si>
  <si>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</si>
  <si>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</si>
  <si>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</si>
  <si>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</si>
  <si>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</si>
  <si>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</si>
  <si>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</si>
  <si>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</si>
  <si>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</si>
  <si>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</si>
  <si>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</si>
  <si>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</si>
  <si>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</si>
  <si>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</si>
  <si>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</si>
  <si>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</si>
  <si>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</si>
  <si>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</si>
  <si>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</si>
  <si>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</si>
  <si>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</si>
  <si>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</si>
  <si>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</si>
  <si>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</si>
  <si>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</si>
  <si>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</si>
  <si>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</si>
  <si>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</si>
  <si>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</si>
  <si>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</si>
  <si>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</si>
  <si>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</si>
  <si>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</si>
  <si>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</si>
  <si>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</si>
  <si>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</si>
  <si>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</si>
  <si>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</si>
  <si>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</si>
  <si>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</si>
  <si>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</si>
  <si>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</si>
  <si>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</si>
  <si>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</si>
  <si>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</si>
  <si>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</si>
  <si>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</si>
  <si>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</si>
  <si>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</si>
  <si>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</si>
  <si>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</si>
  <si>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</si>
  <si>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</si>
  <si>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</si>
  <si>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</si>
  <si>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</si>
  <si>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</si>
  <si>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</si>
  <si>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</si>
  <si>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</si>
  <si>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</si>
  <si>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</si>
  <si>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</si>
  <si>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</si>
  <si>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</si>
  <si>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</si>
  <si>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</si>
  <si>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</si>
  <si>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</si>
  <si>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</si>
  <si>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</si>
  <si>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</si>
  <si>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</si>
  <si>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</si>
  <si>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</si>
  <si>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</si>
  <si>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</si>
  <si>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</si>
  <si>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</si>
  <si>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</si>
  <si>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</si>
  <si>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</si>
  <si>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</si>
  <si>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</si>
  <si>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</si>
  <si>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</si>
  <si>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</si>
  <si>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</si>
  <si>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</si>
  <si>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</si>
  <si>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</si>
  <si>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</si>
  <si>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</si>
  <si>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</si>
  <si>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</si>
  <si>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</si>
  <si>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</si>
  <si>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</si>
  <si>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</si>
  <si>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</si>
  <si>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</si>
  <si>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</si>
  <si>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</si>
  <si>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</si>
  <si>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</si>
  <si>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</si>
  <si>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</si>
  <si>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</si>
  <si>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</si>
  <si>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</si>
  <si>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</si>
  <si>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</si>
  <si>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</si>
  <si>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</si>
  <si>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</si>
  <si>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</si>
  <si>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</si>
  <si>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</si>
  <si>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</si>
  <si>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</si>
  <si>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</si>
  <si>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</si>
  <si>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</si>
  <si>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</si>
  <si>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</si>
  <si>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</si>
  <si>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</si>
  <si>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</si>
  <si>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</si>
  <si>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</si>
  <si>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</si>
  <si>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</si>
  <si>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</si>
  <si>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</si>
  <si>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</si>
  <si>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</si>
  <si>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</si>
  <si>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</si>
  <si>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</si>
  <si>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</si>
  <si>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</si>
  <si>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</si>
  <si>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</si>
  <si>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</si>
  <si>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</si>
  <si>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</si>
  <si>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</si>
  <si>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</si>
  <si>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</si>
  <si>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</si>
  <si>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</si>
  <si>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</si>
  <si>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</si>
  <si>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</si>
  <si>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</si>
  <si>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</si>
  <si>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</si>
  <si>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</si>
  <si>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</si>
  <si>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</si>
  <si>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</si>
  <si>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</si>
  <si>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</si>
  <si>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</si>
  <si>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</si>
  <si>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</si>
  <si>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</si>
  <si>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</si>
  <si>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</si>
  <si>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</si>
  <si>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</si>
  <si>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</si>
  <si>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</si>
  <si>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</si>
  <si>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</si>
  <si>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</si>
  <si>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</si>
  <si>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</si>
  <si>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</si>
  <si>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</si>
  <si>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</si>
  <si>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</si>
  <si>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</si>
  <si>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</si>
  <si>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</si>
  <si>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</si>
  <si>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</si>
  <si>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</si>
  <si>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</si>
  <si>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</si>
  <si>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</si>
  <si>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</si>
  <si>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</si>
  <si>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</si>
  <si>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</si>
  <si>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</si>
  <si>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</si>
  <si>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</si>
  <si>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</si>
  <si>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</si>
  <si>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</si>
  <si>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</si>
  <si>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</si>
  <si>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</si>
  <si>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</si>
  <si>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</si>
  <si>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</si>
  <si>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</si>
  <si>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</si>
  <si>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</si>
  <si>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</si>
  <si>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</si>
  <si>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</si>
  <si>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</si>
  <si>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</si>
  <si>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</si>
  <si>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</si>
  <si>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</si>
  <si>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</si>
  <si>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</si>
  <si>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</si>
  <si>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</si>
  <si>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</si>
  <si>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</si>
  <si>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</si>
  <si>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</si>
  <si>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</si>
  <si>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</si>
  <si>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</si>
  <si>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</si>
  <si>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</si>
  <si>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</si>
  <si>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</si>
  <si>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</si>
  <si>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</si>
  <si>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</si>
  <si>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</si>
  <si>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</si>
  <si>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</si>
  <si>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</si>
  <si>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</si>
  <si>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</si>
  <si>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</si>
  <si>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</si>
  <si>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</si>
  <si>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</si>
  <si>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</si>
  <si>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</si>
  <si>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</si>
  <si>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</si>
  <si>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</si>
  <si>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</si>
  <si>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</si>
  <si>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</si>
  <si>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</si>
  <si>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</si>
  <si>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</si>
  <si>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</si>
  <si>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</si>
  <si>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</si>
  <si>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</si>
  <si>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</si>
  <si>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</si>
  <si>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</si>
  <si>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</si>
  <si>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</si>
  <si>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</si>
  <si>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</si>
  <si>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</si>
  <si>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</si>
  <si>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</si>
  <si>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</si>
  <si>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</si>
  <si>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</si>
  <si>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</si>
  <si>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</si>
  <si>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</si>
  <si>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</si>
  <si>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</si>
  <si>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</si>
  <si>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</si>
  <si>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</si>
  <si>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</si>
  <si>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</si>
  <si>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</si>
  <si>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</si>
  <si>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</si>
  <si>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</si>
  <si>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</si>
  <si>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</si>
  <si>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</si>
  <si>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</si>
  <si>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</si>
  <si>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</si>
  <si>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</si>
  <si>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</si>
  <si>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</si>
  <si>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</si>
  <si>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</si>
  <si>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</si>
  <si>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</si>
  <si>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</si>
  <si>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</si>
  <si>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</si>
  <si>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</si>
  <si>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</si>
  <si>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</si>
  <si>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</si>
  <si>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</si>
  <si>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</si>
  <si>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</si>
  <si>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</si>
  <si>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</si>
  <si>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</si>
  <si>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</si>
  <si>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</si>
  <si>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</si>
  <si>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</si>
  <si>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</si>
  <si>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</si>
  <si>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</si>
  <si>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</si>
  <si>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</si>
  <si>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</si>
  <si>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</si>
  <si>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</si>
  <si>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</si>
  <si>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</si>
  <si>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</si>
  <si>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</si>
  <si>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</si>
  <si>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</si>
  <si>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</si>
  <si>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</si>
  <si>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</si>
  <si>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</si>
  <si>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</si>
  <si>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</si>
  <si>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</si>
  <si>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</si>
  <si>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</si>
  <si>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</si>
  <si>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</si>
  <si>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</si>
  <si>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</si>
  <si>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</si>
  <si>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</si>
  <si>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</si>
  <si>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</si>
  <si>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</si>
  <si>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</si>
  <si>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</si>
  <si>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</si>
  <si>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</si>
  <si>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</si>
  <si>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</si>
  <si>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</si>
  <si>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</si>
  <si>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</si>
  <si>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</si>
  <si>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</si>
  <si>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</si>
  <si>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</si>
  <si>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</si>
  <si>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</si>
  <si>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</si>
  <si>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</si>
  <si>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</si>
  <si>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</si>
  <si>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</si>
  <si>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</si>
  <si>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</si>
  <si>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</si>
  <si>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</si>
  <si>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</si>
  <si>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</si>
  <si>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</si>
  <si>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</si>
  <si>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</si>
  <si>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</si>
  <si>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</si>
  <si>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</si>
  <si>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</si>
  <si>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</si>
  <si>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</si>
  <si>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</si>
  <si>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</si>
  <si>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</si>
  <si>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</si>
  <si>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</si>
  <si>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</si>
  <si>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</si>
  <si>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</si>
  <si>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</si>
  <si>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</si>
  <si>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</si>
  <si>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</si>
  <si>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</si>
  <si>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</si>
  <si>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</si>
  <si>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</si>
  <si>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</si>
  <si>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</si>
  <si>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</si>
  <si>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</si>
  <si>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</si>
  <si>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</si>
  <si>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</si>
  <si>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</si>
  <si>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</si>
  <si>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</si>
  <si>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</si>
  <si>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</si>
  <si>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</si>
  <si>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</si>
  <si>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</si>
  <si>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</si>
  <si>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</si>
  <si>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</si>
  <si>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</si>
  <si>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</si>
  <si>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</si>
  <si>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</si>
  <si>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</si>
  <si>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</si>
  <si>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</si>
  <si>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</si>
  <si>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</si>
  <si>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</si>
  <si>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</si>
  <si>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</si>
  <si>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</si>
  <si>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</si>
  <si>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</si>
  <si>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</si>
  <si>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</si>
  <si>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</si>
  <si>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</si>
  <si>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</si>
  <si>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</si>
  <si>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</si>
  <si>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</si>
  <si>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</si>
  <si>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</si>
  <si>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</si>
  <si>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</si>
  <si>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</si>
  <si>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</si>
  <si>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</si>
  <si>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</si>
  <si>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</si>
  <si>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</si>
  <si>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</si>
  <si>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</si>
  <si>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</si>
  <si>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</si>
  <si>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</si>
  <si>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</si>
  <si>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</si>
  <si>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</si>
  <si>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</si>
  <si>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</si>
  <si>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</si>
  <si>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</si>
  <si>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</si>
  <si>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</si>
  <si>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</si>
  <si>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</si>
  <si>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</si>
  <si>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</si>
  <si>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</si>
  <si>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</si>
  <si>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</si>
  <si>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</si>
  <si>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</si>
  <si>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</si>
  <si>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</si>
  <si>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</si>
  <si>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</si>
  <si>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</si>
  <si>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</si>
  <si>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</si>
  <si>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</si>
  <si>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</si>
  <si>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</si>
  <si>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</si>
  <si>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</si>
  <si>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</si>
  <si>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</si>
  <si>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</si>
  <si>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</si>
  <si>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</si>
  <si>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</si>
  <si>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</si>
  <si>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</si>
  <si>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</si>
  <si>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</si>
  <si>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</si>
  <si>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</si>
  <si>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</si>
  <si>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</si>
  <si>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</si>
  <si>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</si>
  <si>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</si>
  <si>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</si>
  <si>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</si>
  <si>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</si>
  <si>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</si>
  <si>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</si>
  <si>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</si>
  <si>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</si>
  <si>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</si>
  <si>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</si>
  <si>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</si>
  <si>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</si>
  <si>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</si>
  <si>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</si>
  <si>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</si>
  <si>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</si>
  <si>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</si>
  <si>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</si>
  <si>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</si>
  <si>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</si>
  <si>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</si>
  <si>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</si>
  <si>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</si>
  <si>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</si>
  <si>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</si>
  <si>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</si>
  <si>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</si>
  <si>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</si>
  <si>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</si>
  <si>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</si>
  <si>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</si>
  <si>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</si>
  <si>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</si>
  <si>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</si>
  <si>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</si>
  <si>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</si>
  <si>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</si>
  <si>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</si>
  <si>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</si>
  <si>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</si>
  <si>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</si>
  <si>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</si>
  <si>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</si>
  <si>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</si>
  <si>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</si>
  <si>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</si>
  <si>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</si>
  <si>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</si>
  <si>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</si>
  <si>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</si>
  <si>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</si>
  <si>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</si>
  <si>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</si>
  <si>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</si>
  <si>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</si>
  <si>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</si>
  <si>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</si>
  <si>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</si>
  <si>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</si>
  <si>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</si>
  <si>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</si>
  <si>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</si>
  <si>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</si>
  <si>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</si>
  <si>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</si>
  <si>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</si>
  <si>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</si>
  <si>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</si>
  <si>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</si>
  <si>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</si>
  <si>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</si>
  <si>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</si>
  <si>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</si>
  <si>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</si>
  <si>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</si>
  <si>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</si>
  <si>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</si>
  <si>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</si>
  <si>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</si>
  <si>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</si>
  <si>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</si>
  <si>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</si>
  <si>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</si>
  <si>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</si>
  <si>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</si>
  <si>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</si>
  <si>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</si>
  <si>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</si>
  <si>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</si>
  <si>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</si>
  <si>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</si>
  <si>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</si>
  <si>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</si>
  <si>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</si>
  <si>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</si>
  <si>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</si>
  <si>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</si>
  <si>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</si>
  <si>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</si>
  <si>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</si>
  <si>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</si>
  <si>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</si>
  <si>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</si>
  <si>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</si>
  <si>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</si>
  <si>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</si>
  <si>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</si>
  <si>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</si>
  <si>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</si>
  <si>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</si>
  <si>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</si>
  <si>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</si>
  <si>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</si>
  <si>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</si>
  <si>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</si>
  <si>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</si>
  <si>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</si>
  <si>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</si>
  <si>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</si>
  <si>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</si>
  <si>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</si>
  <si>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</si>
  <si>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</si>
  <si>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</si>
  <si>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</si>
  <si>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</si>
  <si>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</si>
  <si>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</si>
  <si>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</si>
  <si>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</si>
  <si>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</si>
  <si>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</si>
  <si>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</si>
  <si>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</si>
  <si>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</si>
  <si>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</si>
  <si>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</si>
  <si>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</si>
  <si>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</si>
  <si>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</si>
  <si>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</si>
  <si>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</si>
  <si>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</si>
  <si>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</si>
  <si>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</si>
  <si>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</si>
  <si>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</si>
  <si>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</si>
  <si>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</si>
  <si>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</si>
  <si>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</si>
  <si>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</si>
  <si>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</si>
  <si>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</si>
  <si>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</si>
  <si>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</si>
  <si>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</si>
  <si>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</si>
  <si>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</si>
  <si>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</si>
  <si>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</si>
  <si>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</si>
  <si>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</si>
  <si>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</si>
  <si>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</si>
  <si>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</si>
  <si>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</si>
  <si>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</si>
  <si>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</si>
  <si>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</si>
  <si>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</si>
  <si>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</si>
  <si>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</si>
  <si>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</si>
  <si>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</si>
  <si>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</si>
  <si>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</si>
  <si>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</si>
  <si>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</si>
  <si>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</si>
  <si>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</si>
  <si>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</si>
  <si>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</si>
  <si>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</si>
  <si>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</si>
  <si>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</si>
  <si>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</si>
  <si>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</si>
  <si>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</si>
  <si>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</si>
  <si>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</si>
  <si>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</si>
  <si>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</si>
  <si>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</si>
  <si>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</si>
  <si>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</si>
  <si>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</si>
  <si>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</si>
  <si>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</si>
  <si>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</si>
  <si>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</si>
  <si>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</si>
  <si>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</si>
  <si>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</si>
  <si>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</si>
  <si>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</si>
  <si>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</si>
  <si>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</si>
  <si>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</si>
  <si>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</si>
  <si>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</si>
  <si>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</si>
  <si>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</si>
  <si>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</si>
  <si>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</si>
  <si>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</si>
  <si>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</si>
  <si>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</si>
  <si>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</si>
  <si>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</si>
  <si>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</si>
  <si>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</si>
  <si>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</si>
  <si>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</si>
  <si>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</si>
  <si>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</si>
  <si>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</si>
  <si>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</si>
  <si>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</si>
  <si>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</si>
  <si>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</si>
  <si>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</si>
  <si>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</si>
  <si>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</si>
  <si>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</si>
  <si>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</si>
  <si>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</si>
  <si>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</si>
  <si>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</si>
  <si>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</si>
  <si>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</si>
  <si>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</si>
  <si>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</si>
  <si>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</si>
  <si>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</si>
  <si>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</si>
  <si>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</si>
  <si>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</si>
  <si>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</si>
  <si>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</si>
  <si>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</si>
  <si>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</si>
  <si>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</si>
  <si>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</si>
  <si>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</si>
  <si>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</si>
  <si>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</si>
  <si>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</si>
  <si>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</si>
  <si>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</si>
  <si>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</si>
  <si>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</si>
  <si>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</si>
  <si>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</si>
  <si>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</si>
  <si>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</si>
  <si>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</si>
  <si>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</si>
  <si>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</si>
  <si>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</si>
  <si>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</si>
  <si>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</si>
  <si>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</si>
  <si>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</si>
  <si>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</si>
  <si>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</si>
  <si>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</si>
  <si>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</si>
  <si>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</si>
  <si>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</si>
  <si>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</si>
  <si>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</si>
  <si>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</si>
  <si>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</si>
  <si>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</si>
  <si>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</si>
  <si>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</si>
  <si>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</si>
  <si>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</si>
  <si>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</si>
  <si>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</si>
  <si>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</si>
  <si>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</si>
  <si>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</si>
  <si>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</si>
  <si>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</si>
  <si>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</si>
  <si>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</si>
  <si>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</si>
  <si>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</si>
  <si>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</si>
  <si>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</si>
  <si>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</si>
  <si>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</si>
  <si>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</si>
  <si>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</si>
  <si>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</si>
  <si>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</si>
  <si>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</si>
  <si>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</si>
  <si>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</si>
  <si>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</si>
  <si>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</si>
  <si>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</si>
  <si>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</si>
  <si>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</si>
  <si>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</si>
  <si>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</si>
  <si>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</si>
  <si>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</si>
  <si>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</si>
  <si>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</si>
  <si>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</si>
  <si>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</si>
  <si>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</si>
  <si>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</si>
  <si>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</si>
  <si>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</si>
  <si>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</si>
  <si>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</si>
  <si>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</si>
  <si>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</si>
  <si>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</si>
  <si>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</si>
  <si>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</si>
  <si>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</si>
  <si>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</si>
  <si>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</si>
  <si>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</si>
  <si>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</si>
  <si>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</si>
  <si>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</si>
  <si>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</si>
  <si>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</si>
  <si>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</si>
  <si>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</si>
  <si>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</si>
  <si>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</si>
  <si>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</si>
  <si>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</si>
  <si>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</si>
  <si>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</si>
  <si>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</si>
  <si>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</si>
  <si>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</si>
  <si>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</si>
  <si>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</si>
  <si>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</si>
  <si>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</si>
  <si>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</si>
  <si>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</si>
  <si>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</si>
  <si>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</si>
  <si>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</si>
  <si>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</si>
  <si>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</si>
  <si>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</si>
  <si>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</si>
  <si>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</si>
  <si>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</si>
  <si>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</si>
  <si>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</si>
  <si>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</si>
  <si>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</si>
  <si>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</si>
  <si>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</si>
  <si>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</si>
  <si>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</si>
  <si>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</si>
  <si>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</si>
  <si>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</si>
  <si>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</si>
  <si>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</si>
  <si>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</si>
  <si>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</si>
  <si>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</si>
  <si>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</si>
  <si>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</si>
  <si>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</si>
  <si>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</si>
  <si>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</si>
  <si>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</si>
  <si>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</si>
  <si>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</si>
  <si>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</si>
  <si>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</si>
  <si>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</si>
  <si>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</si>
  <si>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</si>
  <si>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</si>
  <si>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</si>
  <si>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</si>
  <si>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</si>
  <si>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</si>
  <si>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</si>
  <si>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</si>
  <si>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</si>
  <si>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</si>
  <si>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</si>
  <si>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</si>
  <si>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</si>
  <si>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</si>
  <si>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</si>
  <si>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</si>
  <si>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</si>
  <si>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</si>
  <si>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</si>
  <si>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</si>
  <si>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</si>
  <si>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</si>
  <si>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</si>
  <si>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</si>
  <si>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</si>
  <si>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</si>
  <si>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</si>
  <si>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</si>
  <si>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</si>
  <si>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</si>
  <si>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</si>
  <si>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</si>
  <si>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</si>
  <si>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</si>
  <si>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</si>
  <si>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</si>
  <si>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</si>
  <si>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</si>
  <si>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</si>
  <si>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</si>
  <si>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</si>
  <si>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</si>
  <si>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</si>
  <si>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</si>
  <si>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</si>
  <si>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</si>
  <si>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</si>
  <si>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</si>
  <si>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</si>
  <si>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</si>
  <si>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</si>
  <si>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</si>
  <si>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</si>
  <si>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</si>
  <si>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</si>
  <si>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</si>
  <si>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</si>
  <si>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</si>
  <si>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</si>
  <si>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</si>
  <si>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</si>
  <si>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</si>
  <si>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</si>
  <si>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</si>
  <si>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</si>
  <si>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</si>
  <si>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</si>
  <si>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</si>
  <si>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</si>
  <si>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</si>
  <si>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</si>
  <si>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</si>
  <si>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</si>
  <si>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</si>
  <si>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</si>
  <si>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</si>
  <si>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</si>
  <si>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</si>
  <si>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</si>
  <si>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</si>
  <si>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</si>
  <si>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</si>
  <si>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</si>
  <si>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</si>
  <si>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</si>
  <si>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</si>
  <si>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</si>
  <si>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</si>
  <si>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</si>
  <si>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</si>
  <si>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</si>
  <si>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</si>
  <si>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</si>
  <si>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</si>
  <si>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</si>
  <si>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</si>
  <si>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</si>
  <si>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</si>
  <si>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</si>
  <si>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</si>
  <si>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</si>
  <si>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</si>
  <si>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</si>
  <si>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</si>
  <si>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</si>
  <si>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</si>
  <si>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</si>
  <si>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</si>
  <si>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</si>
  <si>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</si>
  <si>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</si>
  <si>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</si>
  <si>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</si>
  <si>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</si>
  <si>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</si>
  <si>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</si>
  <si>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</si>
  <si>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</si>
  <si>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</si>
  <si>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</si>
  <si>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</si>
  <si>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</si>
  <si>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</si>
  <si>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</si>
  <si>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</si>
  <si>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</si>
  <si>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</si>
  <si>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</si>
  <si>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</si>
  <si>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</si>
  <si>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</si>
  <si>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</si>
  <si>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</si>
  <si>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</si>
  <si>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</si>
  <si>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</si>
  <si>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</si>
  <si>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</si>
  <si>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</si>
  <si>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</si>
  <si>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</si>
  <si>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</si>
  <si>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</si>
  <si>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</si>
  <si>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</si>
  <si>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</si>
  <si>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</si>
  <si>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</si>
  <si>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</si>
  <si>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</si>
  <si>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</si>
  <si>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</si>
  <si>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</si>
  <si>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</si>
  <si>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</si>
  <si>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</si>
  <si>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</si>
  <si>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</si>
  <si>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</si>
  <si>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</si>
  <si>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</si>
  <si>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</si>
  <si>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</si>
  <si>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</si>
  <si>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</si>
  <si>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</si>
  <si>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</si>
  <si>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</si>
  <si>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</si>
  <si>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</si>
  <si>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</si>
  <si>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</si>
  <si>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</si>
  <si>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</si>
  <si>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</si>
  <si>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</si>
  <si>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</si>
  <si>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</si>
  <si>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</si>
  <si>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</si>
  <si>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</si>
  <si>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</si>
  <si>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</si>
  <si>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</si>
  <si>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</si>
  <si>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</si>
  <si>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</si>
  <si>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</si>
  <si>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</si>
  <si>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</si>
  <si>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</si>
  <si>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</si>
  <si>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</si>
  <si>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</si>
  <si>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</si>
  <si>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</si>
  <si>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</si>
  <si>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</si>
  <si>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</si>
  <si>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</si>
  <si>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</si>
  <si>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</si>
  <si>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</si>
  <si>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</si>
  <si>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</si>
  <si>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</si>
  <si>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</si>
  <si>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</si>
  <si>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</si>
  <si>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</si>
  <si>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</si>
  <si>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</si>
  <si>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</si>
  <si>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</si>
  <si>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</si>
  <si>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</si>
  <si>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</si>
  <si>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</si>
  <si>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</si>
  <si>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</si>
  <si>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</si>
  <si>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</si>
  <si>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</si>
  <si>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</si>
  <si>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</si>
  <si>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</si>
  <si>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</si>
  <si>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</si>
  <si>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</si>
  <si>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</si>
  <si>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</si>
  <si>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</si>
  <si>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</si>
  <si>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</si>
  <si>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</si>
  <si>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</si>
  <si>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</si>
  <si>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</si>
  <si>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</si>
  <si>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</si>
  <si>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</si>
  <si>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</si>
  <si>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</si>
  <si>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</si>
  <si>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</si>
  <si>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</si>
  <si>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</si>
  <si>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</si>
  <si>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</si>
  <si>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</si>
  <si>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</si>
  <si>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</si>
  <si>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</si>
  <si>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</si>
  <si>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</si>
  <si>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</si>
  <si>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</si>
  <si>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</si>
  <si>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</si>
  <si>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</si>
  <si>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</si>
  <si>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</si>
  <si>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</si>
  <si>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</si>
  <si>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</si>
  <si>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</si>
  <si>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</si>
  <si>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</si>
  <si>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</si>
  <si>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</si>
  <si>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</si>
  <si>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</si>
  <si>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</si>
  <si>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</si>
  <si>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</si>
  <si>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</si>
  <si>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</si>
  <si>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</si>
  <si>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</si>
  <si>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</si>
  <si>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</si>
  <si>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</si>
  <si>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</si>
  <si>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</si>
  <si>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</si>
  <si>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</si>
  <si>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</si>
  <si>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</si>
  <si>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</si>
  <si>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</si>
  <si>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</si>
  <si>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</si>
  <si>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</si>
  <si>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</si>
  <si>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</si>
  <si>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</si>
  <si>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</si>
  <si>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</si>
  <si>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</si>
  <si>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</si>
  <si>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</si>
  <si>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</si>
  <si>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</si>
  <si>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</si>
  <si>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</si>
  <si>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</si>
  <si>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</si>
  <si>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</si>
  <si>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</si>
  <si>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</si>
  <si>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</si>
  <si>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</si>
  <si>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</si>
  <si>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</si>
  <si>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</si>
  <si>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</si>
  <si>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</si>
  <si>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</si>
  <si>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</si>
  <si>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</si>
  <si>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</si>
  <si>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</si>
  <si>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</si>
  <si>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</si>
  <si>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</si>
  <si>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</si>
  <si>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</si>
  <si>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</si>
  <si>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</si>
  <si>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</si>
  <si>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</si>
  <si>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</si>
  <si>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</si>
  <si>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</si>
  <si>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</si>
  <si>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</si>
  <si>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</si>
  <si>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</si>
  <si>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</si>
  <si>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</si>
  <si>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</si>
  <si>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</si>
  <si>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</si>
  <si>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</si>
  <si>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</si>
  <si>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</si>
  <si>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</si>
  <si>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</si>
  <si>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</si>
  <si>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</si>
  <si>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</si>
  <si>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</si>
  <si>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</si>
  <si>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</si>
  <si>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</si>
  <si>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</si>
  <si>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</si>
  <si>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</si>
  <si>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</si>
  <si>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</si>
  <si>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</si>
  <si>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</si>
  <si>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</si>
  <si>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</si>
  <si>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</si>
  <si>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</si>
  <si>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</si>
  <si>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</si>
  <si>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</si>
  <si>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</si>
  <si>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</si>
  <si>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</si>
  <si>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</si>
  <si>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</si>
  <si>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</si>
  <si>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</si>
  <si>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</si>
  <si>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</si>
  <si>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</si>
  <si>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</si>
  <si>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</si>
  <si>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</si>
  <si>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</si>
  <si>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</si>
  <si>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</si>
  <si>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</si>
  <si>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</si>
  <si>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</si>
  <si>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</si>
  <si>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</si>
  <si>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</si>
  <si>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</si>
  <si>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</si>
  <si>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</si>
  <si>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</si>
  <si>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</si>
  <si>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</si>
  <si>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</si>
  <si>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</si>
  <si>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</si>
  <si>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</si>
  <si>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</si>
  <si>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</si>
  <si>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</si>
  <si>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</si>
  <si>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</si>
  <si>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</si>
  <si>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</si>
  <si>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</si>
  <si>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</si>
  <si>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</si>
  <si>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</si>
  <si>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</si>
  <si>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</si>
  <si>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</si>
  <si>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</si>
  <si>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</si>
  <si>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</si>
  <si>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</si>
  <si>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</si>
  <si>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</si>
  <si>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</si>
  <si>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</si>
  <si>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</si>
  <si>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</si>
  <si>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</si>
  <si>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</si>
  <si>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</si>
  <si>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</si>
  <si>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</si>
  <si>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</si>
  <si>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</si>
  <si>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</si>
  <si>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</si>
  <si>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</si>
  <si>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</si>
  <si>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</si>
  <si>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</si>
  <si>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</si>
  <si>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</si>
  <si>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</si>
  <si>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</si>
  <si>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</si>
  <si>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</si>
  <si>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</si>
  <si>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</si>
  <si>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</si>
  <si>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</si>
  <si>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</si>
  <si>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</si>
  <si>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</si>
  <si>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</si>
  <si>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</si>
  <si>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</si>
  <si>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</si>
  <si>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</si>
  <si>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</si>
  <si>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</si>
  <si>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</si>
  <si>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</si>
  <si>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</si>
  <si>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</si>
  <si>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</si>
  <si>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</si>
  <si>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</si>
  <si>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</si>
  <si>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</si>
  <si>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</si>
  <si>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</si>
  <si>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</si>
  <si>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</si>
  <si>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</si>
  <si>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</si>
  <si>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</si>
  <si>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</si>
  <si>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</si>
  <si>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</si>
  <si>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</si>
  <si>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</si>
  <si>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</si>
  <si>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</si>
  <si>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</si>
  <si>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</si>
  <si>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</si>
  <si>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</si>
  <si>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</si>
  <si>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</si>
  <si>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</si>
  <si>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</si>
  <si>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</si>
  <si>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</si>
  <si>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</si>
  <si>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</si>
  <si>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</si>
  <si>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</si>
  <si>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</si>
  <si>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</si>
  <si>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</si>
  <si>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</si>
  <si>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</si>
  <si>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</si>
  <si>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</si>
  <si>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</si>
  <si>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</si>
  <si>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</si>
  <si>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</si>
  <si>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</si>
  <si>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</si>
  <si>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</si>
  <si>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</si>
  <si>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</si>
  <si>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</si>
  <si>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</si>
  <si>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</si>
  <si>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</si>
  <si>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</si>
  <si>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</si>
  <si>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</si>
  <si>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</si>
  <si>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</si>
  <si>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</si>
  <si>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</si>
  <si>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</si>
  <si>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</si>
  <si>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</si>
  <si>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</si>
  <si>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</si>
  <si>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</si>
  <si>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</si>
  <si>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</si>
  <si>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</si>
  <si>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</si>
  <si>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</si>
  <si>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</si>
  <si>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</si>
  <si>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</si>
  <si>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</si>
  <si>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</si>
  <si>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</si>
  <si>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</si>
  <si>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</si>
  <si>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</si>
  <si>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</si>
  <si>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</si>
  <si>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</si>
  <si>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</si>
  <si>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</si>
  <si>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</si>
  <si>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</si>
  <si>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</si>
  <si>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</si>
  <si>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</si>
  <si>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</si>
  <si>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</si>
  <si>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</si>
  <si>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</si>
  <si>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</si>
  <si>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</si>
  <si>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</si>
  <si>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</si>
  <si>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</si>
  <si>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</si>
  <si>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</si>
  <si>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</si>
  <si>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</si>
  <si>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</si>
  <si>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</si>
  <si>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</si>
  <si>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</si>
  <si>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</si>
  <si>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</si>
  <si>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</si>
  <si>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</si>
  <si>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</si>
  <si>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</si>
  <si>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</si>
  <si>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</si>
  <si>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</si>
  <si>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</si>
  <si>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</si>
  <si>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</si>
  <si>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</si>
  <si>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</si>
  <si>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</si>
  <si>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</si>
  <si>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</si>
  <si>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</si>
  <si>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</si>
  <si>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</si>
  <si>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</si>
  <si>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</si>
  <si>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</si>
  <si>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</si>
  <si>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</si>
  <si>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</si>
  <si>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</si>
  <si>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</si>
  <si>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</si>
  <si>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</si>
  <si>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</si>
  <si>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</si>
  <si>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</si>
  <si>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</si>
  <si>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</si>
  <si>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</si>
  <si>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</si>
  <si>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</si>
  <si>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</si>
  <si>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</si>
  <si>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</si>
  <si>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</si>
  <si>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</si>
  <si>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</si>
  <si>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</si>
  <si>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</si>
  <si>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</si>
  <si>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</si>
  <si>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</si>
  <si>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</si>
  <si>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</si>
  <si>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</si>
  <si>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</si>
  <si>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</si>
  <si>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</si>
  <si>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</si>
  <si>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</si>
  <si>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</si>
  <si>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</si>
  <si>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</si>
  <si>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</si>
  <si>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</si>
  <si>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</si>
  <si>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</si>
  <si>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</si>
  <si>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</si>
  <si>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</si>
  <si>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</si>
  <si>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</si>
  <si>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</si>
  <si>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</si>
  <si>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</si>
  <si>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</si>
  <si>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</si>
  <si>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</si>
  <si>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</si>
  <si>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</si>
  <si>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</si>
  <si>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</si>
  <si>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</si>
  <si>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</si>
  <si>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</si>
  <si>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</si>
  <si>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</si>
  <si>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</si>
  <si>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</si>
  <si>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</si>
  <si>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</si>
  <si>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</si>
  <si>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</si>
  <si>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</si>
  <si>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</si>
  <si>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</si>
  <si>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</si>
  <si>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</si>
  <si>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</si>
  <si>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</si>
  <si>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</si>
  <si>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</si>
  <si>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</si>
  <si>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</si>
  <si>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</si>
  <si>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</si>
  <si>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</si>
  <si>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</si>
  <si>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</si>
  <si>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</si>
  <si>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</si>
  <si>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</si>
  <si>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</si>
  <si>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</si>
  <si>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</si>
  <si>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</si>
  <si>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</si>
  <si>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</si>
  <si>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</si>
  <si>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</si>
  <si>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</si>
  <si>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</si>
  <si>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</si>
  <si>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</si>
  <si>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</si>
  <si>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</si>
  <si>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</si>
  <si>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</si>
  <si>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</si>
  <si>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</si>
  <si>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</si>
  <si>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</si>
  <si>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</si>
  <si>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</si>
  <si>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</si>
  <si>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</si>
  <si>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</si>
  <si>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</si>
  <si>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</si>
  <si>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</si>
  <si>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</si>
  <si>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</si>
  <si>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</si>
  <si>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</si>
  <si>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</si>
  <si>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</si>
  <si>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</si>
  <si>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</si>
  <si>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</si>
  <si>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</si>
  <si>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</si>
  <si>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</si>
  <si>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</si>
  <si>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</si>
  <si>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</si>
  <si>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</si>
  <si>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</si>
  <si>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</si>
  <si>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</si>
  <si>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</si>
  <si>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</si>
  <si>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</si>
  <si>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</si>
  <si>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</si>
  <si>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</si>
  <si>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</si>
  <si>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</si>
  <si>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</si>
  <si>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</si>
  <si>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</si>
  <si>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</si>
  <si>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</si>
  <si>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</si>
  <si>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</si>
  <si>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</si>
  <si>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</si>
  <si>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</si>
  <si>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</si>
  <si>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</si>
  <si>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</si>
  <si>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</si>
  <si>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</si>
  <si>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</si>
  <si>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</si>
  <si>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</si>
  <si>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</si>
  <si>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</si>
  <si>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</si>
  <si>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</si>
  <si>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</si>
  <si>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</si>
  <si>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</si>
  <si>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</si>
  <si>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</si>
  <si>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</si>
  <si>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</si>
  <si>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</si>
  <si>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</si>
  <si>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</si>
  <si>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</si>
  <si>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</si>
  <si>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</si>
  <si>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</si>
  <si>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</si>
  <si>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</si>
  <si>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</si>
  <si>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</si>
  <si>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</si>
  <si>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</si>
  <si>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</si>
  <si>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</si>
  <si>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</si>
  <si>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</si>
  <si>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</si>
  <si>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</si>
  <si>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</si>
  <si>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</si>
  <si>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</si>
  <si>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</si>
  <si>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</si>
  <si>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</si>
  <si>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</si>
  <si>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</si>
  <si>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</si>
  <si>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</si>
  <si>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</si>
  <si>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</si>
  <si>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</si>
  <si>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</si>
  <si>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</si>
  <si>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</si>
  <si>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</si>
  <si>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</si>
  <si>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</si>
  <si>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</si>
  <si>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</si>
  <si>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</si>
  <si>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</si>
  <si>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</si>
  <si>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</si>
  <si>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</si>
  <si>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</si>
  <si>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</si>
  <si>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</si>
  <si>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</si>
  <si>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</si>
  <si>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</si>
  <si>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</si>
  <si>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</si>
  <si>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</si>
  <si>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</si>
  <si>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</si>
  <si>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</si>
  <si>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</si>
  <si>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</si>
  <si>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</si>
  <si>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</si>
  <si>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</si>
  <si>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</si>
  <si>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</si>
  <si>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</si>
  <si>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</si>
  <si>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</si>
  <si>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</si>
  <si>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</si>
  <si>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</si>
  <si>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</si>
  <si>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</si>
  <si>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</si>
  <si>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</si>
  <si>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</si>
  <si>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</si>
  <si>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</si>
  <si>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</si>
  <si>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</si>
  <si>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</si>
  <si>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</si>
  <si>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</si>
  <si>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</si>
  <si>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</si>
  <si>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</si>
  <si>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</si>
  <si>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</si>
  <si>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</si>
  <si>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</si>
  <si>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</si>
  <si>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</si>
  <si>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</si>
  <si>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</si>
  <si>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</si>
  <si>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</si>
  <si>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</si>
  <si>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</si>
  <si>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</si>
  <si>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</si>
  <si>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</si>
  <si>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</si>
  <si>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</si>
  <si>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</si>
  <si>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</si>
  <si>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</si>
  <si>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</si>
  <si>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</si>
  <si>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</si>
  <si>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</si>
  <si>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</si>
  <si>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</si>
  <si>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</si>
  <si>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</si>
  <si>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</si>
  <si>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</si>
  <si>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</si>
  <si>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</si>
  <si>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</si>
  <si>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</si>
  <si>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</si>
  <si>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</si>
  <si>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</si>
  <si>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</si>
  <si>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</si>
  <si>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</si>
  <si>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</si>
  <si>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</si>
  <si>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</si>
  <si>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</si>
  <si>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</si>
  <si>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</si>
  <si>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</si>
  <si>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</si>
  <si>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</si>
  <si>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</si>
  <si>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</si>
  <si>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</si>
  <si>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</si>
  <si>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</si>
  <si>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</si>
  <si>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</si>
  <si>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</si>
  <si>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</si>
  <si>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</si>
  <si>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</si>
  <si>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</si>
  <si>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</si>
  <si>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</si>
  <si>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</si>
  <si>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</si>
  <si>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</si>
  <si>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</si>
  <si>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</si>
  <si>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</si>
  <si>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</si>
  <si>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</si>
  <si>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</si>
  <si>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</si>
  <si>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</si>
  <si>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</si>
  <si>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</si>
  <si>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</si>
  <si>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</si>
  <si>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</si>
  <si>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</si>
  <si>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</si>
  <si>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</si>
  <si>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</si>
  <si>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</si>
  <si>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</si>
  <si>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</si>
  <si>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</si>
  <si>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</si>
  <si>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</si>
  <si>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</si>
  <si>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</si>
  <si>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</si>
  <si>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</si>
  <si>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</si>
  <si>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</si>
  <si>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</si>
  <si>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</si>
  <si>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</si>
  <si>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</si>
  <si>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</si>
  <si>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</si>
  <si>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</si>
  <si>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</si>
  <si>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</si>
  <si>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</si>
  <si>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</si>
  <si>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</si>
  <si>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</si>
  <si>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</si>
  <si>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</si>
  <si>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</si>
  <si>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</si>
  <si>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</si>
  <si>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</si>
  <si>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</si>
  <si>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</si>
  <si>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</si>
  <si>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</si>
  <si>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</si>
  <si>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</si>
  <si>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</si>
  <si>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</si>
  <si>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</si>
  <si>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</si>
  <si>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</si>
  <si>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</si>
  <si>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</si>
  <si>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</si>
  <si>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</si>
  <si>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</si>
  <si>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</si>
  <si>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</si>
  <si>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</si>
  <si>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</si>
  <si>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</si>
  <si>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</si>
  <si>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</si>
  <si>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</si>
  <si>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</si>
  <si>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</si>
  <si>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</si>
  <si>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</si>
  <si>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</si>
  <si>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</si>
  <si>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</si>
  <si>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</si>
  <si>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</si>
  <si>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</si>
  <si>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</si>
  <si>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</si>
  <si>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</si>
  <si>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</si>
  <si>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</si>
  <si>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</si>
  <si>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</si>
  <si>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</si>
  <si>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</si>
  <si>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</si>
  <si>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</si>
  <si>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</si>
  <si>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</si>
  <si>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</si>
  <si>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</si>
  <si>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</si>
  <si>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</si>
  <si>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</si>
  <si>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</si>
  <si>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</si>
  <si>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</si>
  <si>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</si>
  <si>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</si>
  <si>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</si>
  <si>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</si>
  <si>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</si>
  <si>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</si>
  <si>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</si>
  <si>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</si>
  <si>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</si>
  <si>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</si>
  <si>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</si>
  <si>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</si>
  <si>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</si>
  <si>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</si>
  <si>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</si>
  <si>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</si>
  <si>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</si>
  <si>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</si>
  <si>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</si>
  <si>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</si>
  <si>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</si>
  <si>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</si>
  <si>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</si>
  <si>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</si>
  <si>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</si>
  <si>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</si>
  <si>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</si>
  <si>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</si>
  <si>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</si>
  <si>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</si>
  <si>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</si>
  <si>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</si>
  <si>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</si>
  <si>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</si>
  <si>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</si>
  <si>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</si>
  <si>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</si>
  <si>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</si>
  <si>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</si>
  <si>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</si>
  <si>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</si>
  <si>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</si>
  <si>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</si>
  <si>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</si>
  <si>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</si>
  <si>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</si>
  <si>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</si>
  <si>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</si>
  <si>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</si>
  <si>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</si>
  <si>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</si>
  <si>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</si>
  <si>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</si>
  <si>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</si>
  <si>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</si>
  <si>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</si>
  <si>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</si>
  <si>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</si>
  <si>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</si>
  <si>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</si>
  <si>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</si>
  <si>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</si>
  <si>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</si>
  <si>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</si>
  <si>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</si>
  <si>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</si>
  <si>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</si>
  <si>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</si>
  <si>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</si>
  <si>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</si>
  <si>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</si>
  <si>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</si>
  <si>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</si>
  <si>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</si>
  <si>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</si>
  <si>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</si>
  <si>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</si>
  <si>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</si>
  <si>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</si>
  <si>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</si>
  <si>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</si>
  <si>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</si>
  <si>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</si>
  <si>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</si>
  <si>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</si>
  <si>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</si>
  <si>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</si>
  <si>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</si>
  <si>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</si>
  <si>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</si>
  <si>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</si>
  <si>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</si>
  <si>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</si>
  <si>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</si>
  <si>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</si>
  <si>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</si>
  <si>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</si>
  <si>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</si>
  <si>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</si>
  <si>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</si>
  <si>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</si>
  <si>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</si>
  <si>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</si>
  <si>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</si>
  <si>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</si>
  <si>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</si>
  <si>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</si>
  <si>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</si>
  <si>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</si>
  <si>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</si>
  <si>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</si>
  <si>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</si>
  <si>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</si>
  <si>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</si>
  <si>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</si>
  <si>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</si>
  <si>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</si>
  <si>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</si>
  <si>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</si>
  <si>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</si>
  <si>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</si>
  <si>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</si>
  <si>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</si>
  <si>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</si>
  <si>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</si>
  <si>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</si>
  <si>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</si>
  <si>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</si>
  <si>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</si>
  <si>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</si>
  <si>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</si>
  <si>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</si>
  <si>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</si>
  <si>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</si>
  <si>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</si>
  <si>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</si>
  <si>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</si>
  <si>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</si>
  <si>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</si>
  <si>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</si>
  <si>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</si>
  <si>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</si>
  <si>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</si>
  <si>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</si>
  <si>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</si>
  <si>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</si>
  <si>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</si>
  <si>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</si>
  <si>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</si>
  <si>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</si>
  <si>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</si>
  <si>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</si>
  <si>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</si>
  <si>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</si>
  <si>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</si>
  <si>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</si>
  <si>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</si>
  <si>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</si>
  <si>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</si>
  <si>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</si>
  <si>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</si>
  <si>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</si>
  <si>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</si>
  <si>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</si>
  <si>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</si>
  <si>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</si>
  <si>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</si>
  <si>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</si>
  <si>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</si>
  <si>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</si>
  <si>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</si>
  <si>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</si>
  <si>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</si>
  <si>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</si>
  <si>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</si>
  <si>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</si>
  <si>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</si>
  <si>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</si>
  <si>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</si>
  <si>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</si>
  <si>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</si>
  <si>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</si>
  <si>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</si>
  <si>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</si>
  <si>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</si>
  <si>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</si>
  <si>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</si>
  <si>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</si>
  <si>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</si>
  <si>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</si>
  <si>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</si>
  <si>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</si>
  <si>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</si>
  <si>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</si>
  <si>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</si>
  <si>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</si>
  <si>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</si>
  <si>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</si>
  <si>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</si>
  <si>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</si>
  <si>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</si>
  <si>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</si>
  <si>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</si>
  <si>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</si>
  <si>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</si>
  <si>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</si>
  <si>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</si>
  <si>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</si>
  <si>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</si>
  <si>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</si>
  <si>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</si>
  <si>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</si>
  <si>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</si>
  <si>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</si>
  <si>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</si>
  <si>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</si>
  <si>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</si>
  <si>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</si>
  <si>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</si>
  <si>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</si>
  <si>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</si>
  <si>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</si>
  <si>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</si>
  <si>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</si>
  <si>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</si>
  <si>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</si>
  <si>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</si>
  <si>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</si>
  <si>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</si>
  <si>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</si>
  <si>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</si>
  <si>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</si>
  <si>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</si>
  <si>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</si>
  <si>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</si>
  <si>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</si>
  <si>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</si>
  <si>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</si>
  <si>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</si>
  <si>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</si>
  <si>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</si>
  <si>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</si>
  <si>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</si>
  <si>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</si>
  <si>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</si>
  <si>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</si>
  <si>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</si>
  <si>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</si>
  <si>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</si>
  <si>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</si>
  <si>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</si>
  <si>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</si>
  <si>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</si>
  <si>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</si>
  <si>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</si>
  <si>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</si>
  <si>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</si>
  <si>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</si>
  <si>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</si>
  <si>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</si>
  <si>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</si>
  <si>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</si>
  <si>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</si>
  <si>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</si>
  <si>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</si>
  <si>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</si>
  <si>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</si>
  <si>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</si>
  <si>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</si>
  <si>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</si>
  <si>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</si>
  <si>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</si>
  <si>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</si>
  <si>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</si>
  <si>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</si>
  <si>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</si>
  <si>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</si>
  <si>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</si>
  <si>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</si>
  <si>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</si>
  <si>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</si>
  <si>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</si>
  <si>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</si>
  <si>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</si>
  <si>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</si>
  <si>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</si>
  <si>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</si>
  <si>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</si>
  <si>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</si>
  <si>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</si>
  <si>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</si>
  <si>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</si>
  <si>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</si>
  <si>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</si>
  <si>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</si>
  <si>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</si>
  <si>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</si>
  <si>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</si>
  <si>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</si>
  <si>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</si>
  <si>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</si>
  <si>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</si>
  <si>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</si>
  <si>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</si>
  <si>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</si>
  <si>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</si>
  <si>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</si>
  <si>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</si>
  <si>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</si>
  <si>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</si>
  <si>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</si>
  <si>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</si>
  <si>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</si>
  <si>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</si>
  <si>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</si>
  <si>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</si>
  <si>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</si>
  <si>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</si>
  <si>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</si>
  <si>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</si>
  <si>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</si>
  <si>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</si>
  <si>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</si>
  <si>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</si>
  <si>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</si>
  <si>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</si>
  <si>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</si>
  <si>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</si>
  <si>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</si>
  <si>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</si>
  <si>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</si>
  <si>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</si>
  <si>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</si>
  <si>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</si>
  <si>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</si>
  <si>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</si>
  <si>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</si>
  <si>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</si>
  <si>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</si>
  <si>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</si>
  <si>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</si>
  <si>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</si>
  <si>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</si>
  <si>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</si>
  <si>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</si>
  <si>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</si>
  <si>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</si>
  <si>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</si>
  <si>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</si>
  <si>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</si>
  <si>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</si>
  <si>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</si>
  <si>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</si>
  <si>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</si>
  <si>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</si>
  <si>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</si>
  <si>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</si>
  <si>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</si>
  <si>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</si>
  <si>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</si>
  <si>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</si>
  <si>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</si>
  <si>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</si>
  <si>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</si>
  <si>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</si>
  <si>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</si>
  <si>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</si>
  <si>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</si>
  <si>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</si>
  <si>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</si>
  <si>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</si>
  <si>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</si>
  <si>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</si>
  <si>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</si>
  <si>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</si>
  <si>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</si>
  <si>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</si>
  <si>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</si>
  <si>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</si>
  <si>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</si>
  <si>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</si>
  <si>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</si>
  <si>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</si>
  <si>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</si>
  <si>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</si>
  <si>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</si>
  <si>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</si>
  <si>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</si>
  <si>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</si>
  <si>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</si>
  <si>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</si>
  <si>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</si>
  <si>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</si>
  <si>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</si>
  <si>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</si>
  <si>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</si>
  <si>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</si>
  <si>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</si>
  <si>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</si>
  <si>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</si>
  <si>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</si>
  <si>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</si>
  <si>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</si>
  <si>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</si>
  <si>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</si>
  <si>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</si>
  <si>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</si>
  <si>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</si>
  <si>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</si>
  <si>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</si>
  <si>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</si>
  <si>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</si>
  <si>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</si>
  <si>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</si>
  <si>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</si>
  <si>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</si>
  <si>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</si>
  <si>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</si>
  <si>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</si>
  <si>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</si>
  <si>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</si>
  <si>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</si>
  <si>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</si>
  <si>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</si>
  <si>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</si>
  <si>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</si>
  <si>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</si>
  <si>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</si>
  <si>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</si>
  <si>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</si>
  <si>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</si>
  <si>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</si>
  <si>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</si>
  <si>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</si>
  <si>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</si>
  <si>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</si>
  <si>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</si>
  <si>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</si>
  <si>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</si>
  <si>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</si>
  <si>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</si>
  <si>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</si>
  <si>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</si>
  <si>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</si>
  <si>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</si>
  <si>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</si>
  <si>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</si>
  <si>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</si>
  <si>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</si>
  <si>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</si>
  <si>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</si>
  <si>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</si>
  <si>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</si>
  <si>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</si>
  <si>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</si>
  <si>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</si>
  <si>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</si>
  <si>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</si>
  <si>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</si>
  <si>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</si>
  <si>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</si>
  <si>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</si>
  <si>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</si>
  <si>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</si>
  <si>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</si>
  <si>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</si>
  <si>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</si>
  <si>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</si>
  <si>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</si>
  <si>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</si>
  <si>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</si>
  <si>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</si>
  <si>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</si>
  <si>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</si>
  <si>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</si>
  <si>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</si>
  <si>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</si>
  <si>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</si>
  <si>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</si>
  <si>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</si>
  <si>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</si>
  <si>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</si>
  <si>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</si>
  <si>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</si>
  <si>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</si>
  <si>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</si>
  <si>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</si>
  <si>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</si>
  <si>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</si>
  <si>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</si>
  <si>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</si>
  <si>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</si>
  <si>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</si>
  <si>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</si>
  <si>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</si>
  <si>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</si>
  <si>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</si>
  <si>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</si>
  <si>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</si>
  <si>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</si>
  <si>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</si>
  <si>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</si>
  <si>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</si>
  <si>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</si>
  <si>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</si>
  <si>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</si>
  <si>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</si>
  <si>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</si>
  <si>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</si>
  <si>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</si>
  <si>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</si>
  <si>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</si>
  <si>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</si>
  <si>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</si>
  <si>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</si>
  <si>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</si>
  <si>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</si>
  <si>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</si>
  <si>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</si>
  <si>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</si>
  <si>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</si>
  <si>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</si>
  <si>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</si>
  <si>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</si>
  <si>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</si>
  <si>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</si>
  <si>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</si>
  <si>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</si>
  <si>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</si>
  <si>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</si>
  <si>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</si>
  <si>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</si>
  <si>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</si>
  <si>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</si>
  <si>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</si>
  <si>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</si>
  <si>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</si>
  <si>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</si>
  <si>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</si>
  <si>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</si>
  <si>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</si>
  <si>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</si>
  <si>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</si>
  <si>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</si>
  <si>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</si>
  <si>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</si>
  <si>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</si>
  <si>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</si>
  <si>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</si>
  <si>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</si>
  <si>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</si>
  <si>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</si>
  <si>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</si>
  <si>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</si>
  <si>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</si>
  <si>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</si>
  <si>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</si>
  <si>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</si>
  <si>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</si>
  <si>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</si>
  <si>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</si>
  <si>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</si>
  <si>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</si>
  <si>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</si>
  <si>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</si>
  <si>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</si>
  <si>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</si>
  <si>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</si>
  <si>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</si>
  <si>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</si>
  <si>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</si>
  <si>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</si>
  <si>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</si>
  <si>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</si>
  <si>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</si>
  <si>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</si>
  <si>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</si>
  <si>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</si>
  <si>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</si>
  <si>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</si>
  <si>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</si>
  <si>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</si>
  <si>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</si>
  <si>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</si>
  <si>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</si>
  <si>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</si>
  <si>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</si>
  <si>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</si>
  <si>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</si>
  <si>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</si>
  <si>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</si>
  <si>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</si>
  <si>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</si>
  <si>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</si>
  <si>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</si>
  <si>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</si>
  <si>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</si>
  <si>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</si>
  <si>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</si>
  <si>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</si>
  <si>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</si>
  <si>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</si>
  <si>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</si>
  <si>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</si>
  <si>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</si>
  <si>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</si>
  <si>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</si>
  <si>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</si>
  <si>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</si>
  <si>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</si>
  <si>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</si>
  <si>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</si>
  <si>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</si>
  <si>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</si>
  <si>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</si>
  <si>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</si>
  <si>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</si>
  <si>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</si>
  <si>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</si>
  <si>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</si>
  <si>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</si>
  <si>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</si>
  <si>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</si>
  <si>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</si>
  <si>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</si>
  <si>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</si>
  <si>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</si>
  <si>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</si>
  <si>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</si>
  <si>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</si>
  <si>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</si>
  <si>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</si>
  <si>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</si>
  <si>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</si>
  <si>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</si>
  <si>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</si>
  <si>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</si>
  <si>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</si>
  <si>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</si>
  <si>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</si>
  <si>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</si>
  <si>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</si>
  <si>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</si>
  <si>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</si>
  <si>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</si>
  <si>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</si>
  <si>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</si>
  <si>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</si>
  <si>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</si>
  <si>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</si>
  <si>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</si>
  <si>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</si>
  <si>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</si>
  <si>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</si>
  <si>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</si>
  <si>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</si>
  <si>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</si>
  <si>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</si>
  <si>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</si>
  <si>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</si>
  <si>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</si>
  <si>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</si>
  <si>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</si>
  <si>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</si>
  <si>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</si>
  <si>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</si>
  <si>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</si>
  <si>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</si>
  <si>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</si>
  <si>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</si>
  <si>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</si>
  <si>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</si>
  <si>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</si>
  <si>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</si>
  <si>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</si>
  <si>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</si>
  <si>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</si>
  <si>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</si>
  <si>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</si>
  <si>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</si>
  <si>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</si>
  <si>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</si>
  <si>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</si>
  <si>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</si>
  <si>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</si>
  <si>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</si>
  <si>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</si>
  <si>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</si>
  <si>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</si>
  <si>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</si>
  <si>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</si>
  <si>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</si>
  <si>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</si>
  <si>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</si>
  <si>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</si>
  <si>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</si>
  <si>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</si>
  <si>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</si>
  <si>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</si>
  <si>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</si>
  <si>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</si>
  <si>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</si>
  <si>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</si>
  <si>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</si>
  <si>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</si>
  <si>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</si>
  <si>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</si>
  <si>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</si>
  <si>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</si>
  <si>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</si>
  <si>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</si>
  <si>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</si>
  <si>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</si>
  <si>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</si>
  <si>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</si>
  <si>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</si>
  <si>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</si>
  <si>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</si>
  <si>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</si>
  <si>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</si>
  <si>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</si>
  <si>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</si>
  <si>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</si>
  <si>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</si>
  <si>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</si>
  <si>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</si>
  <si>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</si>
  <si>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</si>
  <si>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</si>
  <si>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</si>
  <si>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</si>
  <si>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</si>
  <si>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</si>
  <si>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</si>
  <si>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</si>
  <si>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</si>
  <si>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</si>
  <si>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</si>
  <si>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</si>
  <si>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</si>
  <si>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</si>
  <si>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</si>
  <si>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</si>
  <si>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</si>
  <si>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</si>
  <si>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</si>
  <si>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</si>
  <si>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</si>
  <si>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</si>
  <si>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</si>
  <si>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</si>
  <si>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</si>
  <si>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</si>
  <si>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</si>
  <si>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</si>
  <si>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</si>
  <si>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</si>
  <si>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</si>
  <si>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</si>
  <si>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</si>
  <si>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</si>
  <si>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</si>
  <si>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</si>
  <si>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</si>
  <si>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</si>
  <si>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</si>
  <si>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</si>
  <si>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</si>
  <si>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</si>
  <si>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</si>
  <si>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</si>
  <si>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</si>
  <si>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</si>
  <si>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</si>
  <si>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</si>
  <si>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</si>
  <si>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</si>
  <si>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</si>
  <si>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</si>
  <si>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</si>
  <si>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</si>
  <si>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</si>
  <si>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</si>
  <si>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</si>
  <si>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</si>
  <si>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</si>
  <si>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</si>
  <si>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</si>
  <si>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</si>
  <si>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</si>
  <si>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</si>
  <si>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</si>
  <si>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</si>
  <si>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</si>
  <si>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</si>
  <si>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</si>
  <si>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</si>
  <si>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</si>
  <si>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</si>
  <si>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</si>
  <si>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</si>
  <si>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</si>
  <si>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</si>
  <si>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</si>
  <si>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</si>
  <si>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</si>
  <si>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</si>
  <si>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</si>
  <si>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</si>
  <si>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</si>
  <si>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</si>
  <si>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</si>
  <si>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</si>
  <si>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</si>
  <si>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</si>
  <si>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</si>
  <si>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</si>
  <si>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</si>
  <si>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</si>
  <si>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</si>
  <si>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</si>
  <si>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</si>
  <si>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</si>
  <si>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</si>
  <si>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</si>
  <si>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</si>
  <si>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</si>
  <si>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</si>
  <si>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</si>
  <si>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</si>
  <si>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</si>
  <si>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</si>
  <si>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</si>
  <si>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</si>
  <si>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</si>
  <si>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</si>
  <si>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</si>
  <si>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</si>
  <si>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</si>
  <si>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</si>
  <si>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</si>
  <si>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</si>
  <si>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</si>
  <si>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</si>
  <si>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</si>
  <si>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</si>
  <si>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</si>
  <si>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</si>
  <si>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</si>
  <si>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</si>
  <si>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</si>
  <si>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</si>
  <si>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</si>
  <si>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</si>
  <si>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</si>
  <si>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</si>
  <si>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</si>
  <si>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</si>
  <si>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</si>
  <si>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</si>
  <si>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</si>
  <si>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</si>
  <si>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</si>
  <si>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</si>
  <si>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</si>
  <si>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</si>
  <si>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</si>
  <si>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</si>
  <si>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</si>
  <si>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</si>
  <si>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</si>
  <si>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</si>
  <si>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</si>
  <si>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</si>
  <si>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</si>
  <si>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</si>
  <si>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</si>
  <si>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</si>
  <si>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</si>
  <si>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</si>
  <si>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</si>
  <si>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</si>
  <si>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</si>
  <si>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</si>
  <si>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</si>
  <si>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</si>
  <si>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</si>
  <si>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</si>
  <si>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</si>
  <si>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</si>
  <si>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</si>
  <si>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</si>
  <si>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</si>
  <si>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</si>
  <si>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</si>
  <si>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</si>
  <si>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</si>
  <si>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</si>
  <si>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</si>
  <si>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</si>
  <si>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</si>
  <si>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</si>
  <si>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</si>
  <si>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</si>
  <si>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</si>
  <si>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</si>
  <si>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</si>
  <si>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</si>
  <si>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</si>
  <si>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</si>
  <si>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</si>
  <si>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</si>
  <si>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</si>
  <si>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</si>
  <si>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</si>
  <si>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</si>
  <si>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</si>
  <si>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</si>
  <si>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</si>
  <si>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</si>
  <si>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</si>
  <si>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</si>
  <si>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</si>
  <si>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</si>
  <si>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</si>
  <si>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</si>
  <si>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</si>
  <si>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</si>
  <si>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</si>
  <si>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</si>
  <si>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</si>
  <si>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</si>
  <si>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</si>
  <si>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</si>
  <si>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</si>
  <si>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</si>
  <si>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</si>
  <si>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</si>
  <si>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</si>
  <si>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</si>
  <si>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</si>
  <si>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</si>
  <si>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</si>
  <si>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</si>
  <si>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</si>
  <si>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</si>
  <si>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</si>
  <si>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</si>
  <si>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</si>
  <si>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</si>
  <si>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</si>
  <si>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</si>
  <si>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</si>
  <si>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</si>
  <si>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</si>
  <si>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</si>
  <si>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</si>
  <si>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</si>
  <si>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</si>
  <si>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</si>
  <si>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</si>
  <si>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</si>
  <si>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</si>
  <si>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</si>
  <si>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</si>
  <si>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</si>
  <si>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</si>
  <si>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</si>
  <si>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</si>
  <si>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</si>
  <si>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</si>
  <si>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</si>
  <si>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</si>
  <si>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</si>
  <si>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</si>
  <si>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</si>
  <si>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</si>
  <si>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</si>
  <si>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</si>
  <si>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</si>
  <si>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</si>
  <si>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</si>
  <si>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</si>
  <si>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</si>
  <si>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</si>
  <si>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</si>
  <si>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</si>
  <si>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</si>
  <si>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</si>
  <si>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</si>
  <si>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</si>
  <si>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</si>
  <si>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</si>
  <si>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</si>
  <si>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</si>
  <si>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</si>
  <si>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</si>
  <si>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</si>
  <si>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</si>
  <si>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</si>
  <si>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</si>
  <si>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</si>
  <si>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</si>
  <si>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</si>
  <si>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</si>
  <si>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</si>
  <si>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</si>
  <si>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</si>
  <si>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</si>
  <si>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</si>
  <si>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</si>
  <si>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</si>
  <si>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</si>
  <si>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</si>
  <si>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</si>
  <si>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</si>
  <si>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</si>
  <si>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</si>
  <si>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</si>
  <si>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</si>
  <si>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</si>
  <si>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</si>
  <si>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</si>
  <si>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</si>
  <si>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</si>
  <si>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</si>
  <si>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</si>
  <si>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</si>
  <si>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</si>
  <si>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</si>
  <si>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</si>
  <si>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</si>
  <si>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</si>
  <si>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</si>
  <si>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</si>
  <si>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</si>
  <si>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</si>
  <si>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</si>
  <si>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</si>
  <si>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</si>
  <si>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</si>
  <si>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</si>
  <si>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</si>
  <si>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</si>
  <si>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</si>
  <si>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</si>
  <si>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</si>
  <si>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</si>
  <si>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</si>
  <si>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</si>
  <si>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</si>
  <si>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</si>
  <si>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</si>
  <si>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</si>
  <si>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</si>
  <si>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</si>
  <si>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</si>
  <si>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</si>
  <si>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</si>
  <si>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</si>
  <si>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</si>
  <si>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</si>
  <si>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</si>
  <si>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</si>
  <si>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</si>
  <si>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</si>
  <si>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</si>
  <si>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</si>
  <si>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</si>
  <si>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</si>
  <si>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</si>
  <si>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</si>
  <si>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</si>
  <si>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</si>
  <si>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</si>
  <si>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</si>
  <si>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</si>
  <si>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</si>
  <si>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</si>
  <si>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</si>
  <si>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</si>
  <si>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</si>
  <si>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</si>
  <si>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</si>
  <si>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</si>
  <si>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</si>
  <si>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</si>
  <si>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</si>
  <si>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</si>
  <si>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</si>
  <si>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</si>
  <si>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</si>
  <si>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</si>
  <si>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</si>
  <si>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</si>
  <si>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</si>
  <si>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</si>
  <si>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</si>
  <si>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</si>
  <si>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</si>
  <si>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</si>
  <si>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</si>
  <si>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</si>
  <si>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</si>
  <si>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</si>
  <si>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</si>
  <si>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</si>
  <si>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</si>
  <si>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</si>
  <si>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</si>
  <si>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</si>
  <si>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</si>
  <si>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</si>
  <si>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</si>
  <si>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</si>
  <si>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</si>
  <si>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</si>
  <si>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</si>
  <si>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</si>
  <si>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</si>
  <si>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</si>
  <si>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</si>
  <si>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</si>
  <si>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</si>
  <si>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</si>
  <si>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</si>
  <si>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</si>
  <si>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</si>
  <si>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</si>
  <si>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</si>
  <si>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</si>
  <si>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</si>
  <si>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</si>
  <si>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</si>
  <si>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</si>
  <si>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</si>
  <si>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</si>
  <si>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</si>
  <si>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</si>
  <si>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</si>
  <si>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</si>
  <si>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</si>
  <si>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</si>
  <si>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</si>
  <si>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</si>
  <si>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</si>
  <si>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</si>
  <si>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</si>
  <si>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</si>
  <si>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</si>
  <si>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</si>
  <si>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</si>
  <si>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</si>
  <si>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</si>
  <si>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</si>
  <si>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</si>
  <si>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</si>
  <si>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</si>
  <si>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</si>
  <si>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</si>
  <si>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</si>
  <si>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</si>
  <si>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</si>
  <si>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</si>
  <si>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</si>
  <si>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</si>
  <si>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</si>
  <si>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</si>
  <si>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</si>
  <si>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</si>
  <si>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</si>
  <si>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</si>
  <si>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</si>
  <si>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</si>
  <si>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</si>
  <si>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</si>
  <si>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</si>
  <si>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</si>
  <si>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</si>
  <si>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</si>
  <si>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</si>
  <si>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</si>
  <si>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</si>
  <si>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</si>
  <si>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</si>
  <si>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</si>
  <si>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</si>
  <si>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</si>
  <si>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</si>
  <si>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</si>
  <si>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</si>
  <si>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</si>
  <si>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</si>
  <si>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</si>
  <si>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</si>
  <si>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</si>
  <si>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</si>
  <si>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</si>
  <si>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</si>
  <si>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</si>
  <si>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</si>
  <si>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</si>
  <si>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</si>
  <si>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</si>
  <si>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</si>
  <si>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</si>
  <si>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</si>
  <si>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</si>
  <si>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</si>
  <si>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</si>
  <si>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</si>
  <si>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</si>
  <si>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</si>
  <si>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</si>
  <si>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</si>
  <si>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</si>
  <si>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</si>
  <si>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</si>
  <si>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</si>
  <si>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</si>
  <si>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</si>
  <si>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</si>
  <si>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</si>
  <si>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</si>
  <si>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</si>
  <si>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</si>
  <si>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</si>
  <si>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</si>
  <si>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</si>
  <si>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</si>
  <si>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</si>
  <si>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</si>
  <si>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</si>
  <si>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</si>
  <si>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</si>
  <si>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</si>
  <si>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</si>
  <si>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</si>
  <si>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</si>
  <si>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</si>
  <si>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</si>
  <si>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</si>
  <si>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</si>
  <si>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</si>
  <si>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</si>
  <si>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</si>
  <si>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</si>
  <si>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</si>
  <si>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</si>
  <si>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</si>
  <si>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</si>
  <si>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</si>
  <si>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</si>
  <si>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</si>
  <si>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</si>
  <si>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</si>
  <si>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</si>
  <si>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</si>
  <si>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</si>
  <si>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</si>
  <si>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</si>
  <si>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</si>
  <si>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</si>
  <si>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</si>
  <si>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</si>
  <si>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</si>
  <si>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</si>
  <si>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</si>
  <si>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</si>
  <si>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</si>
  <si>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</si>
  <si>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</si>
  <si>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</si>
  <si>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</si>
  <si>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</si>
  <si>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</si>
  <si>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</si>
  <si>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</si>
  <si>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</si>
  <si>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</si>
  <si>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</si>
  <si>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</si>
  <si>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</si>
  <si>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</si>
  <si>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</si>
  <si>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</si>
  <si>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</si>
  <si>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</si>
  <si>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</si>
  <si>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</si>
  <si>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</si>
  <si>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</si>
  <si>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</si>
  <si>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</si>
  <si>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</si>
  <si>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</si>
  <si>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</si>
  <si>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</si>
  <si>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</si>
  <si>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</si>
  <si>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</si>
  <si>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</si>
  <si>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</si>
  <si>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</si>
  <si>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</si>
  <si>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</si>
  <si>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</si>
  <si>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</si>
  <si>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</si>
  <si>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</si>
  <si>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</si>
  <si>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</si>
  <si>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</si>
  <si>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</si>
  <si>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</si>
  <si>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</si>
  <si>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</si>
  <si>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</si>
  <si>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</si>
  <si>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</si>
  <si>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</si>
  <si>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</si>
  <si>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</si>
  <si>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</si>
  <si>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</si>
  <si>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</si>
  <si>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</si>
  <si>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</si>
  <si>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</si>
  <si>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</si>
  <si>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</si>
  <si>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</si>
  <si>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</si>
  <si>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</si>
  <si>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</si>
  <si>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</si>
  <si>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</si>
  <si>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</si>
  <si>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</si>
  <si>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</si>
  <si>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</si>
  <si>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</si>
  <si>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</si>
  <si>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</si>
  <si>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</si>
  <si>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</si>
  <si>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</si>
  <si>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</si>
  <si>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</si>
  <si>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</si>
  <si>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</si>
  <si>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</si>
  <si>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</si>
  <si>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</si>
  <si>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</si>
  <si>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</si>
  <si>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</si>
  <si>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</si>
  <si>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</si>
  <si>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</si>
  <si>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</si>
  <si>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</si>
  <si>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</si>
  <si>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</si>
  <si>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</si>
  <si>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</si>
  <si>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</si>
  <si>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</si>
  <si>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</si>
  <si>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</si>
  <si>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</si>
  <si>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</si>
  <si>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</si>
  <si>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</si>
  <si>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</si>
  <si>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</si>
  <si>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</si>
  <si>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</si>
  <si>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</si>
  <si>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</si>
  <si>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</si>
  <si>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</si>
  <si>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</si>
  <si>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</si>
  <si>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</si>
  <si>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</si>
  <si>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</si>
  <si>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</si>
  <si>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</si>
  <si>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</si>
  <si>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</si>
  <si>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</si>
  <si>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</si>
  <si>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</si>
  <si>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</si>
  <si>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</si>
  <si>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</si>
  <si>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</si>
  <si>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</si>
  <si>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</si>
  <si>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</si>
  <si>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</si>
  <si>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</si>
  <si>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</si>
  <si>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</si>
  <si>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</si>
  <si>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</si>
  <si>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</si>
  <si>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</si>
  <si>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</si>
  <si>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</si>
  <si>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</si>
  <si>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</si>
  <si>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</si>
  <si>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</si>
  <si>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</si>
  <si>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</si>
  <si>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</si>
  <si>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</si>
  <si>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</si>
  <si>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</si>
  <si>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</si>
  <si>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</si>
  <si>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</si>
  <si>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</si>
  <si>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</si>
  <si>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</si>
  <si>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</si>
  <si>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</si>
  <si>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</si>
  <si>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</si>
  <si>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</si>
  <si>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</si>
  <si>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</si>
  <si>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</si>
  <si>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</si>
  <si>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</si>
  <si>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</si>
  <si>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</si>
  <si>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</si>
  <si>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</si>
  <si>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</si>
  <si>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</si>
  <si>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</si>
  <si>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</si>
  <si>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</si>
  <si>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</si>
  <si>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</si>
  <si>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</si>
  <si>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</si>
  <si>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</si>
  <si>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</si>
  <si>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</si>
  <si>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</si>
  <si>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</si>
  <si>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</si>
  <si>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</si>
  <si>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</si>
  <si>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</si>
  <si>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</si>
  <si>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</si>
  <si>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</si>
  <si>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</si>
  <si>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</si>
  <si>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</si>
  <si>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</si>
  <si>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</si>
  <si>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</si>
  <si>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</si>
  <si>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</si>
  <si>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</si>
  <si>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</si>
  <si>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</si>
  <si>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</si>
  <si>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</si>
  <si>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</si>
  <si>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</si>
  <si>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</si>
  <si>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</si>
  <si>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</si>
  <si>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</si>
  <si>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</si>
  <si>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</si>
  <si>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</si>
  <si>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</si>
  <si>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</si>
  <si>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</si>
  <si>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</si>
  <si>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</si>
  <si>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</si>
  <si>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</si>
  <si>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</si>
  <si>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</si>
  <si>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</si>
  <si>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</si>
  <si>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</si>
  <si>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</si>
  <si>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</si>
  <si>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</si>
  <si>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</si>
  <si>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</si>
  <si>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</si>
  <si>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</si>
  <si>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</si>
  <si>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</si>
  <si>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</si>
  <si>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</si>
  <si>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</si>
  <si>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</si>
  <si>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</si>
  <si>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</si>
  <si>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</si>
  <si>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</si>
  <si>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</si>
  <si>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</si>
  <si>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</si>
  <si>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</si>
  <si>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</si>
  <si>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</si>
  <si>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</si>
  <si>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</si>
  <si>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</si>
  <si>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</si>
  <si>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</si>
  <si>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</si>
  <si>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</si>
  <si>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</si>
  <si>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</si>
  <si>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</si>
  <si>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</si>
  <si>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</si>
  <si>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</si>
  <si>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</si>
  <si>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</si>
  <si>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</si>
  <si>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</si>
  <si>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</si>
  <si>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</si>
  <si>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</si>
  <si>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</si>
  <si>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</si>
  <si>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</si>
  <si>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</si>
  <si>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</si>
  <si>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</si>
  <si>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</si>
  <si>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</si>
  <si>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</si>
  <si>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</si>
  <si>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</si>
  <si>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</si>
  <si>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</si>
  <si>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</si>
  <si>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</si>
  <si>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</si>
  <si>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</si>
  <si>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</si>
  <si>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</si>
  <si>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</si>
  <si>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</si>
  <si>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</si>
  <si>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</si>
  <si>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</si>
  <si>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</si>
  <si>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</si>
  <si>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</si>
  <si>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</si>
  <si>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</si>
  <si>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</si>
  <si>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</si>
  <si>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</si>
  <si>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</si>
  <si>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</si>
  <si>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</si>
  <si>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</si>
  <si>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</si>
  <si>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</si>
  <si>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</si>
  <si>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</si>
  <si>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</si>
  <si>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</si>
  <si>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</si>
  <si>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</si>
  <si>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</si>
  <si>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</si>
  <si>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</si>
  <si>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</si>
  <si>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</si>
  <si>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</si>
  <si>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</si>
  <si>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</si>
  <si>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</si>
  <si>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</si>
  <si>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</si>
  <si>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</si>
  <si>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</si>
  <si>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</si>
  <si>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</si>
  <si>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</si>
  <si>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</si>
  <si>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</si>
  <si>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</si>
  <si>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</si>
  <si>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</si>
  <si>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</si>
  <si>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</si>
  <si>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</si>
  <si>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</si>
  <si>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</si>
  <si>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</si>
  <si>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</si>
  <si>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</si>
  <si>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</si>
  <si>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</si>
  <si>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</si>
  <si>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</si>
  <si>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</si>
  <si>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</si>
  <si>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</si>
  <si>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</si>
  <si>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</si>
  <si>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</si>
  <si>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</si>
  <si>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</si>
  <si>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</si>
  <si>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</si>
  <si>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</si>
  <si>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</si>
  <si>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</si>
  <si>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</si>
  <si>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</si>
  <si>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</si>
  <si>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</si>
  <si>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</si>
  <si>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</si>
  <si>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</si>
  <si>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</si>
  <si>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</si>
  <si>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</si>
  <si>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</si>
  <si>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</si>
  <si>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</si>
  <si>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</si>
  <si>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</si>
  <si>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</si>
  <si>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</si>
  <si>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</si>
  <si>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</si>
  <si>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</si>
  <si>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</si>
  <si>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</si>
  <si>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</si>
  <si>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</si>
  <si>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</si>
  <si>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</si>
  <si>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</si>
  <si>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</si>
  <si>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</si>
  <si>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</si>
  <si>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</si>
  <si>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</si>
  <si>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</si>
  <si>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</si>
  <si>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</si>
  <si>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</si>
  <si>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</si>
  <si>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</si>
  <si>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</si>
  <si>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</si>
  <si>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</si>
  <si>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</si>
  <si>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</si>
  <si>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</si>
  <si>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</si>
  <si>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</si>
  <si>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</si>
  <si>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</si>
  <si>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</si>
  <si>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</si>
  <si>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</si>
  <si>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</si>
  <si>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</si>
  <si>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</si>
  <si>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</si>
  <si>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</si>
  <si>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</si>
  <si>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</si>
  <si>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</si>
  <si>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</si>
  <si>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</si>
  <si>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</si>
  <si>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</si>
  <si>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</si>
  <si>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</si>
  <si>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</si>
  <si>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</si>
  <si>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</si>
  <si>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</si>
  <si>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</si>
  <si>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</si>
  <si>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</si>
  <si>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</si>
  <si>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</si>
  <si>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</si>
  <si>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</si>
  <si>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</si>
  <si>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</si>
  <si>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</si>
  <si>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</si>
  <si>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</si>
  <si>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</si>
  <si>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</si>
  <si>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</si>
  <si>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</si>
  <si>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</si>
  <si>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</si>
  <si>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</si>
  <si>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</si>
  <si>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</si>
  <si>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</si>
  <si>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</si>
  <si>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</si>
  <si>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</si>
  <si>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</si>
  <si>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</si>
  <si>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</si>
  <si>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</si>
  <si>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</si>
  <si>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</si>
  <si>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</si>
  <si>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</si>
  <si>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</si>
  <si>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</si>
  <si>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</si>
  <si>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</si>
  <si>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</si>
  <si>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</si>
  <si>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</si>
  <si>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</si>
  <si>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</si>
  <si>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</si>
  <si>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</si>
  <si>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</si>
  <si>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</si>
  <si>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</si>
  <si>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</si>
  <si>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</si>
  <si>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</si>
  <si>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</si>
  <si>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</si>
  <si>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</si>
  <si>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</si>
  <si>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</si>
  <si>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</si>
  <si>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</si>
  <si>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</si>
  <si>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</si>
  <si>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</si>
  <si>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</si>
  <si>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</si>
  <si>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</si>
  <si>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</si>
  <si>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</si>
  <si>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</si>
  <si>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</si>
  <si>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</si>
  <si>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</si>
  <si>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</si>
  <si>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</si>
  <si>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</si>
  <si>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</si>
  <si>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</si>
  <si>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</si>
  <si>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</si>
  <si>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</si>
  <si>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</si>
  <si>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</si>
  <si>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</si>
  <si>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</si>
  <si>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</si>
  <si>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</si>
  <si>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</si>
  <si>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</si>
  <si>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</si>
  <si>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</si>
  <si>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</si>
  <si>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</si>
  <si>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</si>
  <si>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</si>
  <si>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</si>
  <si>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</si>
  <si>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</si>
  <si>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</si>
  <si>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</si>
  <si>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</si>
  <si>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</si>
  <si>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</si>
  <si>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</si>
  <si>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</si>
  <si>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</si>
  <si>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</si>
  <si>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</si>
  <si>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</si>
  <si>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</si>
  <si>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</si>
  <si>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</si>
  <si>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</si>
  <si>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</si>
  <si>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</si>
  <si>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</si>
  <si>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</si>
  <si>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</si>
  <si>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</si>
  <si>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</si>
  <si>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</si>
  <si>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</si>
  <si>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</si>
  <si>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</si>
  <si>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</si>
  <si>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</si>
  <si>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</si>
  <si>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</si>
  <si>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</si>
  <si>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</si>
  <si>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</si>
  <si>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</si>
  <si>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</si>
  <si>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</si>
  <si>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</si>
  <si>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</si>
  <si>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</si>
  <si>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</si>
  <si>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</si>
  <si>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</si>
  <si>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</si>
  <si>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</si>
  <si>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</si>
  <si>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</si>
  <si>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</si>
  <si>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</si>
  <si>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</si>
  <si>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</si>
  <si>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</si>
  <si>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</si>
  <si>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</si>
  <si>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</si>
  <si>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</si>
  <si>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</si>
  <si>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</si>
  <si>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</si>
  <si>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</si>
  <si>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</si>
  <si>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</si>
  <si>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</si>
  <si>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</si>
  <si>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</si>
  <si>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</si>
  <si>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</si>
  <si>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</si>
  <si>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</si>
  <si>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</si>
  <si>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</si>
  <si>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</si>
  <si>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</si>
  <si>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</si>
  <si>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</si>
  <si>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</si>
  <si>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</si>
  <si>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</si>
  <si>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</si>
  <si>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</si>
  <si>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</si>
  <si>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</si>
  <si>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</si>
  <si>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</si>
  <si>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</si>
  <si>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</si>
  <si>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</si>
  <si>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</si>
  <si>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</si>
  <si>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</si>
  <si>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</si>
  <si>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</si>
  <si>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</si>
  <si>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</si>
  <si>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</si>
  <si>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</si>
  <si>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</si>
  <si>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</si>
  <si>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</si>
  <si>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</si>
  <si>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</si>
  <si>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</si>
  <si>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</si>
  <si>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</si>
  <si>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</si>
  <si>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</si>
  <si>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</si>
  <si>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</si>
  <si>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</si>
  <si>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</si>
  <si>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</si>
  <si>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</si>
  <si>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</si>
  <si>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</si>
  <si>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</si>
  <si>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</si>
  <si>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</si>
  <si>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</si>
  <si>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</si>
  <si>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</si>
  <si>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</si>
  <si>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</si>
  <si>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</si>
  <si>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</si>
  <si>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</si>
  <si>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</si>
  <si>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</si>
  <si>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</si>
  <si>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</si>
  <si>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</si>
  <si>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</si>
  <si>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</si>
  <si>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</si>
  <si>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</si>
  <si>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</si>
  <si>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</si>
  <si>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</si>
  <si>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</si>
  <si>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</si>
  <si>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</si>
  <si>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</si>
  <si>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</si>
  <si>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</si>
  <si>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</si>
  <si>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</si>
  <si>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</si>
  <si>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</si>
  <si>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</si>
  <si>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</si>
  <si>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</si>
  <si>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</si>
  <si>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</si>
  <si>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</si>
  <si>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</si>
  <si>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</si>
  <si>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</si>
  <si>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</si>
  <si>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</si>
  <si>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</si>
  <si>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</si>
  <si>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</si>
  <si>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</si>
  <si>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</si>
  <si>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</si>
  <si>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</si>
  <si>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</si>
  <si>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</si>
  <si>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</si>
  <si>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</si>
  <si>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</si>
  <si>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</si>
  <si>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</si>
  <si>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</si>
  <si>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</si>
  <si>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</si>
  <si>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</si>
  <si>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</si>
  <si>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</si>
  <si>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</si>
  <si>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</si>
  <si>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</si>
  <si>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</si>
  <si>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</si>
  <si>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</si>
  <si>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</si>
  <si>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</si>
  <si>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</si>
  <si>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</si>
  <si>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</si>
  <si>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</si>
  <si>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</si>
  <si>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</si>
  <si>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</si>
  <si>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</si>
  <si>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</si>
  <si>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</si>
  <si>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</si>
  <si>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</si>
  <si>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</si>
  <si>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</si>
  <si>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</si>
  <si>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</si>
  <si>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</si>
  <si>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</si>
  <si>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</si>
  <si>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</si>
  <si>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</si>
  <si>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</si>
  <si>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</si>
  <si>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</si>
  <si>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</si>
  <si>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</si>
  <si>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</si>
  <si>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</si>
  <si>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</si>
  <si>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</si>
  <si>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</si>
  <si>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</si>
  <si>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</si>
  <si>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</si>
  <si>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</si>
  <si>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</si>
  <si>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</si>
  <si>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</si>
  <si>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</si>
  <si>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</si>
  <si>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</si>
  <si>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</si>
  <si>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</si>
  <si>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</si>
  <si>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</si>
  <si>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</si>
  <si>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</si>
  <si>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</si>
  <si>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</si>
  <si>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</si>
  <si>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</si>
  <si>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</si>
  <si>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</si>
  <si>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</si>
  <si>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</si>
  <si>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</si>
  <si>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</si>
  <si>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</si>
  <si>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</si>
  <si>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</si>
  <si>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</si>
  <si>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</si>
  <si>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</si>
  <si>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</si>
  <si>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</si>
  <si>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</si>
  <si>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</si>
  <si>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</si>
  <si>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</si>
  <si>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</si>
  <si>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</si>
  <si>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</si>
  <si>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</si>
  <si>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</si>
  <si>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</si>
  <si>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</si>
  <si>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</si>
  <si>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</si>
  <si>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</si>
  <si>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</si>
  <si>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</si>
  <si>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</si>
  <si>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</si>
  <si>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</si>
  <si>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</si>
  <si>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</si>
  <si>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</si>
  <si>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</si>
  <si>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</si>
  <si>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</si>
  <si>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</si>
  <si>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</si>
  <si>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</si>
  <si>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</si>
  <si>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</si>
  <si>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</si>
  <si>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</si>
  <si>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</si>
  <si>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</si>
  <si>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</si>
  <si>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</si>
  <si>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</si>
  <si>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</si>
  <si>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</si>
  <si>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</si>
  <si>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</si>
  <si>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</si>
  <si>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</si>
  <si>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</si>
  <si>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</si>
  <si>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</si>
  <si>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</si>
  <si>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</si>
  <si>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</si>
  <si>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</si>
  <si>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</si>
  <si>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</si>
  <si>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</si>
  <si>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</si>
  <si>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</si>
  <si>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</si>
  <si>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</si>
  <si>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</si>
  <si>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</si>
  <si>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</si>
  <si>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</si>
  <si>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</si>
  <si>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</si>
  <si>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</si>
  <si>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</si>
  <si>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</si>
  <si>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</si>
  <si>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</si>
  <si>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</si>
  <si>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</si>
  <si>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</si>
  <si>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</si>
  <si>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</si>
  <si>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</si>
  <si>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</si>
  <si>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</si>
  <si>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</si>
  <si>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</si>
  <si>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</si>
  <si>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</si>
  <si>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</si>
  <si>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</si>
  <si>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</si>
  <si>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</si>
  <si>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</si>
  <si>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</si>
  <si>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</si>
  <si>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</si>
  <si>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</si>
  <si>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</si>
  <si>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</si>
  <si>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</si>
  <si>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</si>
  <si>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</si>
  <si>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</si>
  <si>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</si>
  <si>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</si>
  <si>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</si>
  <si>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</si>
  <si>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</si>
  <si>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</si>
  <si>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</si>
  <si>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</si>
  <si>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</si>
  <si>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</si>
  <si>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</si>
  <si>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</si>
  <si>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</si>
  <si>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</si>
  <si>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</si>
  <si>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</si>
  <si>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</si>
  <si>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</si>
  <si>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</si>
  <si>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</si>
  <si>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</si>
  <si>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</si>
  <si>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</si>
  <si>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</si>
  <si>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</si>
  <si>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</si>
  <si>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</si>
  <si>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</si>
  <si>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</si>
  <si>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</si>
  <si>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</si>
  <si>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</si>
  <si>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</si>
  <si>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</si>
  <si>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</si>
  <si>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</si>
  <si>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</si>
  <si>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</si>
  <si>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</si>
  <si>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</si>
  <si>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</si>
  <si>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</si>
  <si>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</si>
  <si>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</si>
  <si>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</si>
  <si>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</si>
  <si>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</si>
  <si>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</si>
  <si>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</si>
  <si>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</si>
  <si>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</si>
  <si>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</si>
  <si>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</si>
  <si>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</si>
  <si>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</si>
  <si>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</si>
  <si>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</si>
  <si>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</si>
  <si>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</si>
  <si>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</si>
  <si>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</si>
  <si>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</si>
  <si>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</si>
  <si>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</si>
  <si>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</si>
  <si>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</si>
  <si>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</si>
  <si>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</si>
  <si>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</si>
  <si>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</si>
  <si>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</si>
  <si>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</si>
  <si>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</si>
  <si>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</si>
  <si>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</si>
  <si>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</si>
  <si>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</si>
  <si>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</si>
  <si>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</si>
  <si>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</si>
  <si>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</si>
  <si>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</si>
  <si>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</si>
  <si>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</si>
  <si>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</si>
  <si>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</si>
  <si>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</si>
  <si>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</si>
  <si>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</si>
  <si>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</si>
  <si>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</si>
  <si>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</si>
  <si>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</si>
  <si>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</si>
  <si>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</si>
  <si>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</si>
  <si>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</si>
  <si>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</si>
  <si>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</si>
  <si>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</si>
  <si>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</si>
  <si>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</si>
  <si>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</si>
  <si>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</si>
  <si>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</si>
  <si>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</si>
  <si>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</si>
  <si>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</si>
  <si>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</si>
  <si>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</si>
  <si>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</si>
  <si>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</si>
  <si>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</si>
  <si>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</si>
  <si>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</si>
  <si>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</si>
  <si>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</si>
  <si>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</si>
  <si>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</si>
  <si>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</si>
  <si>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</si>
  <si>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</si>
  <si>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</si>
  <si>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</si>
  <si>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</si>
  <si>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</si>
  <si>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</si>
  <si>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</si>
  <si>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</si>
  <si>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</si>
  <si>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</si>
  <si>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</si>
  <si>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</si>
  <si>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</si>
  <si>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</si>
  <si>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</si>
  <si>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</si>
  <si>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</si>
  <si>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</si>
  <si>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</si>
  <si>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</si>
  <si>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</si>
  <si>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</si>
  <si>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</si>
  <si>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</si>
  <si>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</si>
  <si>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</si>
  <si>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</si>
  <si>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</si>
  <si>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</si>
  <si>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</si>
  <si>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</si>
  <si>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</si>
  <si>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</si>
  <si>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</si>
  <si>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</si>
  <si>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</si>
  <si>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</si>
  <si>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</si>
  <si>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</si>
  <si>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</si>
  <si>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</si>
  <si>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</si>
  <si>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</si>
  <si>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</si>
  <si>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</si>
  <si>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</si>
  <si>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</si>
  <si>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</si>
  <si>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</si>
  <si>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</si>
  <si>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</si>
  <si>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</si>
  <si>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</si>
  <si>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</si>
  <si>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</si>
  <si>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</si>
  <si>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</si>
  <si>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</si>
  <si>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</si>
  <si>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</si>
  <si>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</si>
  <si>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</si>
  <si>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</si>
  <si>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</si>
  <si>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</si>
  <si>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</si>
  <si>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</si>
  <si>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</si>
  <si>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</si>
  <si>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</si>
  <si>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</si>
  <si>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</si>
  <si>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</si>
  <si>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</si>
  <si>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</si>
  <si>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</si>
  <si>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</si>
  <si>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</si>
  <si>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</si>
  <si>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</si>
  <si>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</si>
  <si>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</si>
  <si>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</si>
  <si>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</si>
  <si>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</si>
  <si>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</si>
  <si>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</si>
  <si>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</si>
  <si>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</si>
  <si>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</si>
  <si>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</si>
  <si>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</si>
  <si>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</si>
  <si>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</si>
  <si>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</si>
  <si>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</si>
  <si>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</si>
  <si>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</si>
  <si>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</si>
  <si>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</si>
  <si>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</si>
  <si>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</si>
  <si>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</si>
  <si>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</si>
  <si>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</si>
  <si>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</si>
  <si>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</si>
  <si>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</si>
  <si>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</si>
  <si>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</si>
  <si>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</si>
  <si>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</si>
  <si>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</si>
  <si>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</si>
  <si>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</si>
  <si>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</si>
  <si>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</si>
  <si>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</si>
  <si>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</si>
  <si>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</si>
  <si>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</si>
  <si>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</si>
  <si>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</si>
  <si>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</si>
  <si>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</si>
  <si>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</si>
  <si>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</si>
  <si>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</si>
  <si>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</si>
  <si>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</si>
  <si>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</si>
  <si>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</si>
  <si>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</si>
  <si>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</si>
  <si>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</si>
  <si>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</si>
  <si>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</si>
  <si>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</si>
  <si>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</si>
  <si>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</si>
  <si>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</si>
  <si>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</si>
  <si>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</si>
  <si>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</si>
  <si>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</si>
  <si>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</si>
  <si>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</si>
  <si>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</si>
  <si>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</si>
  <si>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</si>
  <si>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</si>
  <si>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</si>
  <si>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</si>
  <si>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</si>
  <si>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</si>
  <si>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</si>
  <si>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</si>
  <si>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</si>
  <si>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</si>
  <si>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</si>
  <si>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</si>
  <si>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</si>
  <si>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</si>
  <si>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</si>
  <si>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</si>
  <si>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</si>
  <si>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</si>
  <si>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</si>
  <si>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</si>
  <si>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</si>
  <si>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</si>
  <si>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</si>
  <si>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</si>
  <si>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</si>
  <si>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</si>
  <si>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</si>
  <si>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</si>
  <si>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</si>
  <si>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</si>
  <si>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</si>
  <si>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</si>
  <si>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</si>
  <si>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</si>
  <si>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</si>
  <si>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</si>
  <si>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</si>
  <si>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</si>
  <si>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</si>
  <si>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</si>
  <si>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</si>
  <si>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</si>
  <si>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</si>
  <si>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</si>
  <si>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</si>
  <si>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</si>
  <si>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</si>
  <si>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</si>
  <si>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</si>
  <si>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</si>
  <si>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</si>
  <si>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</si>
  <si>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</si>
  <si>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</si>
  <si>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</si>
  <si>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</si>
  <si>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</si>
  <si>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</si>
  <si>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</si>
  <si>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</si>
  <si>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</si>
  <si>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</si>
  <si>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</si>
  <si>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</si>
  <si>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</si>
  <si>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</si>
  <si>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</si>
  <si>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</si>
  <si>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</si>
  <si>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</si>
  <si>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</si>
  <si>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</si>
  <si>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</si>
  <si>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</si>
  <si>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</si>
  <si>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</si>
  <si>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</si>
  <si>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</si>
  <si>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</si>
  <si>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</si>
  <si>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</si>
  <si>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</si>
  <si>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</si>
  <si>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</si>
  <si>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</si>
  <si>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</si>
  <si>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</si>
  <si>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</si>
  <si>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</si>
  <si>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</si>
  <si>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</si>
  <si>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</si>
  <si>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</si>
  <si>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</si>
  <si>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</si>
  <si>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</si>
  <si>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</si>
  <si>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</si>
  <si>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</si>
  <si>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</si>
  <si>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</si>
  <si>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</si>
  <si>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</si>
  <si>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</si>
  <si>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</si>
  <si>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</si>
  <si>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</si>
  <si>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</si>
  <si>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</si>
  <si>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</si>
  <si>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</si>
  <si>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</si>
  <si>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</si>
  <si>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</si>
  <si>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</si>
  <si>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</si>
  <si>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</si>
  <si>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</si>
  <si>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</si>
  <si>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</si>
  <si>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</si>
  <si>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</si>
  <si>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</si>
  <si>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</si>
  <si>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</si>
  <si>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</si>
  <si>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</si>
  <si>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</si>
  <si>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</si>
  <si>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</si>
  <si>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</si>
  <si>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</si>
  <si>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</si>
  <si>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</si>
  <si>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</si>
  <si>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</si>
  <si>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</si>
  <si>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</si>
  <si>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</si>
  <si>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</si>
  <si>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</si>
  <si>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</si>
  <si>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</si>
  <si>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</si>
  <si>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</si>
  <si>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</si>
  <si>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</si>
  <si>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</si>
  <si>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</si>
  <si>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</si>
  <si>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</si>
  <si>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</si>
  <si>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</si>
  <si>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</si>
  <si>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</si>
  <si>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</si>
  <si>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</si>
  <si>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</si>
  <si>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</si>
  <si>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</si>
  <si>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</si>
  <si>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</si>
  <si>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</si>
  <si>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</si>
  <si>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</si>
  <si>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</si>
  <si>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</si>
  <si>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</si>
  <si>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</si>
  <si>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</si>
  <si>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</si>
  <si>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</si>
  <si>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</si>
  <si>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</si>
  <si>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</si>
  <si>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</si>
  <si>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</si>
  <si>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</si>
  <si>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</si>
  <si>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</si>
  <si>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</si>
  <si>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</si>
  <si>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</si>
  <si>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</si>
  <si>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</si>
  <si>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</si>
  <si>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</si>
  <si>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</si>
  <si>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</si>
  <si>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</si>
  <si>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</si>
  <si>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</si>
  <si>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</si>
  <si>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</si>
  <si>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</si>
  <si>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</si>
  <si>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</si>
  <si>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</si>
  <si>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</si>
  <si>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</si>
  <si>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</si>
  <si>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</si>
  <si>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</si>
  <si>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</si>
  <si>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</si>
  <si>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</si>
  <si>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</si>
  <si>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</si>
  <si>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</si>
  <si>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</si>
  <si>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</si>
  <si>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</si>
  <si>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</si>
  <si>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</si>
  <si>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</si>
  <si>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</si>
  <si>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</si>
  <si>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</si>
  <si>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</si>
  <si>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</si>
  <si>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</si>
  <si>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</si>
  <si>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</si>
  <si>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</si>
  <si>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</si>
  <si>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</si>
  <si>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</si>
  <si>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</si>
  <si>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</si>
  <si>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</si>
  <si>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</si>
  <si>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</si>
  <si>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</si>
  <si>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</si>
  <si>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</si>
  <si>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</si>
  <si>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</si>
  <si>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</si>
  <si>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</si>
  <si>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</si>
  <si>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</si>
  <si>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</si>
  <si>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</si>
  <si>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</si>
  <si>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</si>
  <si>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</si>
  <si>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</si>
  <si>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</si>
  <si>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</si>
  <si>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</si>
  <si>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</si>
  <si>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</si>
  <si>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</si>
  <si>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</si>
  <si>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</si>
  <si>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</si>
  <si>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</si>
  <si>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</si>
  <si>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</si>
  <si>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</si>
  <si>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</si>
  <si>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</si>
  <si>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</si>
  <si>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</si>
  <si>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</si>
  <si>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</si>
  <si>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</si>
  <si>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</si>
  <si>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</si>
  <si>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</si>
  <si>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</si>
  <si>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</si>
  <si>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</si>
  <si>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</si>
  <si>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</si>
  <si>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</si>
  <si>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</si>
  <si>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</si>
  <si>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</si>
  <si>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</si>
  <si>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</si>
  <si>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</si>
  <si>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</si>
  <si>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</si>
  <si>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</si>
  <si>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</si>
  <si>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</si>
  <si>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</si>
  <si>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</si>
  <si>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</si>
  <si>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</si>
  <si>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</si>
  <si>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</si>
  <si>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</si>
  <si>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</si>
  <si>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</si>
  <si>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</si>
  <si>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</si>
  <si>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</si>
  <si>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</si>
  <si>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</si>
  <si>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</si>
  <si>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</si>
  <si>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</si>
  <si>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</si>
  <si>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</si>
  <si>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</si>
  <si>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</si>
  <si>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</si>
  <si>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</si>
  <si>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</si>
  <si>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</si>
  <si>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</si>
  <si>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</si>
  <si>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</si>
  <si>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</si>
  <si>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</si>
  <si>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</si>
  <si>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</si>
  <si>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</si>
  <si>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</si>
  <si>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</si>
  <si>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</si>
  <si>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</si>
  <si>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</si>
  <si>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</si>
  <si>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</si>
  <si>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</si>
  <si>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</si>
  <si>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</si>
  <si>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</si>
  <si>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</si>
  <si>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</si>
  <si>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</si>
  <si>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</si>
  <si>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</si>
  <si>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</si>
  <si>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</si>
  <si>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</si>
  <si>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</si>
  <si>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</si>
  <si>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</si>
  <si>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</si>
  <si>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</si>
  <si>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</si>
  <si>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</si>
  <si>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</si>
  <si>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</si>
  <si>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</si>
  <si>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</si>
  <si>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</si>
  <si>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</si>
  <si>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</si>
  <si>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</si>
  <si>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</si>
  <si>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</si>
  <si>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</si>
  <si>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</si>
  <si>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</si>
  <si>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</si>
  <si>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</si>
  <si>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</si>
  <si>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</si>
  <si>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</si>
  <si>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</si>
  <si>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</si>
  <si>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</si>
  <si>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</si>
  <si>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</si>
  <si>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</si>
  <si>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</si>
  <si>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</si>
  <si>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</si>
  <si>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</si>
  <si>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</si>
  <si>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</si>
  <si>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</si>
  <si>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</si>
  <si>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</si>
  <si>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</si>
  <si>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</si>
  <si>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</si>
  <si>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</si>
  <si>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</si>
  <si>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</si>
  <si>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</si>
  <si>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</si>
  <si>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</si>
  <si>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</si>
  <si>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</si>
  <si>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</si>
  <si>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</si>
  <si>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</si>
  <si>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</si>
  <si>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</si>
  <si>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</si>
  <si>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</si>
  <si>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</si>
  <si>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</si>
  <si>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</si>
  <si>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</si>
  <si>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</si>
  <si>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</si>
  <si>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</si>
  <si>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</si>
  <si>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</si>
  <si>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</si>
  <si>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</si>
  <si>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</si>
  <si>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</si>
  <si>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</si>
  <si>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</si>
  <si>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</si>
  <si>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</si>
  <si>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</si>
  <si>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</si>
  <si>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</si>
  <si>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</si>
  <si>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</si>
  <si>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</si>
  <si>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</si>
  <si>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</si>
  <si>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</si>
  <si>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</si>
  <si>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</si>
  <si>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</si>
  <si>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</si>
  <si>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</si>
  <si>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</si>
  <si>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</si>
  <si>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</si>
  <si>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</si>
  <si>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</si>
  <si>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</si>
  <si>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</si>
  <si>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</si>
  <si>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</si>
  <si>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</si>
  <si>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</si>
  <si>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</si>
  <si>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</si>
  <si>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</si>
  <si>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</si>
  <si>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</si>
  <si>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</si>
  <si>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</si>
  <si>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</si>
  <si>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</si>
  <si>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</si>
  <si>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</si>
  <si>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</si>
  <si>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</si>
  <si>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</si>
  <si>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</si>
  <si>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</si>
  <si>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</si>
  <si>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</si>
  <si>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</si>
  <si>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</si>
  <si>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</si>
  <si>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</si>
  <si>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</si>
  <si>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</si>
  <si>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</si>
  <si>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</si>
  <si>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</si>
  <si>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</si>
  <si>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</si>
  <si>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</si>
  <si>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</si>
  <si>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</si>
  <si>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</si>
  <si>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</si>
  <si>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</si>
  <si>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</si>
  <si>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</si>
  <si>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</si>
  <si>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</si>
  <si>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</si>
  <si>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</si>
  <si>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</si>
  <si>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</si>
  <si>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</si>
  <si>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</si>
  <si>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</si>
  <si>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</si>
  <si>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</si>
  <si>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</si>
  <si>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</si>
  <si>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</si>
  <si>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</si>
  <si>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</si>
  <si>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</si>
  <si>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</si>
  <si>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</si>
  <si>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</si>
  <si>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</si>
  <si>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</si>
  <si>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</si>
  <si>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</si>
  <si>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</si>
  <si>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</si>
  <si>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</si>
  <si>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</si>
  <si>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</si>
  <si>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</si>
  <si>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</si>
  <si>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</si>
  <si>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</si>
  <si>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</si>
  <si>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</si>
  <si>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</si>
  <si>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</si>
  <si>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</si>
  <si>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</si>
  <si>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</si>
  <si>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</si>
  <si>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</si>
  <si>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</si>
  <si>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</si>
  <si>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</si>
  <si>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</si>
  <si>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</si>
  <si>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</si>
  <si>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</si>
  <si>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</si>
  <si>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</si>
  <si>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</si>
  <si>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</si>
  <si>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</si>
  <si>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</si>
  <si>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</si>
  <si>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</si>
  <si>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</si>
  <si>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</si>
  <si>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</si>
  <si>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</si>
  <si>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</si>
  <si>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</si>
  <si>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</si>
  <si>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</si>
  <si>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</si>
  <si>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</si>
  <si>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</si>
  <si>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</si>
  <si>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</si>
  <si>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</si>
  <si>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</si>
  <si>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</si>
  <si>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</si>
  <si>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</si>
  <si>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</si>
  <si>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</si>
  <si>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</si>
  <si>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</si>
  <si>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</si>
  <si>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</si>
  <si>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</si>
  <si>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</si>
  <si>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</si>
  <si>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</si>
  <si>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</si>
  <si>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</si>
  <si>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</si>
  <si>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</si>
  <si>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</si>
  <si>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</si>
  <si>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</si>
  <si>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</si>
  <si>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</si>
  <si>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</si>
  <si>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</si>
  <si>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</si>
  <si>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</si>
  <si>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</si>
  <si>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</si>
  <si>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</si>
  <si>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</si>
  <si>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</si>
  <si>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</si>
  <si>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</si>
  <si>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</si>
  <si>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</si>
  <si>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</si>
  <si>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</si>
  <si>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</si>
  <si>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</si>
  <si>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</si>
  <si>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</si>
  <si>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</si>
  <si>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</si>
  <si>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</si>
  <si>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</si>
  <si>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</si>
  <si>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</si>
  <si>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</si>
  <si>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</si>
  <si>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</si>
  <si>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</si>
  <si>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</si>
  <si>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</si>
  <si>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</si>
  <si>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</si>
  <si>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</si>
  <si>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</si>
  <si>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</si>
  <si>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</si>
  <si>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</si>
  <si>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</si>
  <si>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</si>
  <si>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</si>
  <si>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</si>
  <si>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</si>
  <si>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</si>
  <si>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</si>
  <si>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</si>
  <si>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</si>
  <si>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</si>
  <si>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</si>
  <si>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</si>
  <si>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</si>
  <si>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</si>
  <si>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</si>
  <si>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</si>
  <si>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</si>
  <si>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</si>
  <si>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</si>
  <si>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</si>
  <si>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</si>
  <si>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</si>
  <si>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</si>
  <si>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</si>
  <si>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</si>
  <si>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</si>
  <si>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</si>
  <si>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</si>
  <si>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</si>
  <si>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</si>
  <si>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</si>
  <si>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</si>
  <si>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</si>
  <si>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</si>
  <si>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</si>
  <si>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</si>
  <si>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</si>
  <si>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</si>
  <si>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</si>
  <si>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</si>
  <si>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</si>
  <si>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</si>
  <si>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</si>
  <si>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</si>
  <si>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</si>
  <si>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</si>
  <si>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</si>
  <si>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</si>
  <si>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</si>
  <si>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</si>
  <si>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</si>
  <si>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</si>
  <si>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</si>
  <si>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</si>
  <si>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</si>
  <si>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</si>
  <si>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</si>
  <si>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</si>
  <si>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</si>
  <si>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</si>
  <si>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</si>
  <si>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</si>
  <si>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</si>
  <si>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</si>
  <si>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</si>
  <si>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</si>
  <si>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</si>
  <si>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</si>
  <si>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</si>
  <si>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</si>
  <si>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</si>
  <si>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</si>
  <si>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</si>
  <si>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</si>
  <si>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</si>
  <si>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</si>
  <si>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</si>
  <si>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</si>
  <si>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</si>
  <si>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</si>
  <si>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</si>
  <si>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</si>
  <si>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</si>
  <si>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</si>
  <si>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</si>
  <si>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</si>
  <si>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</si>
  <si>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</si>
  <si>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</si>
  <si>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</si>
  <si>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</si>
  <si>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</si>
  <si>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</si>
  <si>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</si>
  <si>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</si>
  <si>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</si>
  <si>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</si>
  <si>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</si>
  <si>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</si>
  <si>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</si>
  <si>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</si>
  <si>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</si>
  <si>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</si>
  <si>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</si>
  <si>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</si>
  <si>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</si>
  <si>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</si>
  <si>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</si>
  <si>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</si>
  <si>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</si>
  <si>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</si>
  <si>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</si>
  <si>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</si>
  <si>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</si>
  <si>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</si>
  <si>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</si>
  <si>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</si>
  <si>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</si>
  <si>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</si>
  <si>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</si>
  <si>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</si>
  <si>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</si>
  <si>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</si>
  <si>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</si>
  <si>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</si>
  <si>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</si>
  <si>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</si>
  <si>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</si>
  <si>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</si>
  <si>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</si>
  <si>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</si>
  <si>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</si>
  <si>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</si>
  <si>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</si>
  <si>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</si>
  <si>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</si>
  <si>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</si>
  <si>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</si>
  <si>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</si>
  <si>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</si>
  <si>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</si>
  <si>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</si>
  <si>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</si>
  <si>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</si>
  <si>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</si>
  <si>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</si>
  <si>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</si>
  <si>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</si>
  <si>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</si>
  <si>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</si>
  <si>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</si>
  <si>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</si>
  <si>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</si>
  <si>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</si>
  <si>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</si>
  <si>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</si>
  <si>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</si>
  <si>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</si>
  <si>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</si>
  <si>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</si>
  <si>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</si>
  <si>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</si>
  <si>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</si>
  <si>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</si>
  <si>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</si>
  <si>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</si>
  <si>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</si>
  <si>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</si>
  <si>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</si>
  <si>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</si>
  <si>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</si>
  <si>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</si>
  <si>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</si>
  <si>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</si>
  <si>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</si>
  <si>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</si>
  <si>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</si>
  <si>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</si>
  <si>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</si>
  <si>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</si>
  <si>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</si>
  <si>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</si>
  <si>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</si>
  <si>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</si>
  <si>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</si>
  <si>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</si>
  <si>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</si>
  <si>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</si>
  <si>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</si>
  <si>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</si>
  <si>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</si>
  <si>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</si>
  <si>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</si>
  <si>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</si>
  <si>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</si>
  <si>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</si>
  <si>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</si>
  <si>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</si>
  <si>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</si>
  <si>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</si>
  <si>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</si>
  <si>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</si>
  <si>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</si>
  <si>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</si>
  <si>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</si>
  <si>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</si>
  <si>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</si>
  <si>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</si>
  <si>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</si>
  <si>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</si>
  <si>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</si>
  <si>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</si>
  <si>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</si>
  <si>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</si>
  <si>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</si>
  <si>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</si>
  <si>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</si>
  <si>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</si>
  <si>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</si>
  <si>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</si>
  <si>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</si>
  <si>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</si>
  <si>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</si>
  <si>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</si>
  <si>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</si>
  <si>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</si>
  <si>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</si>
  <si>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</si>
  <si>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</si>
  <si>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</si>
  <si>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</si>
  <si>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</si>
  <si>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</si>
  <si>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</si>
  <si>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</si>
  <si>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</si>
  <si>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</si>
  <si>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</si>
  <si>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</si>
  <si>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</si>
  <si>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</si>
  <si>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</si>
  <si>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</si>
  <si>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</si>
  <si>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</si>
  <si>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</si>
  <si>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</si>
  <si>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</si>
  <si>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</si>
  <si>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</si>
  <si>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</si>
  <si>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</si>
  <si>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</si>
  <si>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</si>
  <si>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</si>
  <si>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</si>
  <si>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</si>
  <si>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</si>
  <si>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</si>
  <si>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</si>
  <si>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</si>
  <si>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</si>
  <si>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</si>
  <si>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</si>
  <si>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</si>
  <si>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</si>
  <si>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</si>
  <si>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</si>
  <si>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</si>
  <si>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</si>
  <si>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</si>
  <si>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</si>
  <si>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</si>
  <si>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</si>
  <si>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</si>
  <si>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</si>
  <si>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</si>
  <si>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</si>
  <si>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</si>
  <si>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</si>
  <si>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</si>
  <si>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</si>
  <si>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</si>
  <si>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</si>
  <si>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</si>
  <si>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</si>
  <si>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</si>
  <si>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</si>
  <si>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</si>
  <si>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</si>
  <si>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</si>
  <si>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</si>
  <si>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</si>
  <si>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</si>
  <si>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</si>
  <si>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</si>
  <si>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</si>
  <si>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</si>
  <si>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</si>
  <si>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</si>
  <si>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</si>
  <si>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</si>
  <si>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</si>
  <si>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</si>
  <si>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</si>
  <si>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</si>
  <si>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</si>
  <si>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</si>
  <si>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</si>
  <si>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</si>
  <si>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</si>
  <si>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</si>
  <si>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</si>
  <si>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</si>
  <si>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</si>
  <si>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</si>
  <si>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</si>
  <si>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</si>
  <si>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</si>
  <si>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</si>
  <si>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</si>
  <si>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</si>
  <si>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</si>
  <si>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</si>
  <si>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</si>
  <si>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</si>
  <si>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</si>
  <si>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</si>
  <si>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</si>
  <si>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</si>
  <si>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</si>
  <si>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</si>
  <si>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</si>
  <si>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</si>
  <si>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</si>
  <si>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</si>
  <si>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</si>
  <si>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</si>
  <si>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</si>
  <si>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</si>
  <si>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</si>
  <si>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</si>
  <si>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</si>
  <si>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</si>
  <si>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</si>
  <si>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</si>
  <si>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</si>
  <si>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</si>
  <si>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</si>
  <si>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</si>
  <si>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</si>
  <si>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</si>
  <si>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</si>
  <si>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</si>
  <si>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</si>
  <si>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</si>
  <si>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</si>
  <si>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</si>
  <si>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</si>
  <si>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</si>
  <si>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</si>
  <si>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</si>
  <si>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</si>
  <si>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</si>
  <si>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</si>
  <si>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</si>
  <si>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</si>
  <si>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</si>
  <si>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</si>
  <si>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</si>
  <si>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</si>
  <si>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</si>
  <si>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</si>
  <si>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</si>
  <si>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</si>
  <si>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</si>
  <si>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</si>
  <si>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</si>
  <si>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</si>
  <si>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</si>
  <si>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</si>
  <si>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</si>
  <si>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</si>
  <si>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</si>
  <si>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</si>
  <si>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</si>
  <si>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</si>
  <si>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</si>
  <si>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</si>
  <si>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</si>
  <si>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</si>
  <si>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</si>
  <si>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</si>
  <si>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</si>
  <si>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</si>
  <si>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</si>
  <si>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</si>
  <si>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</si>
  <si>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</si>
  <si>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</si>
  <si>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</si>
  <si>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</si>
  <si>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</si>
  <si>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</si>
  <si>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</si>
  <si>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</si>
  <si>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</si>
  <si>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</si>
  <si>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</si>
  <si>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</si>
  <si>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</si>
  <si>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</si>
  <si>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</si>
  <si>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</si>
  <si>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</si>
  <si>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</si>
  <si>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</si>
  <si>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</si>
  <si>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</si>
  <si>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</si>
  <si>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</si>
  <si>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</si>
  <si>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</si>
  <si>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</si>
  <si>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</si>
  <si>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</si>
  <si>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</si>
  <si>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</si>
  <si>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</si>
  <si>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</si>
  <si>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</si>
  <si>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</si>
  <si>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</si>
  <si>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</si>
  <si>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</si>
  <si>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</si>
  <si>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</si>
  <si>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</si>
  <si>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</si>
  <si>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</si>
  <si>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</si>
  <si>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</si>
  <si>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</si>
  <si>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</si>
  <si>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</si>
  <si>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</si>
  <si>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</si>
  <si>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</si>
  <si>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</si>
  <si>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</si>
  <si>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</si>
  <si>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</si>
  <si>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</si>
  <si>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</si>
  <si>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</si>
  <si>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</si>
  <si>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</si>
  <si>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</si>
  <si>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</si>
  <si>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</si>
  <si>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</si>
  <si>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</si>
  <si>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</si>
  <si>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</si>
  <si>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</si>
  <si>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</si>
  <si>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</si>
  <si>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</si>
  <si>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</si>
  <si>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</si>
  <si>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</si>
  <si>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</si>
  <si>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</si>
  <si>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</si>
  <si>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</si>
  <si>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</si>
  <si>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</si>
  <si>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</si>
  <si>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</si>
  <si>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</si>
  <si>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</si>
  <si>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</si>
  <si>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</si>
  <si>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</si>
  <si>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</si>
  <si>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</si>
  <si>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</si>
  <si>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</si>
  <si>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</si>
  <si>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</si>
  <si>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</si>
  <si>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</si>
  <si>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</si>
  <si>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</si>
  <si>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</si>
  <si>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</si>
  <si>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</si>
  <si>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</si>
  <si>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</si>
  <si>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</si>
  <si>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</si>
  <si>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</si>
  <si>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</si>
  <si>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</si>
  <si>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</si>
  <si>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</si>
  <si>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</si>
  <si>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</si>
  <si>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</si>
  <si>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</si>
  <si>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</si>
  <si>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</si>
  <si>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</si>
  <si>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</si>
  <si>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</si>
  <si>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</si>
  <si>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</si>
  <si>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</si>
  <si>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</si>
  <si>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</si>
  <si>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</si>
  <si>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</si>
  <si>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</si>
  <si>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</si>
  <si>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</si>
  <si>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</si>
  <si>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</si>
  <si>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</si>
  <si>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</si>
  <si>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</si>
  <si>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</si>
  <si>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</si>
  <si>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</si>
  <si>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</si>
  <si>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</si>
  <si>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</si>
  <si>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</si>
  <si>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</si>
  <si>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</si>
  <si>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</si>
  <si>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</si>
  <si>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</si>
  <si>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</si>
  <si>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</si>
  <si>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</si>
  <si>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</si>
  <si>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</si>
  <si>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</si>
  <si>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</si>
  <si>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</si>
  <si>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</si>
  <si>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</si>
  <si>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</si>
  <si>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</si>
  <si>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</si>
  <si>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</si>
  <si>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</si>
  <si>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</si>
  <si>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</si>
  <si>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</si>
  <si>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</si>
  <si>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</si>
  <si>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</si>
  <si>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</si>
  <si>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</si>
  <si>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</si>
  <si>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</si>
  <si>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</si>
  <si>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</si>
  <si>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</si>
  <si>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</si>
  <si>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</si>
  <si>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</si>
  <si>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</si>
  <si>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</si>
  <si>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</si>
  <si>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</si>
  <si>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</si>
  <si>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</si>
  <si>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</si>
  <si>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</si>
  <si>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</si>
  <si>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</si>
  <si>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</si>
  <si>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</si>
  <si>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</si>
  <si>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</si>
  <si>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</si>
  <si>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</si>
  <si>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</si>
  <si>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</si>
  <si>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</si>
  <si>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</si>
  <si>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</si>
  <si>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</si>
  <si>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</si>
  <si>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</si>
  <si>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</si>
  <si>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</si>
  <si>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</si>
  <si>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</si>
  <si>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</si>
  <si>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</si>
  <si>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</si>
  <si>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</si>
  <si>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</si>
  <si>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</si>
  <si>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</si>
  <si>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</si>
  <si>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</si>
  <si>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</si>
  <si>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</si>
  <si>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</si>
  <si>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</si>
  <si>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</si>
  <si>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</si>
  <si>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</si>
  <si>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</si>
  <si>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</si>
  <si>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</si>
  <si>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</si>
  <si>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</si>
  <si>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</si>
  <si>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</si>
  <si>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</si>
  <si>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</si>
  <si>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</si>
  <si>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</si>
  <si>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</si>
  <si>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</si>
  <si>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</si>
  <si>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</si>
  <si>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</si>
  <si>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</si>
  <si>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</si>
  <si>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</si>
  <si>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</si>
  <si>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</si>
  <si>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</si>
  <si>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</si>
  <si>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</si>
  <si>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</si>
  <si>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</si>
  <si>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</si>
  <si>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</si>
  <si>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</si>
  <si>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</si>
  <si>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</si>
  <si>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</si>
  <si>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</si>
  <si>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</si>
  <si>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</si>
  <si>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</si>
  <si>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</si>
  <si>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</si>
  <si>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</si>
  <si>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</si>
  <si>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</si>
  <si>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</si>
  <si>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</si>
  <si>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</si>
  <si>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</si>
  <si>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</si>
  <si>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</si>
  <si>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</si>
  <si>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</si>
  <si>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</si>
  <si>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</si>
  <si>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</si>
  <si>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</si>
  <si>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</si>
  <si>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</si>
  <si>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</si>
  <si>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</si>
  <si>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</si>
  <si>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</si>
  <si>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</si>
  <si>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</si>
  <si>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</si>
  <si>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</si>
  <si>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</si>
  <si>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</si>
  <si>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</si>
  <si>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</si>
  <si>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</si>
  <si>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</si>
  <si>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</si>
  <si>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</si>
  <si>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</si>
  <si>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</si>
  <si>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</si>
  <si>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</si>
  <si>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</si>
  <si>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</si>
  <si>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</si>
  <si>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</si>
  <si>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</si>
  <si>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</si>
  <si>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</si>
  <si>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</si>
  <si>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</si>
  <si>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</si>
  <si>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</si>
  <si>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</si>
  <si>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</si>
  <si>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</si>
  <si>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</si>
  <si>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</si>
  <si>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</si>
  <si>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</si>
  <si>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</si>
  <si>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</si>
  <si>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</si>
  <si>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</si>
  <si>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</si>
  <si>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</si>
  <si>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</si>
  <si>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</si>
  <si>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</si>
  <si>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</si>
  <si>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</si>
  <si>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</si>
  <si>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</si>
  <si>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</si>
  <si>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</si>
  <si>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</si>
  <si>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</si>
  <si>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</si>
  <si>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</si>
  <si>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</si>
  <si>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</si>
  <si>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</si>
  <si>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</si>
  <si>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</si>
  <si>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</si>
  <si>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</si>
  <si>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</si>
  <si>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</si>
  <si>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</si>
  <si>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</si>
  <si>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</si>
  <si>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</si>
  <si>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</si>
  <si>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</si>
  <si>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</si>
  <si>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</si>
  <si>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</si>
  <si>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</si>
  <si>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</si>
  <si>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</si>
  <si>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</si>
  <si>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</si>
  <si>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</si>
  <si>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</si>
  <si>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</si>
  <si>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</si>
  <si>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</si>
  <si>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</si>
  <si>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</si>
  <si>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</si>
  <si>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</si>
  <si>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</si>
  <si>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</si>
  <si>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</si>
  <si>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</si>
  <si>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</si>
  <si>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</si>
  <si>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</si>
  <si>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</si>
  <si>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</si>
  <si>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</si>
  <si>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</si>
  <si>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</si>
  <si>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</si>
  <si>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</si>
  <si>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</si>
  <si>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</si>
  <si>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</si>
  <si>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</si>
  <si>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</si>
  <si>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</si>
  <si>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</si>
  <si>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</si>
  <si>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</si>
  <si>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</si>
  <si>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</si>
  <si>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</si>
  <si>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</si>
  <si>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</si>
  <si>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</si>
  <si>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</si>
  <si>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</si>
  <si>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</si>
  <si>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</si>
  <si>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</si>
  <si>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</si>
  <si>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</si>
  <si>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</si>
  <si>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</si>
  <si>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</si>
  <si>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</si>
  <si>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</si>
  <si>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</si>
  <si>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</si>
  <si>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</si>
  <si>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</si>
  <si>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</si>
  <si>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</si>
  <si>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</si>
  <si>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</si>
  <si>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</si>
  <si>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</si>
  <si>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</si>
  <si>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</si>
  <si>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</si>
  <si>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</si>
  <si>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</si>
  <si>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</si>
  <si>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</si>
  <si>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</si>
  <si>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</si>
  <si>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</si>
  <si>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</si>
  <si>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</si>
  <si>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</si>
  <si>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</si>
  <si>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</si>
  <si>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</si>
  <si>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</si>
  <si>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</si>
  <si>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</si>
  <si>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</si>
  <si>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</si>
  <si>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</si>
  <si>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</si>
  <si>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</si>
  <si>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</si>
  <si>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</si>
  <si>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</si>
  <si>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</si>
  <si>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</si>
  <si>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</si>
  <si>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</si>
  <si>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</si>
  <si>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</si>
  <si>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</si>
  <si>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</si>
  <si>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</si>
  <si>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</si>
  <si>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</si>
  <si>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</si>
  <si>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</si>
  <si>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</si>
  <si>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</si>
  <si>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</si>
  <si>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</si>
  <si>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</si>
  <si>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</si>
  <si>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</si>
  <si>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</si>
  <si>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</si>
  <si>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</si>
  <si>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</si>
  <si>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</si>
  <si>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</si>
  <si>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</si>
  <si>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</si>
  <si>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</si>
  <si>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</si>
  <si>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</si>
  <si>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</si>
  <si>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</si>
  <si>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</si>
  <si>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</si>
  <si>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</si>
  <si>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</si>
  <si>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</si>
  <si>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</si>
  <si>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</si>
  <si>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</si>
  <si>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</si>
  <si>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</si>
  <si>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</si>
  <si>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</si>
  <si>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</si>
  <si>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</si>
  <si>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</si>
  <si>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</si>
  <si>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</si>
  <si>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</si>
  <si>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</si>
  <si>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</si>
  <si>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</si>
  <si>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</si>
  <si>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</si>
  <si>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</si>
  <si>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</si>
  <si>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</si>
  <si>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</si>
  <si>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</si>
  <si>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</si>
  <si>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</si>
  <si>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</si>
  <si>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</si>
  <si>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</si>
  <si>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</si>
  <si>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</si>
  <si>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</si>
  <si>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</si>
  <si>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</si>
  <si>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</si>
  <si>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</si>
  <si>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</si>
  <si>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</si>
  <si>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</si>
  <si>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</si>
  <si>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</si>
  <si>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</si>
  <si>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</si>
  <si>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</si>
  <si>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</si>
  <si>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</si>
  <si>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</si>
  <si>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</si>
  <si>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</si>
  <si>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</si>
  <si>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</si>
  <si>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</si>
  <si>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</si>
  <si>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</si>
  <si>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</si>
  <si>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</si>
  <si>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</si>
  <si>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</si>
  <si>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</si>
  <si>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</si>
  <si>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</si>
  <si>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</si>
  <si>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</si>
  <si>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</si>
  <si>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</si>
  <si>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</si>
  <si>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</si>
  <si>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</si>
  <si>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</si>
  <si>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</si>
  <si>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</si>
  <si>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</si>
  <si>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</si>
  <si>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</si>
  <si>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</si>
  <si>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</si>
  <si>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</si>
  <si>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</si>
  <si>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</si>
  <si>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</si>
  <si>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</si>
  <si>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</si>
  <si>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</si>
  <si>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</si>
  <si>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</si>
  <si>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</si>
  <si>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</si>
  <si>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</si>
  <si>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</si>
  <si>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</si>
  <si>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</si>
  <si>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</si>
  <si>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</si>
  <si>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</si>
  <si>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</si>
  <si>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</si>
  <si>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</si>
  <si>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</si>
  <si>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</si>
  <si>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</si>
  <si>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</si>
  <si>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</si>
  <si>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</si>
  <si>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</si>
  <si>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</si>
  <si>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</si>
  <si>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</si>
  <si>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</si>
  <si>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</si>
  <si>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</si>
  <si>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</si>
  <si>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</si>
  <si>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</si>
  <si>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</si>
  <si>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</si>
  <si>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</si>
  <si>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</si>
  <si>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</si>
  <si>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</si>
  <si>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</si>
  <si>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</si>
  <si>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</si>
  <si>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</si>
  <si>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</si>
  <si>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</si>
  <si>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</si>
  <si>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</si>
  <si>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</si>
  <si>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</si>
  <si>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</si>
  <si>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</si>
  <si>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</si>
  <si>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</si>
  <si>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</si>
  <si>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</si>
  <si>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</si>
  <si>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</si>
  <si>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</si>
  <si>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</si>
  <si>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</si>
  <si>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</si>
  <si>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</si>
  <si>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</si>
  <si>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</si>
  <si>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</si>
  <si>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</si>
  <si>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</si>
  <si>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</si>
  <si>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</si>
  <si>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</si>
  <si>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</si>
  <si>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</si>
  <si>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</si>
  <si>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</si>
  <si>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</si>
  <si>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</si>
  <si>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</si>
  <si>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</si>
  <si>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</si>
  <si>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</si>
  <si>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</si>
  <si>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</si>
  <si>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</si>
  <si>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</si>
  <si>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</si>
  <si>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</si>
  <si>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</si>
  <si>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</si>
  <si>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</si>
  <si>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</si>
  <si>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</si>
  <si>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</si>
  <si>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</si>
  <si>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</si>
  <si>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</si>
  <si>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</si>
  <si>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</si>
  <si>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</si>
  <si>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</si>
  <si>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</si>
  <si>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</si>
  <si>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</si>
  <si>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</si>
  <si>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</si>
  <si>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</si>
  <si>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</si>
  <si>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</si>
  <si>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</si>
  <si>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</si>
  <si>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</si>
  <si>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</si>
  <si>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</si>
  <si>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</si>
  <si>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</si>
  <si>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</si>
  <si>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</si>
  <si>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</si>
  <si>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</si>
  <si>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</si>
  <si>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</si>
  <si>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</si>
  <si>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</si>
  <si>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</si>
  <si>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</si>
  <si>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</si>
  <si>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</si>
  <si>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</si>
  <si>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</si>
  <si>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</si>
  <si>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</si>
  <si>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</si>
  <si>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</si>
  <si>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</si>
  <si>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</si>
  <si>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</si>
  <si>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</si>
  <si>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</si>
  <si>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</si>
  <si>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</si>
  <si>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</si>
  <si>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</si>
  <si>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</si>
  <si>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</si>
  <si>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</si>
  <si>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</si>
  <si>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</si>
  <si>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</si>
  <si>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</si>
  <si>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</si>
  <si>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</si>
  <si>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</si>
  <si>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</si>
  <si>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</si>
  <si>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</si>
  <si>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</si>
  <si>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</si>
  <si>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</si>
  <si>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</si>
  <si>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</si>
  <si>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</si>
  <si>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</si>
  <si>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</si>
  <si>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</si>
  <si>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</si>
  <si>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</si>
  <si>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</si>
  <si>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</si>
  <si>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</si>
  <si>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</si>
  <si>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</si>
  <si>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</si>
  <si>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</si>
  <si>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</si>
  <si>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</si>
  <si>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</si>
  <si>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</si>
  <si>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</si>
  <si>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</si>
  <si>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</si>
  <si>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</si>
  <si>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</si>
  <si>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</si>
  <si>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</si>
  <si>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</si>
  <si>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</si>
  <si>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</si>
  <si>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</si>
  <si>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</si>
  <si>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</si>
  <si>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</si>
  <si>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</si>
  <si>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</si>
  <si>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</si>
  <si>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</si>
  <si>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</si>
  <si>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</si>
  <si>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</si>
  <si>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</si>
  <si>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</si>
  <si>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</si>
  <si>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</si>
  <si>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</si>
  <si>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</si>
  <si>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</si>
  <si>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</si>
  <si>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</si>
  <si>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</si>
  <si>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</si>
  <si>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</si>
  <si>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</si>
  <si>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</si>
  <si>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</si>
  <si>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</si>
  <si>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</si>
  <si>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</si>
  <si>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</si>
  <si>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</si>
  <si>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</si>
  <si>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</si>
  <si>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</si>
  <si>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</si>
  <si>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</si>
  <si>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</si>
  <si>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</si>
  <si>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</si>
  <si>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</si>
  <si>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</si>
  <si>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</si>
  <si>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</si>
  <si>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</si>
  <si>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</si>
  <si>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</si>
  <si>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</si>
  <si>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</si>
  <si>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</si>
  <si>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</si>
  <si>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</si>
  <si>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</si>
  <si>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</si>
  <si>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</si>
  <si>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</si>
  <si>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</si>
  <si>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</si>
  <si>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</si>
  <si>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</si>
  <si>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</si>
  <si>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</si>
  <si>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</si>
  <si>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</si>
  <si>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</si>
  <si>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</si>
  <si>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</si>
  <si>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</si>
  <si>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</si>
  <si>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</si>
  <si>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</si>
  <si>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</si>
  <si>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</si>
  <si>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</si>
  <si>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</si>
  <si>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</si>
  <si>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</si>
  <si>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</si>
  <si>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</si>
  <si>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</si>
  <si>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</si>
  <si>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</si>
  <si>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</si>
  <si>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</si>
  <si>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</si>
  <si>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</si>
  <si>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</si>
  <si>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</si>
  <si>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</si>
  <si>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</si>
  <si>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</si>
  <si>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</si>
  <si>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</si>
  <si>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</si>
  <si>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</si>
  <si>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</si>
  <si>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</si>
  <si>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</si>
  <si>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</si>
  <si>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</si>
  <si>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</si>
  <si>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</si>
  <si>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</si>
  <si>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</si>
  <si>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</si>
  <si>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</si>
  <si>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</si>
  <si>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</si>
  <si>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</si>
  <si>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</si>
  <si>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</si>
  <si>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</si>
  <si>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</si>
  <si>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</si>
  <si>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</si>
  <si>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</si>
  <si>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</si>
  <si>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</si>
  <si>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</si>
  <si>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</si>
  <si>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</si>
  <si>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</si>
  <si>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</si>
  <si>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</si>
  <si>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</si>
  <si>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</si>
  <si>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</si>
  <si>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</si>
  <si>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</si>
  <si>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</si>
  <si>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</si>
  <si>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</si>
  <si>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</si>
  <si>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</si>
  <si>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</si>
  <si>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</si>
  <si>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</si>
  <si>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</si>
  <si>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</si>
  <si>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</si>
  <si>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</si>
  <si>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</si>
  <si>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</si>
  <si>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</si>
  <si>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</si>
  <si>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</si>
  <si>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</si>
  <si>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</si>
  <si>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</si>
  <si>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</si>
  <si>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</si>
  <si>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</si>
  <si>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</si>
  <si>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</si>
  <si>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</si>
  <si>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</si>
  <si>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</si>
  <si>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</si>
  <si>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</si>
  <si>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</si>
  <si>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</si>
  <si>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</si>
  <si>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</si>
  <si>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</si>
  <si>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</si>
  <si>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</si>
  <si>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</si>
  <si>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</si>
  <si>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</si>
  <si>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</si>
  <si>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</si>
  <si>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</si>
  <si>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</si>
  <si>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</si>
  <si>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</si>
  <si>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</si>
  <si>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</si>
  <si>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</si>
  <si>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</si>
  <si>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</si>
  <si>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</si>
  <si>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</si>
  <si>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</si>
  <si>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</si>
  <si>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</si>
  <si>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</si>
  <si>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</si>
  <si>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</si>
  <si>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</si>
  <si>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</si>
  <si>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</si>
  <si>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</si>
  <si>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</si>
  <si>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</si>
  <si>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</si>
  <si>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</si>
  <si>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</si>
  <si>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</si>
  <si>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</si>
  <si>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</si>
  <si>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</si>
  <si>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</si>
  <si>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</si>
  <si>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</si>
  <si>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</si>
  <si>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</si>
  <si>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</si>
  <si>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</si>
  <si>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</si>
  <si>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</si>
  <si>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</si>
  <si>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</si>
  <si>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</si>
  <si>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</si>
  <si>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</si>
  <si>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</si>
  <si>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</si>
  <si>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</si>
  <si>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</si>
  <si>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</si>
  <si>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</si>
  <si>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</si>
  <si>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</si>
  <si>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</si>
  <si>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</si>
  <si>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</si>
  <si>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</si>
  <si>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</si>
  <si>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</si>
  <si>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</si>
  <si>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</si>
  <si>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</si>
  <si>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</si>
  <si>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</si>
  <si>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</si>
  <si>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</si>
  <si>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</si>
  <si>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</si>
  <si>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</si>
  <si>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</si>
  <si>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</si>
  <si>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</si>
  <si>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</si>
  <si>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</si>
  <si>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</si>
  <si>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</si>
  <si>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</si>
  <si>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</si>
  <si>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</si>
  <si>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</si>
  <si>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</si>
  <si>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</si>
  <si>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</si>
  <si>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</si>
  <si>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</si>
  <si>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</si>
  <si>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</si>
  <si>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</si>
  <si>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</si>
  <si>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</si>
  <si>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</si>
  <si>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</si>
  <si>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</si>
  <si>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</si>
  <si>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</si>
  <si>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</si>
  <si>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</si>
  <si>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</si>
  <si>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</si>
  <si>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</si>
  <si>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</si>
  <si>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</si>
  <si>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</si>
  <si>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</si>
  <si>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</si>
  <si>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</si>
  <si>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</si>
  <si>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</si>
  <si>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</si>
  <si>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</si>
  <si>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</si>
  <si>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</si>
  <si>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</si>
  <si>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</si>
  <si>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</si>
  <si>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</si>
  <si>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</si>
  <si>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</si>
  <si>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</si>
  <si>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</si>
  <si>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</si>
  <si>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</si>
  <si>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</si>
  <si>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</si>
  <si>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</si>
  <si>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</si>
  <si>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</si>
  <si>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</si>
  <si>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</si>
  <si>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</si>
  <si>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</si>
  <si>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</si>
  <si>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</si>
  <si>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</si>
  <si>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</si>
  <si>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</si>
  <si>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</si>
  <si>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</si>
  <si>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</si>
  <si>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</si>
  <si>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</si>
  <si>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</si>
  <si>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</si>
  <si>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</si>
  <si>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</si>
  <si>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</si>
  <si>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</si>
  <si>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</si>
  <si>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</si>
  <si>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</si>
  <si>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</si>
  <si>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</si>
  <si>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</si>
  <si>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</si>
  <si>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</si>
  <si>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</si>
  <si>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</si>
  <si>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</si>
  <si>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</si>
  <si>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</si>
  <si>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</si>
  <si>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</si>
  <si>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</si>
  <si>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</si>
  <si>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</si>
  <si>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</si>
  <si>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</si>
  <si>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</si>
  <si>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</si>
  <si>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</si>
  <si>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</si>
  <si>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</si>
  <si>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</si>
  <si>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</si>
  <si>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</si>
  <si>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</si>
  <si>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</si>
  <si>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</si>
  <si>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</si>
  <si>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</si>
  <si>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</si>
  <si>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</si>
  <si>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</si>
  <si>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</si>
  <si>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</si>
  <si>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</si>
  <si>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</si>
  <si>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</si>
  <si>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</si>
  <si>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</si>
  <si>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</si>
  <si>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</si>
  <si>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</si>
  <si>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</si>
  <si>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</si>
  <si>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</si>
  <si>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</si>
  <si>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</si>
  <si>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</si>
  <si>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</si>
  <si>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</si>
  <si>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</si>
  <si>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</si>
  <si>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</si>
  <si>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</si>
  <si>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</si>
  <si>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</si>
  <si>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</si>
  <si>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</si>
  <si>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</si>
  <si>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</si>
  <si>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</si>
  <si>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</si>
  <si>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</si>
  <si>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</si>
  <si>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</si>
  <si>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</si>
  <si>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</si>
  <si>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</si>
  <si>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</si>
  <si>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</si>
  <si>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</si>
  <si>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</si>
  <si>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</si>
  <si>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</si>
  <si>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</si>
  <si>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</si>
  <si>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</si>
  <si>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</si>
  <si>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</si>
  <si>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</si>
  <si>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</si>
  <si>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</si>
  <si>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</si>
  <si>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</si>
  <si>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</si>
  <si>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</si>
  <si>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</si>
  <si>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</si>
  <si>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</si>
  <si>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</si>
  <si>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</si>
  <si>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</si>
  <si>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</si>
  <si>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</si>
  <si>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</si>
  <si>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</si>
  <si>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</si>
  <si>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</si>
  <si>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</si>
  <si>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</si>
  <si>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</si>
  <si>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</si>
  <si>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</si>
  <si>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</si>
  <si>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</si>
  <si>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</si>
  <si>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</si>
  <si>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</si>
  <si>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</si>
  <si>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</si>
  <si>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</si>
  <si>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</si>
  <si>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</si>
  <si>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</si>
  <si>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</si>
  <si>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</si>
  <si>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</si>
  <si>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</si>
  <si>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</si>
  <si>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</si>
  <si>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</si>
  <si>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</si>
  <si>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</si>
  <si>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</si>
  <si>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</si>
  <si>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</si>
  <si>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</si>
  <si>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</si>
  <si>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</si>
  <si>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</si>
  <si>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</si>
  <si>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</si>
  <si>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</si>
  <si>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</si>
  <si>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</si>
  <si>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</si>
  <si>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</si>
  <si>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</si>
  <si>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</si>
  <si>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</si>
  <si>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</si>
  <si>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</si>
  <si>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</si>
  <si>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</si>
  <si>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</si>
  <si>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</si>
  <si>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</si>
  <si>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</si>
  <si>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</si>
  <si>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</si>
  <si>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</si>
  <si>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</si>
  <si>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</si>
  <si>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</si>
  <si>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</si>
  <si>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</si>
  <si>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</si>
  <si>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</si>
  <si>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</si>
  <si>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</si>
  <si>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</si>
  <si>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</si>
  <si>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</si>
  <si>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</si>
  <si>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</si>
  <si>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</si>
  <si>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</si>
  <si>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</si>
  <si>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</si>
  <si>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</si>
  <si>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</si>
  <si>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</si>
  <si>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</si>
  <si>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</si>
  <si>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</si>
  <si>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</si>
  <si>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</si>
  <si>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</si>
  <si>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</si>
  <si>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</si>
  <si>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</si>
  <si>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</si>
  <si>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</si>
  <si>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</si>
  <si>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</si>
  <si>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</si>
  <si>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</si>
  <si>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</si>
  <si>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</si>
  <si>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</si>
  <si>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</si>
  <si>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</si>
  <si>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</si>
  <si>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</si>
  <si>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</si>
  <si>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</si>
  <si>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</si>
  <si>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</si>
  <si>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</si>
  <si>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</si>
  <si>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</si>
  <si>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</si>
  <si>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</si>
  <si>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</si>
  <si>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</si>
  <si>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</si>
  <si>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</si>
  <si>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</si>
  <si>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</si>
  <si>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</si>
  <si>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</si>
  <si>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</si>
  <si>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</si>
  <si>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</si>
  <si>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</si>
  <si>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</si>
  <si>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</si>
  <si>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</si>
  <si>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</si>
  <si>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</si>
  <si>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</si>
  <si>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</si>
  <si>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</si>
  <si>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</si>
  <si>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</si>
  <si>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</si>
  <si>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</si>
  <si>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</si>
  <si>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</si>
  <si>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</si>
  <si>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</si>
  <si>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</si>
  <si>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</si>
  <si>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</si>
  <si>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</si>
  <si>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</si>
  <si>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</si>
  <si>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</si>
  <si>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</si>
  <si>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</si>
  <si>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</si>
  <si>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</si>
  <si>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</si>
  <si>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</si>
  <si>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</si>
  <si>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</si>
  <si>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</si>
  <si>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</si>
  <si>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</si>
  <si>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</si>
  <si>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</si>
  <si>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</si>
  <si>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</si>
  <si>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</si>
  <si>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</si>
  <si>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</si>
  <si>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</si>
  <si>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</si>
  <si>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</si>
  <si>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</si>
  <si>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</si>
  <si>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</si>
  <si>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</si>
  <si>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</si>
  <si>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</si>
  <si>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</si>
  <si>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</si>
  <si>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</si>
  <si>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</si>
  <si>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</si>
  <si>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</si>
  <si>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</si>
  <si>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</si>
  <si>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</si>
  <si>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</si>
  <si>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</si>
  <si>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</si>
  <si>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</si>
  <si>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</si>
  <si>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</si>
  <si>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</si>
  <si>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</si>
  <si>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</si>
  <si>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</si>
  <si>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</si>
  <si>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</si>
  <si>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</si>
  <si>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</si>
  <si>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</si>
  <si>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</si>
  <si>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</si>
  <si>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</si>
  <si>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</si>
  <si>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</si>
  <si>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</si>
  <si>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</si>
  <si>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</si>
  <si>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</si>
  <si>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</si>
  <si>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</si>
  <si>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</si>
  <si>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</si>
  <si>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</si>
  <si>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</si>
  <si>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</si>
  <si>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</si>
  <si>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</si>
  <si>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</si>
  <si>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</si>
  <si>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</si>
  <si>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</si>
  <si>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</si>
  <si>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</si>
  <si>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</si>
  <si>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</si>
  <si>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</si>
  <si>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</si>
  <si>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</si>
  <si>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</si>
  <si>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</si>
  <si>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</si>
  <si>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</si>
  <si>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</si>
  <si>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</si>
  <si>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</si>
  <si>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</si>
  <si>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</si>
  <si>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</si>
  <si>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</si>
  <si>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</si>
  <si>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</si>
  <si>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</si>
  <si>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</si>
  <si>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</si>
  <si>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</si>
  <si>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</si>
  <si>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</si>
  <si>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</si>
  <si>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</si>
  <si>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</si>
  <si>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</si>
  <si>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</si>
  <si>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</si>
  <si>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</si>
  <si>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</si>
  <si>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</si>
  <si>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</si>
  <si>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</si>
  <si>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</si>
  <si>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</si>
  <si>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</si>
  <si>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</si>
  <si>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</si>
  <si>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</si>
  <si>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</si>
  <si>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</si>
  <si>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</si>
  <si>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</si>
  <si>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</si>
  <si>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</si>
  <si>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</si>
  <si>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</si>
  <si>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</si>
  <si>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</si>
  <si>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</si>
  <si>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</si>
  <si>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</si>
  <si>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</si>
  <si>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</si>
  <si>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</si>
  <si>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</si>
  <si>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</si>
  <si>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</si>
  <si>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</si>
  <si>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</si>
  <si>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</si>
  <si>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</si>
  <si>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</si>
  <si>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</si>
  <si>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</si>
  <si>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</si>
  <si>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</si>
  <si>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</si>
  <si>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</si>
  <si>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</si>
  <si>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</si>
  <si>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</si>
  <si>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</si>
  <si>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</si>
  <si>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</si>
  <si>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</si>
  <si>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</si>
  <si>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</si>
  <si>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</si>
  <si>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</si>
  <si>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</si>
  <si>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</si>
  <si>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</si>
  <si>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</si>
  <si>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</si>
  <si>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</si>
  <si>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</si>
  <si>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</si>
  <si>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</si>
  <si>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</si>
  <si>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</si>
  <si>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</si>
  <si>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</si>
  <si>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</si>
  <si>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</si>
  <si>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</si>
  <si>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</si>
  <si>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</si>
  <si>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</si>
  <si>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</si>
  <si>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</si>
  <si>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</si>
  <si>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</si>
  <si>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</si>
  <si>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</si>
  <si>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</si>
  <si>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</si>
  <si>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</si>
  <si>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</si>
  <si>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</si>
  <si>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</si>
  <si>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</si>
  <si>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</si>
  <si>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</si>
  <si>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</si>
  <si>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</si>
  <si>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</si>
  <si>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</si>
  <si>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</si>
  <si>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</si>
  <si>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</si>
  <si>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</si>
  <si>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</si>
  <si>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</si>
  <si>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</si>
  <si>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</si>
  <si>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</si>
  <si>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</si>
  <si>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</si>
  <si>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</si>
  <si>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</si>
  <si>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</si>
  <si>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</si>
  <si>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</si>
  <si>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</si>
  <si>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</si>
  <si>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</si>
  <si>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</si>
  <si>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</si>
  <si>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</si>
  <si>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</si>
  <si>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</si>
  <si>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</si>
  <si>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</si>
  <si>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</si>
  <si>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</si>
  <si>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</si>
  <si>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</si>
  <si>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</si>
  <si>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</si>
  <si>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</si>
  <si>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</si>
  <si>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</si>
  <si>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</si>
  <si>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</si>
  <si>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</si>
  <si>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</si>
  <si>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</si>
  <si>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</si>
  <si>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</si>
  <si>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</si>
  <si>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</si>
  <si>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</si>
  <si>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</si>
  <si>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</si>
  <si>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</si>
  <si>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</si>
  <si>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</si>
  <si>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</si>
  <si>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</si>
  <si>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</si>
  <si>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</si>
  <si>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</si>
  <si>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</si>
  <si>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</si>
  <si>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</si>
  <si>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</si>
  <si>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</si>
  <si>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</si>
  <si>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</si>
  <si>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</si>
  <si>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</si>
  <si>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</si>
  <si>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</si>
  <si>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</si>
  <si>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</si>
  <si>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</si>
  <si>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</si>
  <si>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</si>
  <si>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</si>
  <si>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</si>
  <si>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</si>
  <si>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</si>
  <si>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</si>
  <si>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</si>
  <si>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</si>
  <si>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</si>
  <si>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</si>
  <si>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</si>
  <si>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</si>
  <si>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</si>
  <si>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</si>
  <si>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</si>
  <si>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</si>
  <si>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</si>
  <si>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</si>
  <si>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</si>
  <si>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</si>
  <si>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</si>
  <si>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</si>
  <si>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</si>
  <si>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</si>
  <si>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</si>
  <si>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</si>
  <si>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</si>
  <si>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</si>
  <si>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</si>
  <si>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</si>
  <si>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</si>
  <si>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</si>
  <si>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</si>
  <si>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</si>
  <si>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</si>
  <si>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</si>
  <si>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</si>
  <si>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</si>
  <si>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</si>
  <si>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</si>
  <si>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</si>
  <si>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</si>
  <si>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</si>
  <si>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</si>
  <si>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</si>
  <si>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</si>
  <si>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</si>
  <si>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</si>
  <si>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</si>
  <si>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</si>
  <si>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</si>
  <si>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</si>
  <si>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</si>
  <si>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</si>
  <si>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</si>
  <si>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</si>
  <si>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</si>
  <si>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</si>
  <si>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</si>
  <si>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</si>
  <si>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</si>
  <si>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</si>
  <si>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</si>
  <si>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</si>
  <si>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</si>
  <si>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</si>
  <si>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</si>
  <si>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</si>
  <si>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</si>
  <si>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</si>
  <si>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</si>
  <si>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</si>
  <si>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</si>
  <si>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</si>
  <si>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</si>
  <si>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</si>
  <si>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</si>
  <si>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</si>
  <si>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</si>
  <si>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</si>
  <si>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</si>
  <si>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</si>
  <si>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</si>
  <si>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</si>
  <si>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</si>
  <si>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</si>
  <si>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</si>
  <si>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</si>
  <si>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</si>
  <si>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</si>
  <si>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</si>
  <si>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</si>
  <si>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</si>
  <si>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</si>
  <si>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</si>
  <si>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</si>
  <si>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</si>
  <si>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</si>
  <si>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</si>
  <si>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</si>
  <si>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</si>
  <si>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</si>
  <si>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</si>
  <si>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</si>
  <si>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</si>
  <si>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</si>
  <si>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</si>
  <si>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</si>
  <si>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</si>
  <si>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</si>
  <si>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</si>
  <si>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</si>
  <si>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</si>
  <si>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</si>
  <si>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</si>
  <si>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</si>
  <si>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</si>
  <si>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</si>
  <si>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</si>
  <si>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</si>
  <si>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</si>
  <si>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</si>
  <si>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</si>
  <si>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</si>
  <si>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</si>
  <si>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</si>
  <si>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</si>
  <si>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</si>
  <si>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</si>
  <si>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</si>
  <si>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</si>
  <si>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</si>
  <si>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</si>
  <si>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</si>
  <si>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</si>
  <si>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</si>
  <si>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</si>
  <si>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</si>
  <si>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</si>
  <si>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</si>
  <si>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</si>
  <si>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</si>
  <si>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</si>
  <si>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</si>
  <si>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</si>
  <si>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</si>
  <si>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</si>
  <si>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</si>
  <si>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</si>
  <si>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</si>
  <si>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</si>
  <si>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</si>
  <si>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</si>
  <si>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</si>
  <si>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</si>
  <si>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</si>
  <si>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</si>
  <si>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</si>
  <si>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</si>
  <si>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</si>
  <si>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</si>
  <si>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</si>
  <si>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</si>
  <si>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</si>
  <si>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</si>
  <si>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</si>
  <si>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</si>
  <si>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</si>
  <si>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</si>
  <si>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</si>
  <si>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</si>
  <si>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</si>
  <si>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</si>
  <si>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</si>
  <si>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</si>
  <si>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</si>
  <si>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</si>
  <si>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</si>
  <si>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</si>
  <si>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</si>
  <si>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</si>
  <si>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</si>
  <si>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</si>
  <si>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</si>
  <si>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</si>
  <si>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</si>
  <si>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</si>
  <si>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</si>
  <si>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</si>
  <si>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</si>
  <si>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</si>
  <si>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</si>
  <si>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</si>
  <si>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</si>
  <si>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</si>
  <si>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</si>
  <si>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</si>
  <si>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</si>
  <si>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</si>
  <si>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</si>
  <si>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</si>
  <si>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</si>
  <si>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</si>
  <si>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</si>
  <si>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</si>
  <si>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</si>
  <si>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</si>
  <si>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</si>
  <si>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</si>
  <si>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</si>
  <si>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</si>
  <si>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</si>
  <si>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</si>
  <si>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</si>
  <si>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</si>
  <si>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</si>
  <si>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</si>
  <si>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</si>
  <si>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</si>
  <si>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</si>
  <si>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</si>
  <si>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</si>
  <si>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</si>
  <si>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</si>
  <si>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</si>
  <si>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</si>
  <si>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</si>
  <si>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</si>
  <si>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</si>
  <si>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</si>
  <si>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</si>
  <si>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</si>
  <si>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</si>
  <si>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</si>
  <si>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</si>
  <si>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</si>
  <si>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</si>
  <si>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</si>
  <si>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</si>
  <si>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</si>
  <si>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</si>
  <si>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</si>
  <si>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</si>
  <si>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</si>
  <si>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</si>
  <si>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</si>
  <si>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</si>
  <si>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</si>
  <si>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</si>
  <si>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</si>
  <si>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</si>
  <si>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</si>
  <si>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</si>
  <si>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</si>
  <si>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</si>
  <si>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</si>
  <si>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</si>
  <si>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</si>
  <si>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</si>
  <si>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</si>
  <si>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</si>
  <si>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</si>
  <si>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</si>
  <si>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</si>
  <si>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</si>
  <si>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</si>
  <si>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</si>
  <si>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</si>
  <si>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</si>
  <si>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</si>
  <si>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</si>
  <si>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</si>
  <si>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</si>
  <si>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</si>
  <si>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</si>
  <si>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</si>
  <si>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</si>
  <si>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</si>
  <si>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</si>
  <si>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</si>
  <si>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</si>
  <si>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</si>
  <si>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</si>
  <si>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</si>
  <si>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</si>
  <si>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</si>
  <si>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</si>
  <si>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</si>
  <si>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</si>
  <si>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</si>
  <si>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</si>
  <si>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</si>
  <si>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</si>
  <si>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</si>
  <si>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</si>
  <si>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</si>
  <si>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</si>
  <si>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</si>
  <si>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</si>
  <si>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</si>
  <si>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</si>
  <si>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</si>
  <si>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</si>
  <si>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</si>
  <si>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</si>
  <si>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</si>
  <si>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</si>
  <si>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</si>
  <si>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</si>
  <si>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</si>
  <si>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</si>
  <si>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</si>
  <si>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</si>
  <si>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</si>
  <si>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</si>
  <si>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</si>
  <si>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</si>
  <si>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</si>
  <si>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</si>
  <si>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</si>
  <si>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</si>
  <si>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</si>
  <si>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</si>
  <si>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</si>
  <si>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</si>
  <si>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</si>
  <si>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</si>
  <si>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</si>
  <si>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</si>
  <si>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</si>
  <si>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</si>
  <si>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</si>
  <si>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</si>
  <si>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</si>
  <si>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</si>
  <si>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</si>
  <si>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</si>
  <si>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</si>
  <si>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</si>
  <si>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</si>
  <si>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</si>
  <si>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</si>
  <si>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</si>
  <si>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</si>
  <si>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</si>
  <si>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</si>
  <si>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</si>
  <si>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</si>
  <si>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</si>
  <si>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</si>
  <si>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</si>
  <si>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</si>
  <si>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</si>
  <si>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</si>
  <si>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</si>
  <si>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</si>
  <si>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</si>
  <si>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</si>
  <si>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</si>
  <si>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</si>
  <si>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</si>
  <si>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</si>
  <si>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</si>
  <si>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</si>
  <si>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</si>
  <si>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</si>
  <si>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</si>
  <si>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</si>
  <si>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</si>
  <si>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</si>
  <si>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</si>
  <si>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</si>
  <si>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</si>
  <si>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</si>
  <si>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</si>
  <si>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</si>
  <si>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</si>
  <si>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</si>
  <si>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</si>
  <si>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</si>
  <si>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</si>
  <si>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</si>
  <si>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</si>
  <si>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</si>
  <si>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</si>
  <si>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</si>
  <si>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</si>
  <si>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</si>
  <si>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</si>
  <si>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</si>
  <si>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</si>
  <si>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</si>
  <si>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</si>
  <si>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</si>
  <si>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</si>
  <si>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</si>
  <si>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</si>
  <si>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</si>
  <si>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</si>
  <si>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</si>
  <si>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</si>
  <si>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</si>
  <si>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</si>
  <si>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</si>
  <si>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</si>
  <si>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</si>
  <si>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</si>
  <si>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</si>
  <si>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</si>
  <si>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</si>
  <si>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</si>
  <si>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</si>
  <si>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</si>
  <si>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</si>
  <si>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</si>
  <si>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</si>
  <si>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</si>
  <si>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</si>
  <si>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</si>
  <si>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</si>
  <si>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</si>
  <si>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</si>
  <si>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</si>
  <si>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</si>
  <si>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</si>
  <si>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</si>
  <si>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</si>
  <si>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</si>
  <si>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</si>
  <si>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</si>
  <si>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</si>
  <si>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</si>
  <si>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</si>
  <si>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</si>
  <si>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</si>
  <si>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</si>
  <si>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</si>
  <si>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</si>
  <si>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</si>
  <si>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</si>
  <si>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</si>
  <si>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</si>
  <si>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</si>
  <si>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</si>
  <si>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</si>
  <si>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</si>
  <si>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</si>
  <si>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</si>
  <si>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</si>
  <si>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</si>
  <si>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</si>
  <si>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</si>
  <si>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</si>
  <si>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</si>
  <si>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</si>
  <si>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</si>
  <si>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</si>
  <si>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</si>
  <si>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</si>
  <si>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</si>
  <si>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</si>
  <si>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</si>
  <si>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</si>
  <si>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</si>
  <si>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</si>
  <si>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</si>
  <si>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</si>
  <si>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</si>
  <si>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</si>
  <si>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</si>
  <si>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</si>
  <si>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</si>
  <si>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</si>
  <si>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</si>
  <si>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</si>
  <si>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</si>
  <si>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</si>
  <si>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</si>
  <si>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</si>
  <si>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</si>
  <si>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</si>
  <si>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</si>
  <si>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</si>
  <si>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</si>
  <si>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</si>
  <si>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</si>
  <si>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</si>
  <si>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</si>
  <si>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</si>
  <si>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</si>
  <si>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</si>
  <si>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</si>
  <si>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</si>
  <si>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</si>
  <si>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</si>
  <si>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</si>
  <si>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</si>
  <si>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</si>
  <si>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</si>
  <si>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</si>
  <si>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</si>
  <si>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</si>
  <si>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</si>
  <si>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</si>
  <si>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</si>
  <si>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</si>
  <si>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</si>
  <si>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</si>
  <si>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</si>
  <si>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</si>
  <si>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</si>
  <si>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</si>
  <si>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</si>
  <si>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</si>
  <si>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</si>
  <si>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</si>
  <si>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</si>
  <si>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</si>
  <si>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</si>
  <si>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</si>
  <si>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</si>
  <si>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</si>
  <si>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</si>
  <si>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</si>
  <si>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</si>
  <si>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</si>
  <si>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</si>
  <si>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</si>
  <si>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</si>
  <si>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</si>
  <si>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</si>
  <si>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</si>
  <si>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</si>
  <si>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</si>
  <si>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</si>
  <si>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</si>
  <si>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</si>
  <si>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</si>
  <si>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</si>
  <si>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</si>
  <si>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</si>
  <si>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</si>
  <si>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</si>
  <si>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</si>
  <si>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</si>
  <si>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</si>
  <si>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</si>
  <si>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</si>
  <si>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</si>
  <si>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</si>
  <si>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</si>
  <si>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</si>
  <si>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</si>
  <si>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</si>
  <si>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</si>
  <si>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</si>
  <si>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</si>
  <si>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</si>
  <si>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</si>
  <si>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</si>
  <si>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</si>
  <si>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</si>
  <si>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</si>
  <si>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</si>
  <si>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</si>
  <si>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</si>
  <si>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</si>
  <si>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</si>
  <si>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</si>
  <si>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</si>
  <si>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</si>
  <si>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</si>
  <si>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</si>
  <si>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</si>
  <si>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</si>
  <si>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</si>
  <si>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</si>
  <si>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</si>
  <si>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</si>
  <si>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</si>
  <si>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</si>
  <si>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</si>
  <si>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</si>
  <si>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</si>
  <si>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</si>
  <si>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</si>
  <si>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</si>
  <si>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</si>
  <si>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</si>
  <si>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</si>
  <si>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</si>
  <si>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</si>
  <si>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</si>
  <si>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</si>
  <si>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</si>
  <si>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</si>
  <si>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</si>
  <si>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</si>
  <si>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</si>
  <si>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</si>
  <si>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</si>
  <si>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</si>
  <si>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</si>
  <si>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</si>
  <si>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</si>
  <si>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</si>
  <si>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</si>
  <si>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</si>
  <si>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</si>
  <si>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</si>
  <si>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</si>
  <si>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</si>
  <si>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</si>
  <si>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</si>
  <si>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</si>
  <si>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</si>
  <si>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</si>
  <si>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</si>
  <si>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</si>
  <si>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</si>
  <si>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</si>
  <si>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</si>
  <si>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</si>
  <si>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</si>
  <si>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</si>
  <si>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</si>
  <si>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</si>
  <si>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</si>
  <si>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</si>
  <si>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</si>
  <si>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</si>
  <si>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</si>
  <si>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</si>
  <si>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</si>
  <si>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</si>
  <si>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</si>
  <si>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</si>
  <si>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</si>
  <si>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</si>
  <si>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</si>
  <si>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</si>
  <si>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</si>
  <si>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</si>
  <si>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</si>
  <si>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</si>
  <si>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</si>
  <si>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</si>
  <si>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</si>
  <si>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</si>
  <si>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</si>
  <si>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</si>
  <si>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</si>
  <si>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</si>
  <si>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</si>
  <si>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</si>
  <si>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</si>
  <si>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</si>
  <si>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</si>
  <si>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</si>
  <si>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</si>
  <si>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</si>
  <si>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</si>
  <si>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</si>
  <si>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</si>
  <si>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</si>
  <si>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</si>
  <si>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</si>
  <si>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</si>
  <si>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</si>
  <si>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</si>
  <si>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</si>
  <si>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</si>
  <si>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</si>
  <si>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</si>
  <si>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</si>
  <si>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</si>
  <si>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</si>
  <si>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</si>
  <si>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</si>
  <si>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</si>
  <si>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</si>
  <si>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</si>
  <si>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</si>
  <si>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</si>
  <si>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</si>
  <si>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</si>
  <si>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</si>
  <si>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</si>
  <si>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</si>
  <si>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</si>
  <si>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</si>
  <si>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</si>
  <si>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</si>
  <si>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</si>
  <si>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</si>
  <si>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</si>
  <si>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</si>
  <si>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</si>
  <si>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</si>
  <si>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</si>
  <si>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</si>
  <si>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</si>
  <si>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</si>
  <si>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</si>
  <si>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</si>
  <si>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</si>
  <si>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</si>
  <si>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</si>
  <si>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</si>
  <si>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</si>
  <si>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</si>
  <si>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</si>
  <si>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</si>
  <si>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</si>
  <si>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</si>
  <si>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</si>
  <si>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</si>
  <si>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</si>
  <si>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</si>
  <si>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</si>
  <si>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</si>
  <si>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</si>
  <si>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</si>
  <si>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</si>
  <si>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</si>
  <si>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</si>
  <si>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</si>
  <si>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</si>
  <si>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</si>
  <si>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</si>
  <si>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</si>
  <si>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</si>
  <si>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</si>
  <si>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</si>
  <si>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</si>
  <si>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</si>
  <si>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</si>
  <si>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</si>
  <si>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</si>
  <si>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</si>
  <si>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</si>
  <si>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</si>
  <si>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</si>
  <si>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</si>
  <si>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</si>
  <si>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</si>
  <si>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</si>
  <si>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</si>
  <si>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</si>
  <si>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</si>
  <si>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</si>
  <si>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</si>
  <si>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</si>
  <si>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</si>
  <si>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</si>
  <si>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</si>
  <si>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</si>
  <si>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</si>
  <si>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</si>
  <si>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</si>
  <si>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</si>
  <si>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</si>
  <si>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</si>
  <si>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</si>
  <si>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</si>
  <si>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</si>
  <si>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</si>
  <si>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</si>
  <si>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</si>
  <si>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</si>
  <si>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</si>
  <si>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</si>
  <si>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</si>
  <si>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</si>
  <si>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</si>
  <si>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</si>
  <si>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</si>
  <si>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</si>
  <si>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</si>
  <si>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</si>
  <si>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</si>
  <si>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</si>
  <si>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</si>
  <si>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</si>
  <si>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</si>
  <si>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</si>
  <si>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</si>
  <si>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</si>
  <si>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</si>
  <si>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</si>
  <si>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</si>
  <si>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</si>
  <si>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</si>
  <si>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</si>
  <si>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</si>
  <si>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</si>
  <si>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</si>
  <si>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</si>
  <si>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</si>
  <si>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</si>
  <si>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</si>
  <si>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</si>
  <si>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</si>
  <si>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</si>
  <si>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</si>
  <si>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</si>
  <si>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</si>
  <si>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</si>
  <si>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</si>
  <si>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</si>
  <si>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</si>
  <si>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</si>
  <si>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</si>
  <si>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</si>
  <si>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</si>
  <si>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</si>
  <si>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</si>
  <si>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</si>
  <si>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</si>
  <si>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</si>
  <si>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</si>
  <si>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</si>
  <si>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</si>
  <si>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</si>
  <si>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</si>
  <si>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</si>
  <si>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</si>
  <si>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</si>
  <si>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</si>
  <si>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</si>
  <si>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</si>
  <si>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</si>
  <si>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</si>
  <si>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</si>
  <si>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</si>
  <si>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</si>
  <si>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</si>
  <si>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</si>
  <si>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</si>
  <si>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</si>
  <si>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</si>
  <si>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</si>
  <si>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</si>
  <si>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</si>
  <si>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</si>
  <si>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</si>
  <si>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</si>
  <si>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</si>
  <si>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</si>
  <si>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</si>
  <si>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</si>
  <si>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</si>
  <si>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</si>
  <si>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</si>
  <si>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</si>
  <si>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</si>
  <si>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</si>
  <si>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</si>
  <si>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</si>
  <si>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</si>
  <si>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</si>
  <si>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</si>
  <si>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</si>
  <si>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</si>
  <si>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</si>
  <si>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</si>
  <si>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</si>
  <si>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</si>
  <si>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</si>
  <si>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</si>
  <si>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</si>
  <si>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</si>
  <si>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</si>
  <si>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</si>
  <si>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</si>
  <si>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</si>
  <si>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</si>
  <si>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</si>
  <si>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</si>
  <si>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</si>
  <si>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</si>
  <si>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</si>
  <si>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</si>
  <si>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</si>
  <si>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</si>
  <si>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</si>
  <si>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</si>
  <si>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</si>
  <si>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</si>
  <si>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</si>
  <si>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</si>
  <si>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</si>
  <si>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</si>
  <si>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</si>
  <si>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</si>
  <si>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</si>
  <si>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</si>
  <si>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</si>
  <si>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</si>
  <si>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</si>
  <si>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</si>
  <si>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</si>
  <si>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</si>
  <si>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</si>
  <si>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</si>
  <si>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</si>
  <si>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</si>
  <si>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</si>
  <si>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</si>
  <si>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</si>
  <si>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</si>
  <si>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</si>
  <si>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</si>
  <si>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</si>
  <si>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</si>
  <si>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</si>
  <si>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</si>
  <si>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</si>
  <si>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</si>
  <si>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</si>
  <si>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</si>
  <si>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</si>
  <si>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</si>
  <si>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</si>
  <si>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</si>
  <si>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</si>
  <si>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</si>
  <si>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</si>
  <si>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</si>
  <si>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</si>
  <si>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</si>
  <si>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</si>
  <si>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</si>
  <si>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</si>
  <si>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</si>
  <si>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</si>
  <si>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</si>
  <si>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</si>
  <si>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</si>
  <si>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</si>
  <si>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</si>
  <si>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</si>
  <si>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</si>
  <si>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</si>
  <si>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</si>
  <si>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</si>
  <si>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</si>
  <si>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</si>
  <si>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</si>
  <si>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</si>
  <si>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</si>
  <si>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</si>
  <si>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</si>
  <si>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</si>
  <si>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</si>
  <si>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</si>
  <si>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</si>
  <si>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</si>
  <si>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</si>
  <si>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</si>
  <si>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</si>
  <si>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</si>
  <si>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</si>
  <si>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</si>
  <si>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</si>
  <si>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</si>
  <si>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</si>
  <si>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</si>
  <si>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</si>
  <si>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</si>
  <si>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</si>
  <si>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</si>
  <si>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</si>
  <si>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</si>
  <si>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</si>
  <si>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</si>
  <si>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</si>
  <si>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</si>
  <si>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</si>
  <si>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</si>
  <si>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</si>
  <si>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</si>
  <si>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</si>
  <si>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</si>
  <si>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</si>
  <si>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</si>
  <si>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</si>
  <si>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</si>
  <si>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</si>
  <si>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</si>
  <si>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</si>
  <si>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</si>
  <si>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</si>
  <si>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</si>
  <si>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</si>
  <si>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</si>
  <si>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</si>
  <si>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</si>
  <si>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</si>
  <si>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</si>
  <si>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</si>
  <si>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</si>
  <si>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</si>
  <si>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</si>
  <si>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</si>
  <si>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</si>
  <si>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</si>
  <si>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</si>
  <si>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</si>
  <si>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</si>
  <si>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</si>
  <si>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</si>
  <si>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</si>
  <si>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</si>
  <si>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</si>
  <si>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</si>
  <si>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</si>
  <si>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</si>
  <si>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</si>
  <si>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</si>
  <si>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</si>
  <si>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</si>
  <si>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</si>
  <si>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</si>
  <si>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</si>
  <si>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</si>
  <si>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</si>
  <si>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</si>
  <si>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</si>
  <si>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</si>
  <si>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</si>
  <si>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</si>
  <si>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</si>
  <si>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</si>
  <si>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</si>
  <si>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</si>
  <si>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</si>
  <si>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</si>
  <si>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</si>
  <si>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</si>
  <si>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</si>
  <si>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</si>
  <si>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</si>
  <si>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</si>
  <si>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</si>
  <si>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</si>
  <si>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</si>
  <si>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</si>
  <si>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</si>
  <si>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</si>
  <si>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</si>
  <si>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</si>
  <si>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</si>
  <si>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</si>
  <si>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</si>
  <si>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</si>
  <si>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</si>
  <si>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</si>
  <si>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</si>
  <si>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</si>
  <si>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</si>
  <si>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</si>
  <si>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</si>
  <si>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</si>
  <si>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</si>
  <si>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</si>
  <si>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</si>
  <si>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</si>
  <si>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</si>
  <si>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</si>
  <si>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</si>
  <si>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</si>
  <si>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</si>
  <si>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</si>
  <si>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</si>
  <si>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</si>
  <si>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</si>
  <si>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</si>
  <si>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</si>
  <si>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</si>
  <si>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</si>
  <si>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</si>
  <si>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</si>
  <si>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</si>
  <si>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</si>
  <si>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</si>
  <si>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</si>
  <si>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</si>
  <si>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</si>
  <si>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</si>
  <si>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</si>
  <si>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</si>
  <si>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</si>
  <si>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</si>
  <si>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</si>
  <si>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</si>
  <si>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</si>
  <si>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</si>
  <si>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</si>
  <si>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</si>
  <si>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</si>
  <si>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</si>
  <si>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</si>
  <si>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</si>
  <si>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</si>
  <si>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</si>
  <si>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</si>
  <si>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</si>
  <si>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</si>
  <si>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</si>
  <si>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</si>
  <si>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</si>
  <si>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</si>
  <si>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</si>
  <si>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</si>
  <si>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</si>
  <si>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</si>
  <si>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</si>
  <si>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</si>
  <si>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</si>
  <si>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</si>
  <si>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</si>
  <si>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</si>
  <si>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</si>
  <si>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</si>
  <si>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</si>
  <si>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</si>
  <si>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</si>
  <si>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</si>
  <si>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</si>
  <si>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</si>
  <si>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</si>
  <si>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</si>
  <si>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</si>
  <si>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</si>
  <si>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</si>
  <si>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</si>
  <si>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</si>
  <si>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</si>
  <si>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</si>
  <si>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</si>
  <si>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</si>
  <si>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</si>
  <si>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</si>
  <si>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</si>
  <si>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</si>
  <si>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</si>
  <si>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</si>
  <si>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</si>
  <si>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</si>
  <si>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</si>
  <si>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</si>
  <si>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</si>
  <si>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</si>
  <si>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</si>
  <si>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</si>
  <si>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</si>
  <si>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</si>
  <si>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</si>
  <si>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</si>
  <si>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</si>
  <si>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</si>
  <si>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</si>
  <si>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</si>
  <si>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</si>
  <si>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</si>
  <si>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</si>
  <si>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</si>
  <si>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</si>
  <si>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</si>
  <si>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</si>
  <si>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</si>
  <si>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</si>
  <si>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</si>
  <si>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</si>
  <si>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</si>
  <si>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</si>
  <si>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</si>
  <si>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</si>
  <si>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</si>
  <si>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</si>
  <si>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</si>
  <si>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</si>
  <si>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</si>
  <si>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</si>
  <si>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</si>
  <si>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</si>
  <si>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</si>
  <si>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</si>
  <si>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</si>
  <si>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</si>
  <si>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</si>
  <si>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</si>
  <si>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</si>
  <si>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</si>
  <si>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</si>
  <si>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</si>
  <si>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</si>
  <si>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</si>
  <si>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</si>
  <si>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</si>
  <si>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</si>
  <si>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</si>
  <si>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</si>
  <si>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</si>
  <si>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</si>
  <si>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</si>
  <si>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</si>
  <si>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</si>
  <si>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</si>
  <si>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</si>
  <si>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</si>
  <si>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</si>
  <si>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</si>
  <si>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</si>
  <si>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</si>
  <si>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</si>
  <si>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</si>
  <si>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</si>
  <si>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</si>
  <si>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</si>
  <si>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</si>
  <si>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</si>
  <si>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</si>
  <si>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</si>
  <si>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</si>
  <si>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</si>
  <si>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</si>
  <si>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</si>
  <si>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</si>
  <si>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</si>
  <si>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</si>
  <si>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</si>
  <si>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</si>
  <si>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</si>
  <si>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</si>
  <si>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</si>
  <si>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</si>
  <si>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</si>
  <si>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</si>
  <si>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</si>
  <si>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</si>
  <si>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</si>
  <si>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</si>
  <si>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</si>
  <si>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</si>
  <si>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</si>
  <si>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</si>
  <si>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</si>
  <si>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</si>
  <si>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</si>
  <si>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</si>
  <si>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</si>
  <si>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</si>
  <si>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</si>
  <si>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</si>
  <si>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</si>
  <si>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</si>
  <si>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</si>
  <si>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</si>
  <si>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</si>
  <si>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</si>
  <si>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</si>
  <si>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</si>
  <si>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</si>
  <si>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</si>
  <si>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</si>
  <si>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</si>
  <si>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</si>
  <si>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</si>
  <si>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</si>
  <si>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</si>
  <si>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</si>
  <si>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</si>
  <si>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</si>
  <si>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</si>
  <si>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</si>
  <si>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</si>
  <si>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</si>
  <si>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</si>
  <si>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</si>
  <si>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</si>
  <si>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</si>
  <si>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</si>
  <si>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</si>
  <si>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</si>
  <si>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</si>
  <si>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</si>
  <si>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</si>
  <si>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</si>
  <si>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</si>
  <si>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</si>
  <si>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</si>
  <si>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</si>
  <si>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</si>
  <si>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</si>
  <si>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</si>
  <si>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</si>
  <si>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</si>
  <si>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</si>
  <si>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</si>
  <si>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</si>
  <si>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</si>
  <si>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</si>
  <si>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</si>
  <si>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</si>
  <si>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</si>
  <si>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</si>
  <si>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</si>
  <si>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</si>
  <si>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</si>
  <si>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</si>
  <si>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</si>
  <si>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</si>
  <si>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</si>
  <si>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</si>
  <si>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</si>
  <si>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</si>
  <si>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</si>
  <si>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</si>
  <si>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</si>
  <si>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</si>
  <si>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</si>
  <si>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</si>
  <si>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</si>
  <si>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</si>
  <si>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</si>
  <si>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</si>
  <si>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</si>
  <si>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</si>
  <si>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</si>
  <si>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</si>
  <si>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</si>
  <si>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</si>
  <si>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</si>
  <si>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</si>
  <si>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</si>
  <si>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</si>
  <si>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</si>
  <si>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</si>
  <si>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</si>
  <si>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</si>
  <si>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</si>
  <si>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</si>
  <si>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</si>
  <si>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</si>
  <si>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</si>
  <si>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</si>
  <si>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</si>
  <si>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</si>
  <si>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</si>
  <si>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</si>
  <si>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</si>
  <si>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</si>
  <si>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</si>
  <si>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</si>
  <si>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</si>
  <si>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</si>
  <si>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</si>
  <si>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</si>
  <si>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</si>
  <si>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</si>
  <si>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</si>
  <si>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</si>
  <si>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</si>
  <si>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</si>
  <si>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</si>
  <si>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</si>
  <si>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</si>
  <si>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</si>
  <si>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</si>
  <si>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</si>
  <si>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</si>
  <si>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</si>
  <si>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</si>
  <si>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</si>
  <si>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</si>
  <si>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</si>
  <si>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</si>
  <si>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</si>
  <si>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</si>
  <si>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</si>
  <si>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</si>
  <si>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</si>
  <si>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</si>
  <si>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</si>
  <si>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</si>
  <si>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</si>
  <si>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</si>
  <si>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</si>
  <si>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</si>
  <si>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</si>
  <si>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</si>
  <si>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</si>
  <si>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</si>
  <si>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</si>
  <si>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</si>
  <si>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</si>
  <si>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</si>
  <si>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</si>
  <si>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</si>
  <si>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</si>
  <si>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</si>
  <si>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</si>
  <si>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</si>
  <si>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</si>
  <si>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</si>
  <si>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</si>
  <si>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</si>
  <si>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</si>
  <si>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</si>
  <si>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</si>
  <si>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</si>
  <si>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</si>
  <si>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</si>
  <si>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</si>
  <si>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</si>
  <si>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</si>
  <si>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</si>
  <si>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</si>
  <si>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</si>
  <si>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</si>
  <si>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</si>
  <si>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</si>
  <si>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</si>
  <si>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</si>
  <si>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</si>
  <si>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</si>
  <si>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</si>
  <si>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</si>
  <si>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</si>
  <si>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</si>
  <si>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</si>
  <si>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</si>
  <si>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</si>
  <si>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</si>
  <si>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</si>
  <si>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</si>
  <si>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</si>
  <si>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</si>
  <si>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</si>
  <si>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</si>
  <si>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</si>
  <si>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</si>
  <si>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</si>
  <si>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</si>
  <si>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</si>
  <si>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</si>
  <si>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</si>
  <si>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</si>
  <si>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</si>
  <si>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</si>
  <si>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</si>
  <si>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</si>
  <si>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</si>
  <si>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</si>
  <si>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</si>
  <si>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</si>
  <si>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</si>
  <si>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</si>
  <si>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</si>
  <si>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</si>
  <si>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</si>
  <si>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</si>
  <si>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</si>
  <si>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</si>
  <si>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</si>
  <si>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</si>
  <si>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</si>
  <si>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</si>
  <si>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</si>
  <si>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</si>
  <si>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</si>
  <si>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</si>
  <si>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</si>
  <si>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</si>
  <si>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</si>
  <si>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</si>
  <si>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</si>
  <si>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</si>
  <si>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</si>
  <si>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</si>
  <si>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</si>
  <si>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</si>
  <si>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</si>
  <si>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</si>
  <si>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</si>
  <si>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</si>
  <si>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</si>
  <si>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</si>
  <si>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</si>
  <si>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</si>
  <si>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</si>
  <si>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</si>
  <si>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</si>
  <si>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</si>
  <si>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</si>
  <si>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</si>
  <si>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</si>
  <si>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</si>
  <si>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</si>
  <si>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</si>
  <si>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</si>
  <si>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</si>
  <si>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</si>
  <si>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</si>
  <si>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</si>
  <si>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</si>
  <si>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</si>
  <si>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</si>
  <si>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</si>
  <si>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</si>
  <si>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</si>
  <si>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</si>
  <si>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</si>
  <si>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</si>
  <si>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</si>
  <si>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</si>
  <si>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</si>
  <si>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</si>
  <si>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</si>
  <si>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</si>
  <si>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</si>
  <si>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</si>
  <si>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</si>
  <si>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</si>
  <si>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</si>
  <si>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</si>
  <si>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</si>
  <si>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</si>
  <si>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</si>
  <si>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</si>
  <si>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</si>
  <si>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</si>
  <si>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</si>
  <si>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</si>
  <si>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</si>
  <si>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</si>
  <si>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</si>
  <si>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</si>
  <si>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</si>
  <si>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</si>
  <si>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</si>
  <si>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</si>
  <si>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</si>
  <si>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</si>
  <si>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</si>
  <si>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</si>
  <si>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</si>
  <si>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</si>
  <si>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</si>
  <si>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</si>
  <si>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</si>
  <si>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</si>
  <si>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</si>
  <si>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</si>
  <si>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</si>
  <si>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</si>
  <si>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</si>
  <si>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</si>
  <si>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</si>
  <si>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</si>
  <si>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</si>
  <si>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</si>
  <si>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</si>
  <si>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</si>
  <si>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</si>
  <si>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</si>
  <si>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</si>
  <si>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</si>
  <si>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</si>
  <si>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</si>
  <si>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</si>
  <si>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</si>
  <si>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</si>
  <si>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</si>
  <si>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</si>
  <si>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</si>
  <si>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</si>
  <si>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</si>
  <si>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</si>
  <si>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</si>
  <si>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</si>
  <si>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</si>
  <si>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</si>
  <si>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</si>
  <si>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</si>
  <si>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</si>
  <si>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</si>
  <si>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</si>
  <si>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</si>
  <si>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</si>
  <si>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</si>
  <si>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</si>
  <si>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</si>
  <si>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</si>
  <si>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</si>
  <si>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</si>
  <si>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</si>
  <si>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</si>
  <si>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</si>
  <si>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</si>
  <si>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</si>
  <si>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</si>
  <si>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</si>
  <si>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</si>
  <si>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</si>
  <si>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</si>
  <si>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</si>
  <si>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</si>
  <si>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</si>
  <si>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</si>
  <si>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</si>
  <si>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</si>
  <si>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</si>
  <si>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</si>
  <si>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</si>
  <si>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</si>
  <si>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</si>
  <si>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</si>
  <si>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</si>
  <si>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</si>
  <si>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</si>
  <si>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</si>
  <si>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</si>
  <si>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</si>
  <si>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</si>
  <si>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</si>
  <si>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</si>
  <si>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</si>
  <si>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</si>
  <si>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</si>
  <si>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</si>
  <si>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</si>
  <si>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</si>
  <si>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</si>
  <si>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</si>
  <si>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</si>
  <si>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</si>
  <si>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</si>
  <si>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</si>
  <si>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</si>
  <si>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</si>
  <si>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</si>
  <si>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</si>
  <si>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</si>
  <si>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</si>
  <si>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</si>
  <si>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</si>
  <si>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</si>
  <si>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</si>
  <si>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</si>
  <si>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</si>
  <si>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</si>
  <si>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</si>
  <si>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</si>
  <si>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</si>
  <si>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</si>
  <si>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</si>
  <si>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</si>
  <si>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</si>
  <si>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</si>
  <si>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</si>
  <si>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</si>
  <si>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</si>
  <si>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</si>
  <si>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</si>
  <si>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</si>
  <si>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</si>
  <si>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</si>
  <si>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</si>
  <si>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</si>
  <si>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</si>
  <si>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</si>
  <si>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</si>
  <si>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</si>
  <si>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</si>
  <si>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</si>
  <si>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</si>
  <si>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</si>
  <si>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</si>
  <si>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</si>
  <si>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</si>
  <si>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</si>
  <si>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</si>
  <si>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</si>
  <si>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</si>
  <si>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</si>
  <si>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</si>
  <si>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</si>
  <si>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</si>
  <si>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</si>
  <si>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</si>
  <si>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</si>
  <si>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</si>
  <si>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</si>
  <si>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</si>
  <si>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</si>
  <si>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</si>
  <si>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</si>
  <si>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</si>
  <si>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</si>
  <si>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</si>
  <si>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</si>
  <si>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</si>
  <si>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</si>
  <si>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</si>
  <si>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</si>
  <si>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</si>
  <si>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</si>
  <si>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</si>
  <si>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</si>
  <si>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</si>
  <si>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</si>
  <si>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</si>
  <si>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</si>
  <si>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</si>
  <si>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</si>
  <si>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</si>
  <si>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</si>
  <si>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</si>
  <si>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</si>
  <si>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</si>
  <si>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</si>
  <si>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</si>
  <si>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</si>
  <si>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</si>
  <si>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</si>
  <si>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</si>
  <si>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</si>
  <si>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</si>
  <si>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</si>
  <si>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</si>
  <si>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</si>
  <si>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</si>
  <si>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</si>
  <si>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</si>
  <si>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</si>
  <si>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</si>
  <si>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</si>
  <si>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</si>
  <si>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</si>
  <si>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</si>
  <si>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</si>
  <si>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</si>
  <si>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</si>
  <si>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</si>
  <si>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</si>
  <si>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</si>
  <si>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</si>
  <si>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</si>
  <si>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</si>
  <si>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</si>
  <si>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</si>
  <si>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</si>
  <si>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</si>
  <si>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</si>
  <si>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</si>
  <si>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</si>
  <si>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</si>
  <si>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</si>
  <si>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</si>
  <si>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</si>
  <si>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</si>
  <si>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</si>
  <si>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</si>
  <si>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</si>
  <si>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</si>
  <si>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</si>
  <si>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</si>
  <si>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</si>
  <si>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</si>
  <si>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</si>
  <si>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</si>
  <si>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</si>
  <si>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</si>
  <si>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</si>
  <si>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</si>
  <si>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</si>
  <si>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</si>
  <si>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</si>
  <si>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</si>
  <si>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</si>
  <si>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</si>
  <si>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</si>
  <si>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</si>
  <si>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</si>
  <si>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</si>
  <si>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</si>
  <si>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</si>
  <si>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</si>
  <si>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</si>
  <si>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</si>
  <si>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</si>
  <si>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</si>
  <si>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</si>
  <si>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</si>
  <si>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</si>
  <si>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</si>
  <si>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</si>
  <si>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</si>
  <si>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</si>
  <si>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</si>
  <si>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</si>
  <si>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</si>
  <si>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</si>
  <si>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</si>
  <si>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</si>
  <si>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</si>
  <si>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</si>
  <si>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</si>
  <si>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</si>
  <si>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</si>
  <si>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</si>
  <si>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</si>
  <si>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</si>
  <si>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</si>
  <si>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</si>
  <si>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</si>
  <si>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</si>
  <si>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</si>
  <si>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</si>
  <si>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</si>
  <si>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</si>
  <si>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</si>
  <si>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</si>
  <si>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</si>
  <si>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</si>
  <si>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</si>
  <si>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</si>
  <si>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</si>
  <si>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</si>
  <si>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</si>
  <si>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</si>
  <si>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</si>
  <si>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</si>
  <si>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</si>
  <si>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</si>
  <si>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</si>
  <si>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</si>
  <si>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</si>
  <si>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</si>
  <si>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</si>
  <si>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</si>
  <si>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</si>
  <si>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</si>
  <si>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</si>
  <si>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</si>
  <si>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</si>
  <si>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</si>
  <si>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</si>
  <si>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</si>
  <si>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</si>
  <si>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</si>
  <si>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</si>
  <si>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</si>
  <si>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</si>
  <si>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</si>
  <si>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</si>
  <si>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</si>
  <si>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</si>
  <si>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</si>
  <si>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</si>
  <si>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</si>
  <si>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</si>
  <si>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</si>
  <si>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</si>
  <si>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</si>
  <si>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</si>
  <si>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</si>
  <si>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</si>
  <si>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</si>
  <si>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</si>
  <si>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</si>
  <si>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</si>
  <si>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</si>
  <si>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</si>
  <si>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</si>
  <si>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</si>
  <si>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</si>
  <si>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</si>
  <si>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</si>
  <si>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</si>
  <si>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</si>
  <si>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</si>
  <si>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</si>
  <si>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</si>
  <si>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</si>
  <si>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</si>
  <si>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</si>
  <si>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</si>
  <si>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</si>
  <si>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</si>
  <si>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</si>
  <si>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</si>
  <si>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</si>
  <si>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</si>
  <si>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</si>
  <si>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</si>
  <si>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</si>
  <si>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</si>
  <si>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</si>
  <si>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</si>
  <si>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</si>
  <si>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</si>
  <si>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</si>
  <si>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</si>
  <si>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</si>
  <si>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</si>
  <si>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</si>
  <si>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</si>
  <si>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</si>
  <si>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</si>
  <si>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</si>
  <si>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</si>
  <si>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</si>
  <si>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</si>
  <si>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</si>
  <si>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</si>
  <si>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</si>
  <si>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</si>
  <si>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</si>
  <si>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</si>
  <si>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</si>
  <si>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</si>
  <si>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</si>
  <si>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</si>
  <si>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</si>
  <si>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</si>
  <si>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</si>
  <si>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</si>
  <si>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</si>
  <si>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</si>
  <si>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</si>
  <si>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</si>
  <si>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</si>
  <si>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</si>
  <si>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</si>
  <si>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</si>
  <si>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</si>
  <si>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</si>
  <si>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</si>
  <si>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</si>
  <si>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</si>
  <si>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</si>
  <si>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</si>
  <si>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</si>
  <si>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</si>
  <si>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</si>
  <si>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</si>
  <si>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</si>
  <si>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</si>
  <si>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</si>
  <si>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</si>
  <si>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</si>
  <si>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</si>
  <si>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</si>
  <si>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</si>
  <si>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</si>
  <si>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</si>
  <si>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</si>
  <si>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</si>
  <si>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</si>
  <si>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</si>
  <si>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</si>
  <si>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</si>
  <si>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</si>
  <si>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</si>
  <si>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</si>
  <si>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</si>
  <si>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</si>
  <si>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</si>
  <si>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</si>
  <si>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</si>
  <si>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</si>
  <si>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</si>
  <si>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</si>
  <si>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</si>
  <si>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</si>
  <si>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</si>
  <si>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</si>
  <si>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</si>
  <si>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</si>
  <si>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</si>
  <si>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</si>
  <si>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</si>
  <si>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</si>
  <si>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</si>
  <si>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</si>
  <si>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</si>
  <si>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</si>
  <si>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</si>
  <si>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</si>
  <si>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</si>
  <si>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</si>
  <si>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</si>
  <si>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</si>
  <si>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</si>
  <si>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</si>
  <si>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</si>
  <si>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</si>
  <si>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</si>
  <si>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</si>
  <si>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</si>
  <si>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</si>
  <si>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</si>
  <si>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</si>
  <si>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</si>
  <si>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</si>
  <si>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</si>
  <si>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</si>
  <si>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</si>
  <si>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</si>
  <si>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</si>
  <si>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</si>
  <si>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</si>
  <si>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</si>
  <si>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</si>
  <si>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</si>
  <si>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</si>
  <si>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</si>
  <si>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</si>
  <si>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</si>
  <si>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</si>
  <si>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</si>
  <si>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</si>
  <si>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</si>
  <si>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</si>
  <si>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</si>
  <si>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</si>
  <si>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</si>
  <si>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</si>
  <si>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</si>
  <si>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</si>
  <si>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</si>
  <si>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</si>
  <si>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</si>
  <si>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</si>
  <si>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</si>
  <si>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</si>
  <si>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</si>
  <si>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</si>
  <si>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</si>
  <si>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</si>
  <si>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</si>
  <si>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</si>
  <si>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</si>
  <si>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</si>
  <si>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</si>
  <si>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</si>
  <si>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</si>
  <si>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</si>
  <si>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</si>
  <si>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</si>
  <si>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</si>
  <si>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</si>
  <si>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</si>
  <si>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</si>
  <si>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</si>
  <si>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</si>
  <si>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</si>
  <si>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</si>
  <si>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</si>
  <si>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</si>
  <si>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</si>
  <si>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</si>
  <si>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</si>
  <si>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</si>
  <si>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</si>
  <si>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</si>
  <si>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</si>
  <si>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</si>
  <si>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</si>
  <si>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</si>
  <si>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</si>
  <si>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</si>
  <si>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</si>
  <si>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</si>
  <si>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</si>
  <si>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</si>
  <si>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</si>
  <si>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</si>
  <si>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</si>
  <si>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</si>
  <si>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</si>
  <si>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</si>
  <si>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</si>
  <si>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</si>
  <si>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</si>
  <si>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</si>
  <si>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</si>
  <si>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</si>
  <si>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</si>
  <si>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</si>
  <si>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</si>
  <si>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</si>
  <si>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</si>
  <si>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</si>
  <si>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</si>
  <si>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</si>
  <si>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</si>
  <si>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</si>
  <si>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</si>
  <si>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</si>
  <si>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</si>
  <si>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</si>
  <si>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</si>
  <si>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</si>
  <si>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</si>
  <si>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</si>
  <si>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</si>
  <si>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</si>
  <si>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</si>
  <si>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</si>
  <si>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</si>
  <si>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</si>
  <si>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</si>
  <si>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</si>
  <si>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</si>
  <si>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</si>
  <si>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</si>
  <si>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</si>
  <si>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</si>
  <si>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</si>
  <si>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</si>
  <si>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</si>
  <si>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</si>
  <si>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</si>
  <si>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</si>
  <si>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</si>
  <si>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</si>
  <si>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</si>
  <si>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</si>
  <si>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</si>
  <si>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</si>
  <si>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</si>
  <si>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</si>
  <si>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</si>
  <si>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</si>
  <si>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</si>
  <si>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</si>
  <si>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</si>
  <si>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</si>
  <si>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</si>
  <si>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</si>
  <si>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</si>
  <si>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</si>
  <si>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</si>
  <si>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</si>
  <si>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</si>
  <si>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</si>
  <si>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</si>
  <si>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</si>
  <si>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</si>
  <si>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</si>
  <si>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</si>
  <si>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</si>
  <si>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</si>
  <si>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</si>
  <si>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</si>
  <si>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</si>
  <si>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</si>
  <si>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</si>
  <si>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</si>
  <si>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</si>
  <si>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</si>
  <si>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</si>
  <si>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</si>
  <si>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</si>
  <si>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</si>
  <si>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</si>
  <si>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</si>
  <si>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</si>
  <si>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</si>
  <si>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</si>
  <si>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</si>
  <si>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</si>
  <si>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</si>
  <si>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</si>
  <si>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</si>
  <si>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</si>
  <si>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</si>
  <si>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</si>
  <si>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</si>
  <si>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</si>
  <si>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</si>
  <si>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</si>
  <si>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</si>
  <si>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</si>
  <si>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</si>
  <si>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</si>
  <si>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</si>
  <si>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</si>
  <si>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</si>
  <si>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</si>
  <si>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</si>
  <si>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</si>
  <si>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</si>
  <si>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</si>
  <si>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</si>
  <si>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</si>
  <si>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</si>
  <si>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</si>
  <si>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</si>
  <si>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</si>
  <si>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</si>
  <si>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</si>
  <si>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</si>
  <si>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</si>
  <si>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</si>
  <si>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</si>
  <si>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</si>
  <si>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</si>
  <si>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</si>
  <si>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</si>
  <si>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</si>
  <si>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</si>
  <si>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</si>
  <si>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</si>
  <si>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</si>
  <si>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</si>
  <si>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</si>
  <si>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</si>
  <si>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</si>
  <si>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</si>
  <si>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</si>
  <si>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</si>
  <si>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</si>
  <si>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</si>
  <si>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</si>
  <si>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</si>
  <si>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</si>
  <si>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</si>
  <si>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</si>
  <si>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</si>
  <si>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</si>
  <si>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</si>
  <si>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</si>
  <si>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</si>
  <si>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</si>
  <si>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</si>
  <si>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</si>
  <si>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</si>
  <si>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</si>
  <si>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</si>
  <si>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</si>
  <si>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</si>
  <si>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</si>
  <si>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</si>
  <si>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</si>
  <si>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</si>
  <si>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</si>
  <si>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</si>
  <si>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</si>
  <si>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</si>
  <si>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</si>
  <si>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</si>
  <si>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</si>
  <si>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</si>
  <si>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</si>
  <si>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</si>
  <si>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</si>
  <si>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</si>
  <si>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</si>
  <si>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</si>
  <si>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</si>
  <si>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</si>
  <si>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</si>
  <si>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</si>
  <si>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</si>
  <si>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</si>
  <si>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</si>
  <si>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</si>
  <si>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</si>
  <si>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</si>
  <si>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</si>
  <si>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</si>
  <si>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</si>
  <si>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</si>
  <si>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</si>
  <si>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</si>
  <si>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</si>
  <si>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</si>
  <si>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</si>
  <si>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</si>
  <si>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</si>
  <si>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</si>
  <si>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</si>
  <si>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</si>
  <si>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</si>
  <si>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</si>
  <si>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</si>
  <si>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</si>
  <si>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</si>
  <si>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</si>
  <si>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</si>
  <si>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</si>
  <si>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</si>
  <si>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</si>
  <si>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</si>
  <si>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</si>
  <si>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</si>
  <si>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</si>
  <si>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</si>
  <si>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</si>
  <si>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</si>
  <si>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</si>
  <si>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</si>
  <si>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</si>
  <si>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</si>
  <si>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</si>
  <si>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</si>
  <si>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</si>
  <si>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</si>
  <si>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</si>
  <si>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</si>
  <si>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</si>
  <si>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</si>
  <si>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</si>
  <si>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</si>
  <si>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</si>
  <si>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</si>
  <si>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</si>
  <si>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</si>
  <si>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</si>
  <si>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</si>
  <si>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</si>
  <si>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</si>
  <si>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</si>
  <si>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</si>
  <si>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</si>
  <si>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</si>
  <si>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</si>
  <si>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</si>
  <si>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</si>
  <si>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</si>
  <si>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</si>
  <si>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</si>
  <si>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</si>
  <si>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</si>
  <si>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</si>
  <si>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</si>
  <si>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</si>
  <si>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</si>
  <si>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</si>
  <si>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</si>
  <si>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</si>
  <si>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</si>
  <si>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</si>
  <si>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</si>
  <si>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</si>
  <si>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</si>
  <si>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</si>
  <si>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</si>
  <si>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</si>
  <si>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</si>
  <si>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</si>
  <si>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</si>
  <si>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</si>
  <si>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</si>
  <si>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</si>
  <si>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</si>
  <si>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</si>
  <si>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</si>
  <si>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</si>
  <si>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</si>
  <si>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</si>
  <si>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</si>
  <si>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</si>
  <si>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</si>
  <si>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</si>
  <si>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</si>
  <si>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</si>
  <si>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</si>
  <si>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</si>
  <si>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</si>
  <si>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</si>
  <si>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</si>
  <si>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</si>
  <si>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</si>
  <si>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</si>
  <si>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</si>
  <si>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</si>
  <si>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</si>
  <si>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</si>
  <si>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</si>
  <si>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</si>
  <si>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</si>
  <si>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</si>
  <si>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</si>
  <si>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</si>
  <si>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</si>
  <si>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</si>
  <si>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</si>
  <si>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</si>
  <si>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</si>
  <si>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</si>
  <si>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</si>
  <si>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</si>
  <si>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</si>
  <si>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</si>
  <si>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</si>
  <si>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</si>
  <si>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</si>
  <si>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</si>
  <si>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</si>
  <si>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</si>
  <si>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</si>
  <si>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</si>
  <si>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</si>
  <si>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</si>
  <si>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</si>
  <si>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</si>
  <si>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</si>
  <si>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</si>
  <si>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</si>
  <si>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</si>
  <si>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</si>
  <si>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</si>
  <si>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</si>
  <si>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</si>
  <si>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</si>
  <si>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</si>
  <si>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</si>
  <si>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</si>
  <si>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</si>
  <si>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</si>
  <si>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</si>
  <si>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</si>
  <si>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</si>
  <si>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</si>
  <si>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</si>
  <si>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</si>
  <si>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</si>
  <si>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</si>
  <si>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</si>
  <si>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</si>
  <si>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</si>
  <si>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</si>
  <si>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</si>
  <si>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</si>
  <si>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</si>
  <si>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</si>
  <si>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</si>
  <si>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</si>
  <si>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</si>
  <si>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</si>
  <si>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</si>
  <si>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</si>
  <si>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</si>
  <si>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</si>
  <si>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</si>
  <si>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</si>
  <si>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</si>
  <si>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</si>
  <si>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</si>
  <si>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</si>
  <si>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</si>
  <si>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</si>
  <si>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</si>
  <si>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</si>
  <si>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</si>
  <si>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</si>
  <si>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</si>
  <si>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</si>
  <si>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</si>
  <si>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</si>
  <si>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</si>
  <si>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</si>
  <si>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</si>
  <si>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</si>
  <si>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</si>
  <si>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</si>
  <si>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</si>
  <si>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</si>
  <si>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</si>
  <si>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</si>
  <si>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</si>
  <si>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</si>
  <si>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</si>
  <si>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</si>
  <si>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</si>
  <si>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</si>
  <si>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</si>
  <si>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</si>
  <si>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</si>
  <si>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</si>
  <si>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</si>
  <si>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</si>
  <si>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</si>
  <si>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</si>
  <si>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</si>
  <si>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</si>
  <si>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</si>
  <si>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</si>
  <si>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</si>
  <si>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</si>
  <si>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</si>
  <si>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</si>
  <si>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</si>
  <si>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</si>
  <si>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</si>
  <si>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</si>
  <si>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</si>
  <si>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</si>
  <si>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</si>
  <si>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</si>
  <si>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</si>
  <si>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</si>
  <si>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</si>
  <si>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</si>
  <si>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</si>
  <si>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</si>
  <si>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</si>
  <si>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</si>
  <si>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</si>
  <si>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</si>
  <si>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</si>
  <si>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</si>
  <si>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</si>
  <si>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</si>
  <si>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</si>
  <si>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</si>
  <si>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</si>
  <si>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</si>
  <si>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</si>
  <si>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</si>
  <si>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</si>
  <si>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</si>
  <si>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</si>
  <si>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</si>
  <si>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</si>
  <si>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</si>
  <si>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</si>
  <si>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</si>
  <si>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</si>
  <si>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</si>
  <si>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</si>
  <si>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</si>
  <si>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</si>
  <si>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</si>
  <si>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</si>
  <si>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</si>
  <si>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</si>
  <si>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</si>
  <si>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</si>
  <si>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</si>
  <si>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</si>
  <si>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</si>
  <si>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</si>
  <si>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</si>
  <si>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</si>
  <si>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</si>
  <si>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</si>
  <si>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</si>
  <si>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</si>
  <si>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</si>
  <si>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</si>
  <si>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</si>
  <si>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</si>
  <si>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</si>
  <si>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</si>
  <si>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</si>
  <si>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</si>
  <si>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</si>
  <si>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</si>
  <si>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</si>
  <si>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</si>
  <si>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</si>
  <si>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</si>
  <si>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</si>
  <si>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</si>
  <si>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</si>
  <si>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</si>
  <si>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</si>
  <si>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</si>
  <si>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</si>
  <si>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</si>
  <si>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</si>
  <si>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</si>
  <si>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</si>
  <si>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</si>
  <si>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</si>
  <si>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</si>
  <si>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</si>
  <si>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</si>
  <si>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</si>
  <si>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</si>
  <si>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</si>
  <si>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</si>
  <si>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</si>
  <si>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</si>
  <si>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</si>
  <si>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</si>
  <si>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</si>
  <si>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</si>
  <si>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</si>
  <si>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</si>
  <si>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</si>
  <si>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</si>
  <si>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</si>
  <si>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</si>
  <si>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</si>
  <si>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</si>
  <si>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</si>
  <si>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</si>
  <si>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</si>
  <si>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</si>
  <si>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</si>
  <si>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</si>
  <si>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</si>
  <si>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</si>
  <si>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</si>
  <si>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</si>
  <si>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</si>
  <si>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</si>
  <si>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</si>
  <si>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</si>
  <si>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</si>
  <si>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</si>
  <si>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</si>
  <si>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</si>
  <si>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</si>
  <si>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</si>
  <si>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</si>
  <si>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</si>
  <si>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</si>
  <si>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</si>
  <si>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</si>
  <si>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</si>
  <si>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</si>
  <si>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</si>
  <si>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</si>
  <si>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</si>
  <si>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</si>
  <si>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</si>
  <si>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</si>
  <si>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</si>
  <si>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</si>
  <si>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</si>
  <si>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</si>
  <si>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</si>
  <si>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</si>
  <si>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</si>
  <si>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</si>
  <si>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</si>
  <si>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</si>
  <si>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</si>
  <si>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</si>
  <si>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</si>
  <si>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</si>
  <si>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</si>
  <si>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</si>
  <si>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</si>
  <si>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</si>
  <si>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</si>
  <si>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</si>
  <si>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</si>
  <si>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</si>
  <si>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</si>
  <si>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</si>
  <si>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</si>
  <si>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</si>
  <si>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</si>
  <si>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</si>
  <si>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</si>
  <si>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</si>
  <si>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</si>
  <si>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</si>
  <si>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</si>
  <si>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</si>
  <si>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</si>
  <si>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</si>
  <si>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</si>
  <si>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</si>
  <si>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</si>
  <si>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</si>
  <si>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</si>
  <si>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</si>
  <si>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</si>
  <si>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</si>
  <si>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</si>
  <si>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</si>
  <si>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</si>
  <si>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</si>
  <si>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</si>
  <si>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</si>
  <si>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</si>
  <si>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</si>
  <si>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</si>
  <si>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</si>
  <si>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</si>
  <si>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</si>
  <si>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</si>
  <si>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</si>
  <si>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</si>
  <si>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</si>
  <si>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</si>
  <si>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</si>
  <si>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</si>
  <si>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</si>
  <si>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</si>
  <si>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</si>
  <si>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</si>
  <si>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</si>
  <si>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</si>
  <si>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</si>
  <si>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</si>
  <si>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</si>
  <si>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</si>
  <si>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</si>
  <si>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</si>
  <si>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</si>
  <si>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</si>
  <si>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</si>
  <si>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</si>
  <si>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</si>
  <si>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</si>
  <si>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</si>
  <si>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</si>
  <si>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</si>
  <si>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</si>
  <si>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</si>
  <si>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</si>
  <si>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</si>
  <si>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</si>
  <si>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</si>
  <si>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</si>
  <si>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</si>
  <si>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</si>
  <si>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</si>
  <si>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</si>
  <si>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</si>
  <si>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</si>
  <si>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</si>
  <si>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</si>
  <si>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</si>
  <si>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</si>
  <si>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</si>
  <si>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</si>
  <si>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</si>
  <si>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</si>
  <si>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</si>
  <si>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</si>
  <si>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</si>
  <si>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</si>
  <si>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</si>
  <si>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</si>
  <si>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</si>
  <si>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</si>
  <si>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</si>
  <si>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</si>
  <si>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</si>
  <si>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</si>
  <si>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BH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</si>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</sst>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55" totalsRowShown="0" headerRowDxfId="93" dataDxfId="92">
  <autoFilter ref="A1:R1055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2" totalsRowShown="0" headerRowDxfId="48" dataDxfId="47">
  <autoFilter ref="A2:H7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8" dataDxfId="37">
  <autoFilter ref="A2:J27" xr:uid="{74ED0DA7-B29F-4043-B63E-2DC322D6021E}"/>
  <tableColumns count="10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10" xr3:uid="{DF8A5646-B5C4-4D59-95EA-E2716166A1CB}" name="Voucher No.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23"/>
  <sheetViews>
    <sheetView tabSelected="1" topLeftCell="G1011" zoomScaleNormal="100" workbookViewId="0">
      <selection activeCell="N1024" sqref="N102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12527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55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12458</v>
      </c>
      <c r="D1042" s="20" t="s">
        <v>12459</v>
      </c>
      <c r="E1042" s="20" t="s">
        <v>1021</v>
      </c>
      <c r="F1042" s="20" t="s">
        <v>234</v>
      </c>
      <c r="G1042" s="20" t="s">
        <v>197</v>
      </c>
      <c r="H1042" s="20" t="str">
        <f t="shared" ref="H1042:H1045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NEW</v>
      </c>
      <c r="I1042" s="20" t="s">
        <v>12475</v>
      </c>
      <c r="J1042" s="21">
        <v>46258</v>
      </c>
      <c r="K1042" s="20">
        <v>9622789577</v>
      </c>
      <c r="L1042" s="20" t="s">
        <v>1122</v>
      </c>
      <c r="M1042" s="22"/>
      <c r="N1042" s="21"/>
      <c r="O1042" s="20"/>
      <c r="P1042" s="23"/>
      <c r="Q1042" s="20"/>
      <c r="R1042" s="20"/>
    </row>
    <row r="1043" spans="1:18" x14ac:dyDescent="0.25">
      <c r="A1043" s="20">
        <f t="shared" si="49"/>
        <v>1042</v>
      </c>
      <c r="B1043" s="20" t="s">
        <v>12486</v>
      </c>
      <c r="C1043" s="20" t="s">
        <v>12487</v>
      </c>
      <c r="D1043" s="20" t="s">
        <v>12488</v>
      </c>
      <c r="E1043" s="20" t="s">
        <v>12489</v>
      </c>
      <c r="F1043" s="20" t="s">
        <v>234</v>
      </c>
      <c r="G1043" s="20" t="s">
        <v>197</v>
      </c>
      <c r="H1043" s="20" t="str">
        <f>IF(LEFT(I1043,4)="JK13","PULWAMA",IF(LEFT(I1043,4)="JK01","SRINAGAR",IF(LEFT(I1043,4)="JK04","BUDGAM",IF(LEFT(I1043,4)="JK06","DODA",IF(LEFT(I1043,4)="JK03","ANANTNAG",IF(LEFT(I1043,4)="LA01","KARGIL",IF(LEFT(I1043,4)="LA02","LEH",IF(LEFT(I1043,4)="JK05","BARAMULLA",IF(LEFT(I1043,4)="JK21","SAMBA",IF(LEFT(I1043,4)="26BH","BHARAT",IF(LEFT(I1043,4)="25BH","BHARAT",IF(LEFT(I1043,4)="JK12","POONCH",IF(LEFT(I1043,4)="JK16","GANDERBAL",IF(LEFT(I1043,4)="JK14","UDHAMPUR",IF(LEFT(I1043,4)="JK18","KULGAM",IF(LEFT(I1043,4)="JK22","SHOPIAN",IF(LEFT(I1043,4)="JK02","JAMMU",IF(LEFT(I1043,4)="JK09","KUPWARA",IF(LEFT(I1043,4)="JK15","BANDIPORA",IF(LEFT(I1043,4)="JK17","KISHTWAR",IF(LEFT(I1043,4)="LA01","KARGIL",IF(LEFT(I1043,1)="T","TEMP","NEW"))))))))))))))))))))))</f>
        <v>NEW</v>
      </c>
      <c r="I1043" s="20" t="s">
        <v>12475</v>
      </c>
      <c r="J1043" s="21">
        <v>46259</v>
      </c>
      <c r="K1043" s="20">
        <v>9149788930</v>
      </c>
      <c r="L1043" s="20" t="s">
        <v>26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12460</v>
      </c>
      <c r="D1044" s="20" t="s">
        <v>12461</v>
      </c>
      <c r="E1044" s="20" t="s">
        <v>12462</v>
      </c>
      <c r="F1044" s="20" t="s">
        <v>5</v>
      </c>
      <c r="G1044" s="20" t="s">
        <v>196</v>
      </c>
      <c r="H1044" s="20" t="str">
        <f t="shared" si="53"/>
        <v>SRINAGAR</v>
      </c>
      <c r="I1044" s="20" t="s">
        <v>12463</v>
      </c>
      <c r="J1044" s="21">
        <v>46258</v>
      </c>
      <c r="K1044" s="20">
        <v>9541177974</v>
      </c>
      <c r="L1044" s="20" t="s">
        <v>10241</v>
      </c>
      <c r="M1044" s="20"/>
      <c r="N1044" s="21"/>
      <c r="O1044" s="20" t="s">
        <v>23</v>
      </c>
      <c r="P1044" s="23">
        <v>46258</v>
      </c>
      <c r="Q1044" s="20" t="s">
        <v>6454</v>
      </c>
      <c r="R1044" s="20"/>
    </row>
    <row r="1045" spans="1:18" x14ac:dyDescent="0.25">
      <c r="A1045" s="20">
        <f t="shared" si="49"/>
        <v>1044</v>
      </c>
      <c r="B1045" s="20" t="s">
        <v>12467</v>
      </c>
      <c r="C1045" s="20" t="s">
        <v>12466</v>
      </c>
      <c r="D1045" s="20" t="s">
        <v>12471</v>
      </c>
      <c r="E1045" s="20" t="s">
        <v>12465</v>
      </c>
      <c r="F1045" s="20" t="s">
        <v>12</v>
      </c>
      <c r="G1045" s="20" t="s">
        <v>197</v>
      </c>
      <c r="H1045" s="20" t="str">
        <f t="shared" si="53"/>
        <v>PULWAMA</v>
      </c>
      <c r="I1045" s="20" t="s">
        <v>12474</v>
      </c>
      <c r="J1045" s="21">
        <v>46258</v>
      </c>
      <c r="K1045" s="20">
        <v>7006165136</v>
      </c>
      <c r="L1045" s="20" t="s">
        <v>5540</v>
      </c>
      <c r="M1045" s="22"/>
      <c r="N1045" s="21"/>
      <c r="O1045" s="20"/>
      <c r="P1045" s="23"/>
      <c r="Q1045" s="20"/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12469</v>
      </c>
      <c r="D1046" s="20" t="s">
        <v>12472</v>
      </c>
      <c r="E1046" s="20" t="s">
        <v>12468</v>
      </c>
      <c r="F1046" s="20" t="s">
        <v>12</v>
      </c>
      <c r="G1046" s="20" t="s">
        <v>197</v>
      </c>
      <c r="H1046" s="20" t="str">
        <f t="shared" ref="H1046:H1047" si="54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PULWAMA</v>
      </c>
      <c r="I1046" s="20" t="s">
        <v>12473</v>
      </c>
      <c r="J1046" s="21">
        <v>46258</v>
      </c>
      <c r="K1046" s="20">
        <v>6005374328</v>
      </c>
      <c r="L1046" s="20" t="s">
        <v>11346</v>
      </c>
      <c r="M1046" s="22"/>
      <c r="N1046" s="21"/>
      <c r="O1046" s="20"/>
      <c r="P1046" s="23"/>
      <c r="Q1046" s="20"/>
      <c r="R1046" s="20"/>
    </row>
    <row r="1047" spans="1:18" x14ac:dyDescent="0.25">
      <c r="A1047" s="20">
        <f t="shared" si="49"/>
        <v>1046</v>
      </c>
      <c r="B1047" s="20" t="s">
        <v>12479</v>
      </c>
      <c r="C1047" s="20" t="s">
        <v>12476</v>
      </c>
      <c r="D1047" s="20" t="s">
        <v>12477</v>
      </c>
      <c r="E1047" s="20" t="s">
        <v>12478</v>
      </c>
      <c r="F1047" s="20" t="s">
        <v>36</v>
      </c>
      <c r="G1047" s="20" t="s">
        <v>196</v>
      </c>
      <c r="H1047" s="20" t="str">
        <f t="shared" si="54"/>
        <v>SRINAGAR</v>
      </c>
      <c r="I1047" s="20" t="s">
        <v>12495</v>
      </c>
      <c r="J1047" s="21">
        <v>46259</v>
      </c>
      <c r="K1047" s="20">
        <v>9596046014</v>
      </c>
      <c r="L1047" s="20" t="s">
        <v>11301</v>
      </c>
      <c r="M1047" s="22" t="s">
        <v>73</v>
      </c>
      <c r="N1047" s="21">
        <v>46260</v>
      </c>
      <c r="O1047" s="20" t="s">
        <v>23</v>
      </c>
      <c r="P1047" s="23">
        <v>46259</v>
      </c>
      <c r="Q1047" s="20" t="s">
        <v>6454</v>
      </c>
      <c r="R1047" s="20"/>
    </row>
    <row r="1048" spans="1:18" x14ac:dyDescent="0.25">
      <c r="A1048" s="20">
        <f t="shared" si="49"/>
        <v>1047</v>
      </c>
      <c r="B1048" s="20" t="s">
        <v>12480</v>
      </c>
      <c r="C1048" s="20" t="s">
        <v>12481</v>
      </c>
      <c r="D1048" s="20" t="s">
        <v>12482</v>
      </c>
      <c r="E1048" s="20" t="s">
        <v>12483</v>
      </c>
      <c r="F1048" s="20" t="s">
        <v>5</v>
      </c>
      <c r="G1048" s="20" t="s">
        <v>171</v>
      </c>
      <c r="H1048" s="20" t="str">
        <f t="shared" ref="H1048:H1052" si="55">IF(LEFT(I1048,4)="JK13","PULWAMA",IF(LEFT(I1048,4)="JK01","SRINAGAR",IF(LEFT(I1048,4)="JK04","BUDGAM",IF(LEFT(I1048,4)="JK06","DODA",IF(LEFT(I1048,4)="JK03","ANANTNAG",IF(LEFT(I1048,4)="LA01","KARGIL",IF(LEFT(I1048,4)="LA02","LEH",IF(LEFT(I1048,4)="JK05","BARAMULLA",IF(LEFT(I1048,4)="JK21","SAMBA",IF(LEFT(I1048,4)="26BH","BHARAT",IF(LEFT(I1048,4)="25BH","BHARAT",IF(LEFT(I1048,4)="JK12","POONCH",IF(LEFT(I1048,4)="JK16","GANDERBAL",IF(LEFT(I1048,4)="JK14","UDHAMPUR",IF(LEFT(I1048,4)="JK18","KULGAM",IF(LEFT(I1048,4)="JK22","SHOPIAN",IF(LEFT(I1048,4)="JK02","JAMMU",IF(LEFT(I1048,4)="JK09","KUPWARA",IF(LEFT(I1048,4)="JK15","BANDIPORA",IF(LEFT(I1048,4)="JK17","KISHTWAR",IF(LEFT(I1048,4)="LA01","KARGIL",IF(LEFT(I1048,1)="T","TEMP","NEW"))))))))))))))))))))))</f>
        <v>SRINAGAR</v>
      </c>
      <c r="I1048" s="20" t="s">
        <v>12496</v>
      </c>
      <c r="J1048" s="21">
        <v>46259</v>
      </c>
      <c r="K1048" s="20">
        <v>8899213279</v>
      </c>
      <c r="L1048" s="20" t="s">
        <v>11301</v>
      </c>
      <c r="M1048" s="22"/>
      <c r="N1048" s="21"/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12490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196</v>
      </c>
      <c r="H1049" s="20" t="str">
        <f t="shared" si="55"/>
        <v>PULWAMA</v>
      </c>
      <c r="I1049" s="20" t="s">
        <v>12494</v>
      </c>
      <c r="J1049" s="21">
        <v>46259</v>
      </c>
      <c r="K1049" s="20">
        <v>9596159322</v>
      </c>
      <c r="L1049" s="20" t="s">
        <v>6446</v>
      </c>
      <c r="M1049" s="22"/>
      <c r="N1049" s="21"/>
      <c r="O1049" s="20"/>
      <c r="P1049" s="23"/>
      <c r="Q1049" s="20"/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12497</v>
      </c>
      <c r="D1050" s="20" t="s">
        <v>12498</v>
      </c>
      <c r="E1050" s="20" t="s">
        <v>12499</v>
      </c>
      <c r="F1050" s="20" t="s">
        <v>12</v>
      </c>
      <c r="G1050" s="20" t="s">
        <v>178</v>
      </c>
      <c r="H1050" s="20" t="str">
        <f t="shared" si="55"/>
        <v>SRINAGAR</v>
      </c>
      <c r="I1050" s="20" t="s">
        <v>12506</v>
      </c>
      <c r="J1050" s="21">
        <v>46259</v>
      </c>
      <c r="K1050" s="20">
        <v>7889306381</v>
      </c>
      <c r="L1050" s="20" t="s">
        <v>12452</v>
      </c>
      <c r="M1050" s="20" t="s">
        <v>12452</v>
      </c>
      <c r="N1050" s="21">
        <v>46260</v>
      </c>
      <c r="O1050" s="20" t="s">
        <v>23</v>
      </c>
      <c r="P1050" s="23">
        <v>46259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12501</v>
      </c>
      <c r="D1051" s="20" t="s">
        <v>12502</v>
      </c>
      <c r="E1051" s="20" t="s">
        <v>12503</v>
      </c>
      <c r="F1051" s="20" t="s">
        <v>5</v>
      </c>
      <c r="G1051" s="20" t="s">
        <v>178</v>
      </c>
      <c r="H1051" s="20" t="str">
        <f t="shared" si="55"/>
        <v>SRINAGAR</v>
      </c>
      <c r="I1051" s="20" t="s">
        <v>12505</v>
      </c>
      <c r="J1051" s="21">
        <v>46259</v>
      </c>
      <c r="K1051" s="20">
        <v>9906590013</v>
      </c>
      <c r="L1051" s="20" t="s">
        <v>2168</v>
      </c>
      <c r="M1051" s="20" t="s">
        <v>2168</v>
      </c>
      <c r="N1051" s="21">
        <v>46260</v>
      </c>
      <c r="O1051" s="20" t="s">
        <v>23</v>
      </c>
      <c r="P1051" s="23">
        <v>46259</v>
      </c>
      <c r="Q1051" s="20" t="s">
        <v>6454</v>
      </c>
      <c r="R1051" s="20"/>
    </row>
    <row r="1052" spans="1:18" x14ac:dyDescent="0.25">
      <c r="A1052" s="20">
        <f t="shared" si="49"/>
        <v>1051</v>
      </c>
      <c r="B1052" s="20" t="s">
        <v>12507</v>
      </c>
      <c r="C1052" s="20" t="s">
        <v>12508</v>
      </c>
      <c r="D1052" s="20" t="s">
        <v>12509</v>
      </c>
      <c r="E1052" s="20" t="s">
        <v>12510</v>
      </c>
      <c r="F1052" s="20" t="s">
        <v>98</v>
      </c>
      <c r="G1052" s="20" t="s">
        <v>171</v>
      </c>
      <c r="H1052" s="20" t="str">
        <f t="shared" si="55"/>
        <v>BARAMULLA</v>
      </c>
      <c r="I1052" s="20" t="s">
        <v>12515</v>
      </c>
      <c r="J1052" s="21">
        <v>46259</v>
      </c>
      <c r="K1052" s="20">
        <v>9906431326</v>
      </c>
      <c r="L1052" s="20" t="s">
        <v>11184</v>
      </c>
      <c r="M1052" s="22"/>
      <c r="N1052" s="21"/>
      <c r="O1052" s="20" t="s">
        <v>23</v>
      </c>
      <c r="P1052" s="23">
        <v>46260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12511</v>
      </c>
      <c r="C1053" s="20" t="s">
        <v>12512</v>
      </c>
      <c r="D1053" s="20" t="s">
        <v>12513</v>
      </c>
      <c r="E1053" s="20" t="s">
        <v>12514</v>
      </c>
      <c r="F1053" s="20" t="s">
        <v>5</v>
      </c>
      <c r="G1053" s="20" t="s">
        <v>171</v>
      </c>
      <c r="H1053" s="20" t="str">
        <f t="shared" ref="H1053:H1055" si="56">IF(LEFT(I1053,4)="JK13","PULWAMA",IF(LEFT(I1053,4)="JK01","SRINAGAR",IF(LEFT(I1053,4)="JK04","BUDGAM",IF(LEFT(I1053,4)="JK06","DODA",IF(LEFT(I1053,4)="JK03","ANANTNAG",IF(LEFT(I1053,4)="LA01","KARGIL",IF(LEFT(I1053,4)="LA02","LEH",IF(LEFT(I1053,4)="JK05","BARAMULLA",IF(LEFT(I1053,4)="JK21","SAMBA",IF(LEFT(I1053,4)="26BH","BHARAT",IF(LEFT(I1053,4)="25BH","BHARAT",IF(LEFT(I1053,4)="JK12","POONCH",IF(LEFT(I1053,4)="JK16","GANDERBAL",IF(LEFT(I1053,4)="JK14","UDHAMPUR",IF(LEFT(I1053,4)="JK18","KULGAM",IF(LEFT(I1053,4)="JK22","SHOPIAN",IF(LEFT(I1053,4)="JK02","JAMMU",IF(LEFT(I1053,4)="JK09","KUPWARA",IF(LEFT(I1053,4)="JK15","BANDIPORA",IF(LEFT(I1053,4)="JK17","KISHTWAR",IF(LEFT(I1053,4)="LA01","KARGIL",IF(LEFT(I1053,1)="T","TEMP","NEW"))))))))))))))))))))))</f>
        <v>SHOPIAN</v>
      </c>
      <c r="I1053" s="20" t="s">
        <v>12516</v>
      </c>
      <c r="J1053" s="21">
        <v>46259</v>
      </c>
      <c r="K1053" s="20">
        <v>9697499856</v>
      </c>
      <c r="L1053" s="20" t="s">
        <v>6574</v>
      </c>
      <c r="M1053" s="22"/>
      <c r="N1053" s="21"/>
      <c r="O1053" s="20"/>
      <c r="P1053" s="23"/>
      <c r="Q1053" s="20"/>
      <c r="R1053" s="20"/>
    </row>
    <row r="1054" spans="1:18" x14ac:dyDescent="0.25">
      <c r="A1054" s="20">
        <f t="shared" si="49"/>
        <v>1053</v>
      </c>
      <c r="B1054" s="20"/>
      <c r="C1054" s="20"/>
      <c r="D1054" s="20"/>
      <c r="E1054" s="20"/>
      <c r="F1054" s="20"/>
      <c r="G1054" s="20"/>
      <c r="H1054" s="20" t="str">
        <f t="shared" si="56"/>
        <v>NEW</v>
      </c>
      <c r="I1054" s="20"/>
      <c r="J1054" s="21"/>
      <c r="K1054" s="20"/>
      <c r="L1054" s="20"/>
      <c r="M1054" s="22"/>
      <c r="N1054" s="21"/>
      <c r="O1054" s="20"/>
      <c r="P1054" s="23"/>
      <c r="Q1054" s="20"/>
      <c r="R1054" s="20"/>
    </row>
    <row r="1055" spans="1:18" x14ac:dyDescent="0.25">
      <c r="A1055" s="20">
        <f t="shared" si="49"/>
        <v>1054</v>
      </c>
      <c r="B1055" s="20"/>
      <c r="C1055" s="20"/>
      <c r="D1055" s="20"/>
      <c r="E1055" s="20"/>
      <c r="F1055" s="20"/>
      <c r="G1055" s="20"/>
      <c r="H1055" s="20" t="str">
        <f t="shared" si="56"/>
        <v>NEW</v>
      </c>
      <c r="I1055" s="20"/>
      <c r="J1055" s="21"/>
      <c r="K1055" s="20"/>
      <c r="L1055" s="20"/>
      <c r="M1055" s="22"/>
      <c r="N1055" s="21"/>
      <c r="O1055" s="20"/>
      <c r="P1055" s="23"/>
      <c r="Q1055" s="20"/>
      <c r="R1055" s="20"/>
    </row>
    <row r="1056" spans="1:18" x14ac:dyDescent="0.25">
      <c r="A1056" s="20"/>
      <c r="B1056" s="20"/>
      <c r="C1056" s="20"/>
      <c r="D1056" s="20"/>
      <c r="E1056" s="20"/>
      <c r="F1056" s="20"/>
      <c r="G1056" s="20"/>
      <c r="H1056" s="20"/>
      <c r="I1056" s="20"/>
      <c r="J1056" s="21"/>
      <c r="K1056" s="20"/>
      <c r="L1056" s="20"/>
      <c r="M1056" t="s">
        <v>43</v>
      </c>
      <c r="Q1056" s="20"/>
    </row>
    <row r="1057" spans="1:17" x14ac:dyDescent="0.25">
      <c r="A1057" s="20"/>
      <c r="B1057" s="20"/>
      <c r="C1057" s="20"/>
      <c r="D1057" s="20"/>
      <c r="E1057" s="20"/>
      <c r="F1057" s="20"/>
      <c r="G1057" s="20"/>
      <c r="H1057" s="20"/>
      <c r="I1057" s="20"/>
      <c r="K1057" s="20"/>
      <c r="L1057" s="20"/>
      <c r="Q1057" s="20"/>
    </row>
    <row r="1058" spans="1:17" x14ac:dyDescent="0.25">
      <c r="H1058" s="20"/>
      <c r="I1058" s="20"/>
      <c r="K1058" s="20"/>
      <c r="Q1058" s="20"/>
    </row>
    <row r="1059" spans="1:17" x14ac:dyDescent="0.25">
      <c r="H1059" s="20"/>
      <c r="I1059" s="20"/>
      <c r="K1059" s="20"/>
    </row>
    <row r="1060" spans="1:17" x14ac:dyDescent="0.25">
      <c r="K1060" s="20"/>
    </row>
    <row r="1061" spans="1:17" x14ac:dyDescent="0.25">
      <c r="K1061" s="20"/>
    </row>
    <row r="1062" spans="1:17" x14ac:dyDescent="0.25">
      <c r="K1062" s="20"/>
    </row>
    <row r="1063" spans="1:17" ht="15.75" x14ac:dyDescent="0.25">
      <c r="B1063" s="47"/>
      <c r="C1063" s="47"/>
      <c r="D1063" s="47"/>
      <c r="E1063" s="47"/>
      <c r="F1063" s="47"/>
      <c r="G1063" s="47"/>
    </row>
    <row r="1064" spans="1:17" ht="15.75" x14ac:dyDescent="0.25">
      <c r="B1064" s="47"/>
      <c r="C1064" s="47"/>
      <c r="D1064" s="47"/>
      <c r="E1064" s="47"/>
      <c r="F1064" s="47"/>
      <c r="G1064" s="47"/>
      <c r="K1064" s="20"/>
    </row>
    <row r="1065" spans="1:17" ht="15.75" x14ac:dyDescent="0.25">
      <c r="B1065" s="47"/>
      <c r="D1065" s="47"/>
      <c r="E1065" s="47"/>
      <c r="F1065" s="47"/>
      <c r="G1065" s="47"/>
      <c r="K1065" s="20"/>
    </row>
    <row r="1066" spans="1:17" ht="15.75" x14ac:dyDescent="0.25">
      <c r="B1066" s="47"/>
      <c r="D1066" s="47"/>
      <c r="G1066" s="47"/>
      <c r="K1066" s="20"/>
    </row>
    <row r="1067" spans="1:17" ht="15.75" x14ac:dyDescent="0.25">
      <c r="B1067" s="47"/>
      <c r="C1067" s="47"/>
      <c r="K1067" s="20"/>
    </row>
    <row r="1068" spans="1:17" ht="15.75" x14ac:dyDescent="0.25">
      <c r="B1068" s="47"/>
      <c r="C1068" s="47"/>
      <c r="K1068" s="20"/>
    </row>
    <row r="1069" spans="1:17" ht="15.75" x14ac:dyDescent="0.25">
      <c r="B1069" s="47"/>
      <c r="C1069" s="47"/>
      <c r="K1069" s="20"/>
    </row>
    <row r="1070" spans="1:17" ht="15.75" x14ac:dyDescent="0.25">
      <c r="B1070" s="47"/>
      <c r="C1070" s="47"/>
      <c r="K1070" s="20"/>
    </row>
    <row r="1071" spans="1:17" ht="15.75" x14ac:dyDescent="0.25">
      <c r="B1071" s="47"/>
      <c r="C1071" s="47"/>
      <c r="K1071" s="20"/>
    </row>
    <row r="1072" spans="1:17" ht="15.75" x14ac:dyDescent="0.25">
      <c r="B1072" s="47"/>
      <c r="C1072" s="47"/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x14ac:dyDescent="0.25">
      <c r="K1185" s="19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42 H1013 J1013 L1013:Q1013 H1014:J1016 L1014:R1028 H1017:K1017 J1018:K1018 H1018:H1019 K1018:K1030 J1019 B1020:J1023 H1023:I1032 Q1023:Q1032 G1024:J1025 J1026:J1032 L1029:P1029 R1029 K1030:R1032 I1032:I1037 J1033:R1033 H1033:H1036 K1033:K1042 J1034:J1036 L1034:R1036 B1036:H1037 H1037:R1038 L1039:R1042 H1039:J1044 H1039:I1046 G1042:G1044 B1042:F1046 K1042:L1047 A1043:R1043 K1044:R1047 A1044:A1055 G1045:H1046 J1045:J1048 I1045:I1056 B1047:H1047 H1047:H1056 B1048:G1054 L1048:R1055 I1049:J1049 J1050 I1051:J1051 J1052:J1053 I1054:J1055 G1055 B1056:G1056 L1056:L1057 Q1056:Q1058 H1057:I1059">
    <cfRule type="expression" dxfId="26" priority="34">
      <formula>CELL("row")=ROW()</formula>
    </cfRule>
  </conditionalFormatting>
  <conditionalFormatting sqref="B257:G290 B291:B300 C291:G301">
    <cfRule type="expression" dxfId="25" priority="32">
      <formula>CELL("row")=ROW()</formula>
    </cfRule>
  </conditionalFormatting>
  <conditionalFormatting sqref="B765:G795">
    <cfRule type="expression" dxfId="24" priority="15">
      <formula>CELL("row")=ROW()</formula>
    </cfRule>
  </conditionalFormatting>
  <conditionalFormatting sqref="F398">
    <cfRule type="expression" dxfId="23" priority="27">
      <formula>CELL("row")=ROW()</formula>
    </cfRule>
  </conditionalFormatting>
  <conditionalFormatting sqref="F420">
    <cfRule type="expression" dxfId="22" priority="26">
      <formula>CELL("row")=ROW()</formula>
    </cfRule>
  </conditionalFormatting>
  <conditionalFormatting sqref="F326:G326">
    <cfRule type="expression" dxfId="21" priority="29">
      <formula>CELL("row")=ROW()</formula>
    </cfRule>
  </conditionalFormatting>
  <conditionalFormatting sqref="G266">
    <cfRule type="expression" dxfId="20" priority="31">
      <formula>CELL("row")=ROW()</formula>
    </cfRule>
  </conditionalFormatting>
  <conditionalFormatting sqref="I558">
    <cfRule type="expression" dxfId="19" priority="22">
      <formula>CELL("row")=ROW()</formula>
    </cfRule>
  </conditionalFormatting>
  <conditionalFormatting sqref="I908:I910">
    <cfRule type="expression" dxfId="18" priority="8">
      <formula>CELL("row")=ROW()</formula>
    </cfRule>
  </conditionalFormatting>
  <conditionalFormatting sqref="I942:I951">
    <cfRule type="expression" dxfId="17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056 A1056:G1057 K1056:K1062 K1064:K1135">
    <cfRule type="expression" dxfId="16" priority="20">
      <formula>CELL("row")=ROW()</formula>
    </cfRule>
  </conditionalFormatting>
  <conditionalFormatting sqref="K672:K697 K698:L700 L701">
    <cfRule type="expression" dxfId="15" priority="19">
      <formula>CELL("row")=ROW()</formula>
    </cfRule>
  </conditionalFormatting>
  <conditionalFormatting sqref="K882:K889 K890:L892 L893:L894 K908:L910">
    <cfRule type="expression" dxfId="14" priority="11">
      <formula>CELL("row")=ROW()</formula>
    </cfRule>
  </conditionalFormatting>
  <conditionalFormatting sqref="K1048:K1054">
    <cfRule type="expression" dxfId="13" priority="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56:O105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56:Q105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24"/>
  <sheetViews>
    <sheetView topLeftCell="A702" zoomScaleNormal="100" workbookViewId="0">
      <selection activeCell="E714" sqref="E714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12484</v>
      </c>
      <c r="C710" s="12">
        <v>9541177974</v>
      </c>
      <c r="D710" s="12" t="s">
        <v>12485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12518</v>
      </c>
      <c r="C711" s="12">
        <v>8899903781</v>
      </c>
      <c r="D711" s="13" t="s">
        <v>12519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2" si="11">ROW()-2</f>
        <v>710</v>
      </c>
      <c r="B712" s="12" t="s">
        <v>12499</v>
      </c>
      <c r="C712" s="12">
        <v>7889306381</v>
      </c>
      <c r="D712" s="13" t="s">
        <v>12517</v>
      </c>
      <c r="E712" s="13" t="s">
        <v>12506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12483</v>
      </c>
      <c r="C713" s="12">
        <v>8899213279</v>
      </c>
      <c r="D713" s="13" t="s">
        <v>12520</v>
      </c>
      <c r="E713" s="13" t="s">
        <v>12496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12521</v>
      </c>
      <c r="C714" s="12">
        <v>9596046014</v>
      </c>
      <c r="D714" s="13" t="s">
        <v>12522</v>
      </c>
      <c r="E714" s="13" t="s">
        <v>12495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12503</v>
      </c>
      <c r="C715" s="12">
        <v>9906590013</v>
      </c>
      <c r="D715" s="13" t="s">
        <v>12523</v>
      </c>
      <c r="E715" s="13" t="s">
        <v>12505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12510</v>
      </c>
      <c r="C716" s="12">
        <v>9906431326</v>
      </c>
      <c r="D716" s="13" t="s">
        <v>12524</v>
      </c>
      <c r="E716" s="13" t="s">
        <v>12515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12394</v>
      </c>
      <c r="C717" s="12">
        <v>7006492143</v>
      </c>
      <c r="D717" s="13" t="s">
        <v>12525</v>
      </c>
      <c r="E717" s="13" t="s">
        <v>12395</v>
      </c>
      <c r="F717" s="13">
        <v>46260</v>
      </c>
      <c r="G717" s="13" t="s">
        <v>337</v>
      </c>
      <c r="H717" s="12" t="s">
        <v>12526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12528</v>
      </c>
      <c r="E718" s="13" t="s">
        <v>10342</v>
      </c>
      <c r="F718" s="13"/>
      <c r="G718" s="13"/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12529</v>
      </c>
      <c r="E719" s="13" t="s">
        <v>12227</v>
      </c>
      <c r="F719" s="13"/>
      <c r="G719" s="13"/>
      <c r="H719" s="12"/>
    </row>
    <row r="720" spans="1:8" ht="15.75" x14ac:dyDescent="0.25">
      <c r="A720" s="12">
        <f t="shared" si="11"/>
        <v>718</v>
      </c>
      <c r="B720" s="12"/>
      <c r="C720" s="12"/>
      <c r="D720" s="13"/>
      <c r="E720" s="13"/>
      <c r="F720" s="13"/>
      <c r="G720" s="13"/>
      <c r="H720" s="12"/>
    </row>
    <row r="721" spans="1:8" ht="15.75" x14ac:dyDescent="0.25">
      <c r="A721" s="12">
        <f t="shared" si="11"/>
        <v>719</v>
      </c>
      <c r="B721" s="12"/>
      <c r="C721" s="12"/>
      <c r="D721" s="13"/>
      <c r="E721" s="13"/>
      <c r="F721" s="13"/>
      <c r="G721" s="13"/>
      <c r="H721" s="12"/>
    </row>
    <row r="722" spans="1:8" ht="15.75" x14ac:dyDescent="0.25">
      <c r="A722" s="12">
        <f t="shared" si="11"/>
        <v>720</v>
      </c>
      <c r="B722" s="12"/>
      <c r="C722" s="12"/>
      <c r="D722" s="13"/>
      <c r="E722" s="13"/>
      <c r="F722" s="13"/>
      <c r="G722" s="13"/>
      <c r="H722" s="12"/>
    </row>
    <row r="723" spans="1:8" ht="15.75" x14ac:dyDescent="0.25">
      <c r="B723" s="12"/>
      <c r="C723" s="12"/>
      <c r="D723" s="12"/>
      <c r="E723" s="12"/>
      <c r="F723" s="13"/>
    </row>
    <row r="724" spans="1:8" ht="15.75" x14ac:dyDescent="0.25">
      <c r="B724" s="12"/>
      <c r="C724" s="12"/>
      <c r="D724" s="12"/>
      <c r="E724" s="12"/>
      <c r="F724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4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2026-08-26T12:25:50Z</dcterms:modified>
</cp:coreProperties>
</file>