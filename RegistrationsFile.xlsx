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FD9D464-99C6-4F54-AF61-9221C280AB34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10" i="4" l="1"/>
  <c r="H411" i="4"/>
  <c r="H412" i="4"/>
  <c r="H413" i="4"/>
  <c r="H414" i="4"/>
  <c r="H415" i="4"/>
  <c r="A410" i="4"/>
  <c r="A411" i="4"/>
  <c r="A412" i="4"/>
  <c r="A413" i="4"/>
  <c r="A414" i="4"/>
  <c r="A415" i="4"/>
  <c r="A207" i="7"/>
  <c r="A208" i="7"/>
  <c r="A209" i="7"/>
  <c r="A210" i="7"/>
  <c r="A211" i="7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203" i="7"/>
  <c r="A204" i="7"/>
  <c r="A205" i="7"/>
  <c r="A206" i="7"/>
  <c r="H389" i="4"/>
  <c r="H390" i="4"/>
  <c r="H391" i="4"/>
  <c r="H392" i="4"/>
  <c r="H393" i="4"/>
  <c r="H394" i="4"/>
  <c r="H395" i="4"/>
  <c r="H396" i="4"/>
  <c r="A389" i="4"/>
  <c r="A390" i="4"/>
  <c r="A391" i="4"/>
  <c r="A392" i="4"/>
  <c r="A393" i="4"/>
  <c r="A394" i="4"/>
  <c r="A395" i="4"/>
  <c r="A396" i="4"/>
  <c r="A192" i="7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<sst xmlns="http://schemas.openxmlformats.org/spreadsheetml/2006/main" count="21625" uniqueCount="8483">
  <si>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</si>
  <si>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</si>
  <si>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</si>
  <si>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</si>
  <si>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</si>
  <si>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</si>
  <si>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</si>
  <si>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</si>
  <si>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</si>
  <si>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</si>
  <si>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</si>
  <si>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</si>
  <si>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</si>
  <si>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</si>
  <si>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</si>
  <si>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</si>
  <si>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</si>
  <si>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</si>
  <si>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</si>
  <si>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</si>
  <si>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</si>
  <si>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</si>
  <si>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</si>
  <si>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</si>
  <si>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</si>
  <si>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</si>
  <si>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</si>
  <si>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</si>
  <si>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</si>
  <si>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</si>
  <si>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</si>
  <si>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</si>
  <si>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</si>
  <si>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</si>
  <si>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</si>
  <si>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</si>
  <si>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</si>
  <si>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</si>
  <si>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</si>
  <si>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</si>
  <si>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</si>
  <si>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</si>
  <si>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</si>
  <si>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</si>
  <si>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</si>
  <si>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</si>
  <si>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</si>
  <si>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</si>
  <si>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</si>
  <si>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</si>
  <si>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</si>
  <si>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</si>
  <si>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</si>
  <si>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</si>
  <si>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</si>
  <si>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</si>
  <si>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</si>
  <si>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</si>
  <si>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</si>
  <si>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</si>
  <si>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</si>
  <si>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</si>
  <si>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</si>
  <si>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</si>
  <si>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</si>
  <si>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</si>
  <si>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</si>
  <si>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</si>
  <si>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</si>
  <si>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</si>
  <si>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</si>
  <si>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</si>
  <si>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</si>
  <si>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</si>
  <si>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</si>
  <si>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</si>
  <si>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</si>
  <si>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</si>
  <si>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</si>
  <si>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</si>
  <si>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</si>
  <si>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</si>
  <si>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</si>
  <si>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</si>
  <si>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</si>
  <si>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</si>
  <si>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</si>
  <si>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</si>
  <si>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</si>
  <si>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</si>
  <si>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</si>
  <si>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</si>
  <si>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</si>
  <si>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</si>
  <si>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</si>
  <si>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</si>
  <si>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</si>
  <si>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</si>
  <si>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</si>
  <si>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</si>
  <si>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</si>
  <si>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</si>
  <si>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</si>
  <si>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</si>
  <si>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</si>
  <si>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</si>
  <si>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</si>
  <si>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</si>
  <si>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</si>
  <si>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</si>
  <si>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</si>
  <si>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</si>
  <si>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</si>
  <si>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</si>
  <si>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</si>
  <si>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</si>
  <si>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</si>
  <si>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</si>
  <si>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</si>
  <si>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</si>
  <si>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</si>
  <si>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</si>
  <si>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</si>
  <si>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</si>
  <si>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</si>
  <si>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</si>
  <si>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</si>
  <si>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</si>
  <si>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</si>
  <si>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</si>
  <si>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</si>
  <si>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</si>
  <si>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</si>
  <si>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</si>
  <si>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</si>
  <si>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</si>
  <si>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</si>
  <si>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</si>
  <si>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</si>
  <si>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</si>
  <si>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</si>
  <si>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</si>
  <si>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</si>
  <si>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</si>
  <si>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</si>
  <si>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</si>
  <si>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</si>
  <si>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</si>
  <si>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</si>
  <si>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</si>
  <si>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</si>
  <si>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</si>
  <si>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</si>
  <si>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</si>
  <si>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</si>
  <si>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</si>
  <si>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</si>
  <si>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</si>
  <si>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</si>
  <si>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</si>
  <si>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</si>
  <si>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</si>
  <si>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</si>
  <si>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</si>
  <si>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</si>
  <si>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</si>
  <si>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</si>
  <si>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</si>
  <si>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</si>
  <si>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</si>
  <si>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</si>
  <si>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</si>
  <si>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</si>
  <si>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</si>
  <si>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</si>
  <si>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</si>
  <si>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</si>
  <si>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</si>
  <si>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</si>
  <si>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</si>
  <si>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</si>
  <si>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</si>
  <si>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</si>
  <si>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</si>
  <si>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</si>
  <si>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</si>
  <si>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</si>
  <si>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</si>
  <si>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</si>
  <si>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</si>
  <si>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</si>
  <si>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</si>
  <si>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</si>
  <si>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</si>
  <si>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</si>
  <si>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</si>
  <si>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</si>
  <si>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</si>
  <si>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</si>
  <si>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</si>
  <si>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</si>
  <si>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</si>
  <si>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</si>
  <si>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</si>
  <si>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</si>
  <si>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</si>
  <si>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</si>
  <si>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</si>
  <si>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</si>
  <si>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</si>
  <si>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</si>
  <si>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</si>
  <si>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</si>
  <si>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</si>
  <si>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</si>
  <si>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</si>
  <si>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</si>
  <si>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</si>
  <si>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</si>
  <si>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</si>
  <si>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</si>
  <si>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</si>
  <si>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</si>
  <si>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</si>
  <si>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</si>
  <si>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</si>
  <si>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</si>
  <si>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</si>
  <si>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</si>
  <si>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</si>
  <si>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</si>
  <si>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</si>
  <si>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</si>
  <si>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</si>
  <si>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</si>
  <si>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</si>
  <si>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</si>
  <si>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</si>
  <si>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</si>
  <si>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</si>
  <si>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</si>
  <si>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</si>
  <si>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</si>
  <si>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</si>
  <si>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</si>
  <si>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</si>
  <si>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</si>
  <si>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</si>
  <si>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</si>
  <si>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</si>
  <si>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</si>
  <si>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</si>
  <si>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</si>
  <si>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</si>
  <si>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</si>
  <si>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</si>
  <si>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</si>
  <si>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</si>
  <si>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</si>
  <si>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</si>
  <si>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</si>
  <si>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</si>
  <si>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</si>
  <si>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</si>
  <si>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</si>
  <si>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</si>
  <si>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</si>
  <si>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</si>
  <si>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</si>
  <si>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</si>
  <si>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</si>
  <si>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</si>
  <si>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</si>
  <si>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</si>
  <si>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</si>
  <si>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</si>
  <si>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</si>
  <si>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</si>
  <si>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</si>
  <si>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</si>
  <si>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</si>
  <si>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</si>
  <si>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</si>
  <si>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</si>
  <si>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</si>
  <si>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</si>
  <si>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</si>
  <si>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</si>
  <si>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</si>
  <si>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</si>
  <si>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</si>
  <si>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</si>
  <si>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</si>
  <si>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</si>
  <si>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</si>
  <si>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</si>
  <si>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</si>
  <si>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</si>
  <si>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</si>
  <si>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</si>
  <si>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</si>
  <si>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</si>
  <si>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</si>
  <si>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</si>
  <si>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</si>
  <si>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</si>
  <si>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</si>
  <si>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</si>
  <si>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</si>
  <si>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</si>
  <si>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</si>
  <si>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</si>
  <si>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</si>
  <si>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</si>
  <si>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</si>
  <si>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</si>
  <si>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</si>
  <si>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</si>
  <si>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</si>
  <si>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</si>
  <si>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</si>
  <si>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</si>
  <si>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</si>
  <si>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</si>
  <si>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</si>
  <si>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</si>
  <si>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</si>
  <si>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</si>
  <si>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</si>
  <si>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</si>
  <si>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</si>
  <si>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</si>
  <si>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</si>
  <si>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</si>
  <si>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</si>
  <si>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</si>
  <si>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</si>
  <si>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</si>
  <si>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</si>
  <si>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</si>
  <si>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</si>
  <si>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</si>
  <si>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</si>
  <si>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</si>
  <si>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</si>
  <si>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</si>
  <si>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</si>
  <si>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</si>
  <si>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</si>
  <si>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</si>
  <si>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</si>
  <si>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</si>
  <si>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</si>
  <si>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</si>
  <si>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</si>
  <si>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</si>
  <si>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</si>
  <si>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</si>
  <si>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</si>
  <si>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</si>
  <si>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</si>
  <si>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</si>
  <si>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</si>
  <si>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</si>
  <si>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</si>
  <si>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</si>
  <si>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</si>
  <si>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</si>
  <si>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</si>
  <si>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</si>
  <si>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</si>
  <si>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</si>
  <si>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</si>
  <si>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</si>
  <si>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</si>
  <si>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</si>
  <si>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</si>
  <si>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</si>
  <si>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</si>
  <si>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</si>
  <si>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</si>
  <si>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</si>
  <si>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</si>
  <si>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</si>
  <si>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</si>
  <si>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</si>
  <si>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</si>
  <si>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</si>
  <si>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</si>
  <si>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</si>
  <si>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</si>
  <si>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</si>
  <si>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</si>
  <si>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</si>
  <si>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</si>
  <si>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</si>
  <si>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</si>
  <si>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</si>
  <si>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</si>
  <si>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</si>
  <si>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</si>
  <si>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</si>
  <si>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</si>
  <si>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</si>
  <si>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</si>
  <si>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</si>
  <si>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</si>
  <si>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</si>
  <si>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</si>
  <si>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</si>
  <si>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</si>
  <si>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</si>
  <si>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</si>
  <si>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</si>
  <si>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</si>
  <si>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</si>
  <si>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</si>
  <si>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</si>
  <si>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</si>
  <si>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</si>
  <si>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</si>
  <si>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</si>
  <si>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</si>
  <si>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</si>
  <si>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</si>
  <si>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</si>
  <si>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</si>
  <si>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</si>
  <si>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</si>
  <si>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</si>
  <si>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</si>
  <si>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</si>
  <si>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</si>
  <si>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</si>
  <si>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</si>
  <si>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</si>
  <si>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</si>
  <si>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</si>
  <si>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</si>
  <si>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</si>
  <si>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</si>
  <si>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</si>
  <si>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</si>
  <si>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</si>
  <si>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</si>
  <si>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</si>
  <si>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</si>
  <si>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</si>
  <si>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</si>
  <si>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</si>
  <si>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</si>
  <si>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</si>
  <si>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</si>
  <si>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</si>
  <si>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</si>
  <si>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</si>
  <si>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</si>
  <si>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</si>
  <si>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</si>
  <si>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</si>
  <si>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</si>
  <si>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</si>
  <si>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</si>
  <si>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</si>
  <si>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</si>
  <si>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</si>
  <si>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</si>
  <si>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</si>
  <si>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</si>
  <si>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</si>
  <si>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</si>
  <si>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</si>
  <si>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</si>
  <si>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</si>
  <si>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</si>
  <si>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</si>
  <si>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</si>
  <si>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</si>
  <si>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</si>
  <si>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</si>
  <si>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</si>
  <si>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</si>
  <si>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</si>
  <si>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</si>
  <si>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</si>
  <si>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</si>
  <si>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</si>
  <si>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</si>
  <si>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</si>
  <si>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</si>
  <si>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</si>
  <si>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</si>
  <si>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</si>
  <si>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</si>
  <si>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</si>
  <si>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</si>
  <si>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</si>
  <si>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</si>
  <si>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</si>
  <si>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</si>
  <si>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</si>
  <si>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</si>
  <si>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</si>
  <si>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</si>
  <si>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</si>
  <si>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</si>
  <si>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</si>
  <si>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</si>
  <si>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</si>
  <si>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</si>
  <si>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</si>
  <si>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</si>
  <si>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</si>
  <si>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</si>
  <si>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</si>
  <si>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</si>
  <si>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</si>
  <si>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</si>
  <si>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</si>
  <si>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</si>
  <si>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</si>
  <si>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</si>
  <si>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</si>
  <si>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</si>
  <si>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</si>
  <si>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</si>
  <si>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</si>
  <si>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</si>
  <si>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</si>
  <si>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</si>
  <si>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</si>
  <si>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</si>
  <si>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</si>
  <si>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</si>
  <si>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</si>
  <si>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</si>
  <si>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</si>
  <si>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</si>
  <si>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</si>
  <si>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</si>
  <si>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</si>
  <si>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</si>
  <si>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</si>
  <si>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</si>
  <si>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</si>
  <si>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</si>
  <si>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</si>
  <si>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</si>
  <si>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</si>
  <si>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</si>
  <si>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</si>
  <si>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</si>
  <si>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</si>
  <si>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</si>
  <si>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</si>
  <si>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</si>
  <si>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</si>
  <si>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</si>
  <si>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</si>
  <si>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</si>
  <si>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</si>
  <si>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</si>
  <si>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</si>
  <si>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</si>
  <si>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</si>
  <si>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</si>
  <si>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</si>
  <si>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</si>
  <si>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</si>
  <si>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</si>
  <si>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</si>
  <si>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</si>
  <si>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</si>
  <si>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</si>
  <si>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</si>
  <si>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</si>
  <si>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</si>
  <si>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</si>
  <si>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</si>
  <si>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</si>
  <si>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</si>
  <si>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</si>
  <si>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</si>
  <si>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</si>
  <si>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</si>
  <si>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</si>
  <si>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</si>
  <si>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</si>
  <si>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</si>
  <si>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</si>
  <si>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</si>
  <si>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</si>
  <si>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</si>
  <si>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</si>
  <si>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</si>
  <si>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</si>
  <si>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</si>
  <si>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</si>
  <si>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</si>
  <si>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</si>
  <si>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</si>
  <si>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</si>
  <si>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</si>
  <si>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</si>
  <si>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</si>
  <si>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</si>
  <si>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</si>
  <si>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</si>
  <si>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</si>
  <si>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</si>
  <si>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</si>
  <si>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</si>
  <si>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</si>
  <si>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</si>
  <si>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</si>
  <si>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</si>
  <si>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</si>
  <si>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</si>
  <si>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</si>
  <si>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</si>
  <si>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</si>
  <si>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</si>
  <si>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</si>
  <si>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</si>
  <si>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</si>
  <si>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</si>
  <si>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</si>
  <si>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</si>
  <si>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</si>
  <si>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</si>
  <si>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</si>
  <si>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</si>
  <si>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</si>
  <si>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</si>
  <si>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</si>
  <si>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</si>
  <si>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</si>
  <si>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</si>
  <si>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</si>
  <si>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</si>
  <si>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</si>
  <si>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</si>
  <si>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</si>
  <si>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</si>
  <si>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</si>
  <si>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</si>
  <si>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</si>
  <si>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</si>
  <si>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</si>
  <si>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</si>
  <si>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</si>
  <si>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</si>
  <si>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</si>
  <si>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</si>
  <si>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</si>
  <si>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</si>
  <si>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</si>
  <si>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</si>
  <si>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</si>
  <si>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</si>
  <si>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</si>
  <si>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</si>
  <si>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</si>
  <si>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</si>
  <si>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</si>
  <si>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</si>
  <si>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</si>
  <si>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</si>
  <si>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</si>
  <si>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</si>
  <si>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</si>
  <si>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</si>
  <si>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</si>
  <si>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</si>
  <si>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</si>
  <si>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</si>
  <si>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</si>
  <si>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</si>
  <si>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</si>
  <si>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</si>
  <si>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</si>
  <si>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</si>
  <si>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</si>
  <si>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</si>
  <si>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</si>
  <si>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</si>
  <si>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</si>
  <si>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</si>
  <si>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</si>
  <si>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</si>
  <si>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</si>
  <si>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</si>
  <si>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</si>
  <si>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</si>
  <si>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</si>
  <si>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</si>
  <si>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</si>
  <si>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</si>
  <si>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</si>
  <si>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</si>
  <si>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</si>
  <si>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</si>
  <si>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</si>
  <si>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</si>
  <si>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</si>
  <si>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</si>
  <si>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</si>
  <si>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</si>
  <si>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</si>
  <si>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</si>
  <si>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</si>
  <si>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</si>
  <si>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</si>
  <si>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</si>
  <si>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</si>
  <si>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</si>
  <si>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</si>
  <si>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</si>
  <si>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</si>
  <si>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</si>
  <si>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</si>
  <si>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</si>
  <si>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</si>
  <si>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</si>
  <si>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</si>
  <si>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</si>
  <si>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</si>
  <si>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</si>
  <si>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</si>
  <si>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</si>
  <si>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</si>
  <si>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</si>
  <si>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</si>
  <si>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</si>
  <si>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</si>
  <si>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</si>
  <si>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</si>
  <si>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</si>
  <si>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</si>
  <si>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</si>
  <si>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</si>
  <si>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</si>
  <si>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</si>
  <si>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</si>
  <si>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</si>
  <si>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</si>
  <si>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</si>
  <si>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</si>
  <si>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</si>
  <si>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</si>
  <si>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</si>
  <si>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</si>
  <si>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</si>
  <si>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</si>
  <si>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</si>
  <si>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</si>
  <si>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</si>
  <si>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</si>
  <si>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</si>
  <si>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</si>
  <si>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</si>
  <si>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</si>
  <si>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</si>
  <si>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</si>
  <si>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</si>
  <si>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</si>
  <si>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</si>
  <si>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</si>
  <si>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</si>
  <si>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</si>
  <si>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</si>
  <si>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</si>
  <si>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</si>
  <si>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</si>
  <si>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</si>
  <si>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</si>
  <si>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</si>
  <si>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</si>
  <si>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</si>
  <si>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</si>
  <si>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</si>
  <si>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</si>
  <si>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</si>
  <si>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</si>
  <si>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</si>
  <si>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</si>
  <si>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</si>
  <si>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</si>
  <si>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</si>
  <si>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</si>
  <si>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</si>
  <si>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</si>
  <si>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</si>
  <si>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</si>
  <si>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</si>
  <si>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</si>
  <si>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</si>
  <si>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</si>
  <si>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</si>
  <si>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</si>
  <si>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</si>
  <si>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</si>
  <si>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</si>
  <si>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</si>
  <si>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</si>
  <si>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</si>
  <si>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</si>
  <si>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</si>
  <si>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</si>
  <si>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</si>
  <si>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</si>
  <si>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</si>
  <si>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</si>
  <si>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</si>
  <si>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</si>
  <si>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</si>
  <si>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</si>
  <si>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</si>
  <si>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</si>
  <si>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</si>
  <si>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</si>
  <si>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</si>
  <si>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</si>
  <si>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</si>
  <si>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</si>
  <si>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</si>
  <si>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</si>
  <si>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</si>
  <si>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</si>
  <si>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</si>
  <si>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</si>
  <si>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</si>
  <si>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</si>
  <si>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</si>
  <si>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</si>
  <si>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</si>
  <si>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</si>
  <si>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</si>
  <si>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</si>
  <si>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</si>
  <si>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</si>
  <si>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</si>
  <si>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</si>
  <si>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</si>
  <si>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</si>
  <si>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</si>
  <si>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</si>
  <si>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</si>
  <si>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</si>
  <si>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</si>
  <si>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</si>
  <si>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</si>
  <si>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</si>
  <si>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</si>
  <si>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</si>
  <si>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</si>
  <si>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</si>
  <si>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</si>
  <si>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</si>
  <si>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</si>
  <si>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</si>
  <si>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</si>
  <si>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</si>
  <si>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</si>
  <si>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</si>
  <si>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</si>
  <si>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</si>
  <si>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</si>
  <si>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</si>
  <si>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</si>
  <si>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</si>
  <si>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</si>
  <si>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</si>
  <si>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</si>
  <si>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</si>
  <si>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</si>
  <si>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</si>
  <si>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</si>
  <si>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</si>
  <si>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</si>
  <si>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</si>
  <si>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</si>
  <si>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</si>
  <si>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</si>
  <si>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</si>
  <si>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</si>
  <si>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</si>
  <si>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</si>
  <si>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</si>
  <si>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</si>
  <si>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</si>
  <si>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</si>
  <si>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</si>
  <si>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</si>
  <si>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</si>
  <si>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</si>
  <si>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</si>
  <si>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</si>
  <si>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</si>
  <si>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</si>
  <si>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</si>
  <si>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</si>
  <si>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</si>
  <si>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</si>
  <si>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</si>
  <si>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</si>
  <si>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</si>
  <si>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</si>
  <si>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</si>
  <si>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</si>
  <si>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</si>
  <si>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</si>
  <si>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</si>
  <si>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</si>
  <si>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</si>
  <si>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</si>
  <si>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</si>
  <si>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</si>
  <si>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</si>
  <si>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</si>
  <si>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</si>
  <si>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</si>
  <si>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</si>
  <si>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</si>
  <si>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</si>
  <si>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</si>
  <si>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</si>
  <si>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</si>
  <si>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</si>
  <si>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</si>
  <si>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</si>
  <si>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</si>
  <si>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</si>
  <si>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</si>
  <si>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</si>
  <si>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</si>
  <si>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</si>
  <si>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</si>
  <si>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</si>
  <si>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</si>
  <si>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</si>
  <si>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</si>
  <si>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</si>
  <si>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</si>
  <si>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</si>
  <si>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</si>
  <si>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</si>
  <si>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</si>
  <si>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</si>
  <si>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</si>
  <si>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</si>
  <si>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</si>
  <si>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</si>
  <si>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</si>
  <si>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</si>
  <si>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</si>
  <si>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</si>
  <si>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</si>
  <si>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</si>
  <si>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</si>
  <si>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</si>
  <si>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</si>
  <si>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</si>
  <si>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</si>
  <si>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</si>
  <si>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</si>
  <si>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</si>
  <si>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</si>
  <si>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</si>
  <si>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</si>
  <si>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</si>
  <si>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</si>
  <si>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</si>
  <si>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</si>
  <si>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</si>
  <si>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</si>
  <si>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</si>
  <si>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</si>
  <si>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</si>
  <si>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</si>
  <si>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</si>
  <si>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</si>
  <si>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</si>
  <si>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</si>
  <si>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</si>
  <si>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</si>
  <si>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</si>
  <si>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</si>
  <si>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</si>
  <si>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</si>
  <si>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</si>
  <si>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</si>
  <si>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</si>
  <si>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</si>
  <si>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</si>
  <si>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</si>
  <si>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</si>
  <si>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</si>
  <si>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</si>
  <si>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</si>
  <si>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</si>
  <si>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</si>
  <si>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</si>
  <si>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</si>
  <si>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</si>
  <si>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</si>
  <si>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</si>
  <si>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</si>
  <si>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</si>
  <si>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</si>
  <si>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</si>
  <si>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</si>
  <si>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</si>
  <si>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</si>
  <si>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</si>
  <si>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</si>
  <si>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</si>
  <si>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</si>
  <si>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</si>
  <si>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</si>
  <si>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</si>
  <si>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</si>
  <si>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</si>
  <si>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</si>
  <si>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</si>
  <si>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</si>
  <si>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</si>
  <si>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</si>
  <si>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</si>
  <si>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</si>
  <si>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</si>
  <si>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</si>
  <si>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</si>
  <si>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</si>
  <si>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</si>
  <si>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</si>
  <si>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</si>
  <si>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</si>
  <si>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</si>
  <si>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</si>
  <si>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</si>
  <si>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</si>
  <si>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</si>
  <si>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</si>
  <si>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</si>
  <si>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</si>
  <si>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</si>
  <si>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</si>
  <si>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</si>
  <si>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</si>
  <si>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</si>
  <si>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</si>
  <si>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</si>
  <si>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</si>
  <si>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</si>
  <si>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</si>
  <si>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</si>
  <si>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</si>
  <si>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</si>
  <si>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</si>
  <si>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</si>
  <si>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</si>
  <si>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</si>
  <si>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</si>
  <si>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</si>
  <si>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</si>
  <si>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</si>
  <si>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</si>
  <si>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</si>
  <si>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</si>
  <si>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</si>
  <si>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</si>
  <si>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</si>
  <si>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</si>
  <si>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</si>
  <si>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</si>
  <si>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</si>
  <si>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</si>
  <si>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</si>
  <si>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</si>
  <si>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</si>
  <si>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</si>
  <si>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</si>
  <si>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</si>
  <si>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</si>
  <si>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</si>
  <si>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</si>
  <si>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</si>
  <si>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</si>
  <si>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</si>
  <si>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</si>
  <si>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</si>
  <si>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</si>
  <si>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</si>
  <si>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</si>
  <si>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</si>
  <si>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</si>
  <si>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</si>
  <si>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</si>
  <si>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</si>
  <si>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</si>
  <si>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</si>
  <si>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</si>
  <si>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</si>
  <si>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</si>
  <si>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</si>
  <si>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</si>
  <si>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</si>
  <si>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</si>
  <si>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</si>
  <si>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</si>
  <si>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</si>
  <si>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</si>
  <si>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</si>
  <si>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</si>
  <si>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</si>
  <si>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</si>
  <si>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</si>
  <si>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</si>
  <si>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</si>
  <si>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</si>
  <si>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</si>
  <si>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</si>
  <si>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</si>
  <si>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</si>
  <si>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</si>
  <si>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</si>
  <si>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</si>
  <si>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</si>
  <si>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</si>
  <si>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</si>
  <si>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</si>
  <si>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</si>
  <si>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</si>
  <si>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</si>
  <si>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</si>
  <si>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</si>
  <si>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</si>
  <si>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</si>
  <si>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</si>
  <si>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</si>
  <si>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</si>
  <si>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</si>
  <si>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</si>
  <si>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</si>
  <si>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</si>
  <si>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</si>
  <si>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</si>
  <si>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</si>
  <si>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</si>
  <si>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</si>
  <si>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</si>
  <si>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</si>
  <si>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</si>
  <si>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</si>
  <si>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</si>
  <si>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</si>
  <si>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</si>
  <si>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</si>
  <si>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</si>
  <si>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</si>
  <si>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</si>
  <si>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</si>
  <si>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</si>
  <si>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</si>
  <si>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</si>
  <si>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</si>
  <si>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</si>
  <si>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</si>
  <si>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</si>
  <si>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</si>
  <si>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</si>
  <si>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</si>
  <si>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</si>
  <si>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</si>
  <si>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</si>
  <si>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</si>
  <si>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</si>
  <si>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</si>
  <si>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</si>
  <si>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</si>
  <si>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</si>
  <si>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</si>
  <si>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</si>
  <si>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</si>
  <si>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</si>
  <si>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</si>
  <si>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</si>
  <si>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</si>
  <si>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</si>
  <si>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</si>
  <si>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</si>
  <si>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</si>
  <si>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</si>
  <si>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</si>
  <si>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</si>
  <si>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</si>
  <si>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</si>
  <si>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</si>
  <si>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</si>
  <si>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</si>
  <si>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</si>
  <si>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</si>
  <si>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</si>
  <si>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</si>
  <si>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</si>
  <si>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</si>
  <si>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</si>
  <si>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</si>
  <si>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</si>
  <si>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</si>
  <si>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</si>
  <si>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</si>
  <si>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</si>
  <si>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</si>
  <si>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</si>
  <si>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</si>
  <si>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</si>
  <si>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</si>
  <si>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</si>
  <si>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</si>
  <si>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</si>
  <si>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</si>
  <si>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</si>
  <si>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</si>
  <si>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</si>
  <si>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</si>
  <si>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</si>
  <si>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</si>
  <si>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</si>
  <si>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</si>
  <si>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</si>
  <si>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</si>
  <si>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</si>
  <si>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</si>
  <si>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</si>
  <si>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</si>
  <si>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</si>
  <si>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</si>
  <si>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</si>
  <si>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</si>
  <si>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</si>
  <si>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</si>
  <si>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</si>
  <si>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</si>
  <si>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</si>
  <si>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</si>
  <si>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</si>
  <si>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</si>
  <si>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</si>
  <si>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</si>
  <si>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</si>
  <si>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</si>
  <si>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</si>
  <si>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</si>
  <si>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</si>
  <si>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</si>
  <si>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</si>
  <si>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</si>
  <si>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</si>
  <si>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</si>
  <si>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</si>
  <si>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</si>
  <si>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</si>
  <si>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</si>
  <si>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</si>
  <si>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</si>
  <si>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</si>
  <si>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</si>
  <si>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</si>
  <si>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</si>
  <si>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</si>
  <si>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</si>
  <si>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</si>
  <si>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</si>
  <si>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</si>
  <si>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</si>
  <si>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</si>
  <si>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</si>
  <si>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</si>
  <si>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</si>
  <si>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</si>
  <si>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</si>
  <si>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</si>
  <si>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</si>
  <si>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</si>
  <si>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</si>
  <si>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</si>
  <si>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</si>
  <si>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</si>
  <si>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</si>
  <si>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</si>
  <si>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</si>
  <si>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</si>
  <si>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</si>
  <si>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</si>
  <si>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</si>
  <si>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</si>
  <si>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</si>
  <si>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</si>
  <si>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</si>
  <si>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</si>
  <si>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</si>
  <si>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</si>
  <si>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</si>
  <si>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</si>
  <si>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</si>
  <si>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</si>
  <si>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</si>
  <si>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</si>
  <si>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</si>
  <si>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</si>
  <si>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</si>
  <si>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</si>
  <si>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</si>
  <si>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</si>
  <si>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</si>
  <si>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</si>
  <si>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</si>
  <si>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</si>
  <si>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</si>
  <si>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</si>
  <si>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</si>
  <si>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</si>
  <si>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</si>
  <si>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</si>
  <si>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</si>
  <si>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</si>
  <si>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</si>
  <si>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</si>
  <si>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</si>
  <si>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</si>
  <si>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</si>
  <si>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</si>
  <si>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</si>
  <si>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</si>
  <si>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</si>
  <si>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</si>
  <si>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</si>
  <si>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</si>
  <si>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</si>
  <si>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</si>
  <si>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</si>
  <si>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</si>
  <si>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</si>
  <si>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</si>
  <si>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</si>
  <si>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</si>
  <si>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</si>
  <si>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</si>
  <si>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</si>
  <si>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</si>
  <si>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</si>
  <si>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</si>
  <si>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</si>
  <si>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</si>
  <si>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</si>
  <si>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</si>
  <si>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</si>
  <si>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</si>
  <si>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</si>
  <si>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</si>
  <si>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</si>
  <si>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</si>
  <si>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</si>
  <si>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</si>
  <si>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</si>
  <si>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</si>
  <si>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</si>
  <si>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</si>
  <si>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</si>
  <si>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</si>
  <si>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</si>
  <si>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</si>
  <si>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</si>
  <si>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</si>
  <si>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</si>
  <si>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</si>
  <si>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</si>
  <si>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</si>
  <si>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</si>
  <si>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</si>
  <si>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</si>
  <si>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</si>
  <si>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</si>
  <si>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</si>
  <si>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</si>
  <si>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</si>
  <si>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</si>
  <si>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</si>
  <si>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</si>
  <si>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</si>
  <si>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</si>
  <si>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</si>
  <si>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</si>
  <si>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</si>
  <si>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</si>
  <si>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</si>
  <si>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</si>
  <si>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</si>
  <si>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</si>
  <si>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</si>
  <si>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</si>
  <si>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</si>
  <si>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</si>
  <si>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</si>
  <si>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</si>
  <si>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</si>
  <si>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</si>
  <si>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</si>
  <si>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</si>
  <si>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</si>
  <si>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</si>
  <si>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</si>
  <si>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</si>
  <si>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</si>
  <si>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</si>
  <si>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</si>
  <si>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</si>
  <si>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</si>
  <si>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</si>
  <si>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</si>
  <si>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</si>
  <si>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</si>
  <si>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</si>
  <si>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</si>
  <si>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</si>
  <si>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</si>
  <si>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</si>
  <si>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</si>
  <si>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</si>
  <si>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</si>
  <si>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</si>
  <si>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</si>
  <si>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</si>
  <si>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</si>
  <si>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</si>
  <si>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</si>
  <si>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</si>
  <si>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</si>
  <si>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</si>
  <si>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</si>
  <si>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</si>
  <si>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</si>
  <si>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</si>
  <si>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</si>
  <si>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</si>
  <si>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</si>
  <si>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</si>
  <si>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</si>
  <si>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</si>
  <si>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</si>
  <si>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</si>
  <si>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</si>
  <si>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</si>
  <si>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</si>
  <si>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</si>
  <si>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</si>
  <si>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</si>
  <si>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</si>
  <si>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</si>
  <si>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</si>
  <si>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</si>
  <si>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</si>
  <si>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</si>
  <si>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</si>
  <si>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</si>
  <si>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</si>
  <si>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</si>
  <si>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</si>
  <si>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</si>
  <si>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</si>
  <si>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</si>
  <si>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</si>
  <si>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</si>
  <si>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</si>
  <si>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</si>
  <si>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</si>
  <si>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</si>
  <si>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</si>
  <si>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</si>
  <si>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</si>
  <si>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</si>
  <si>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</si>
  <si>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</si>
  <si>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</si>
  <si>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</si>
  <si>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</si>
  <si>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</si>
  <si>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</si>
  <si>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</si>
  <si>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</si>
  <si>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</si>
  <si>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</si>
  <si>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</si>
  <si>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</si>
  <si>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</si>
  <si>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</si>
  <si>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</si>
  <si>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</si>
  <si>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</si>
  <si>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</si>
  <si>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</si>
  <si>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</si>
  <si>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</si>
  <si>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</si>
  <si>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</si>
  <si>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</si>
  <si>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</si>
  <si>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</si>
  <si>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</si>
  <si>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</si>
  <si>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</si>
  <si>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</si>
  <si>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</si>
  <si>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</si>
  <si>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</si>
  <si>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</si>
  <si>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</si>
  <si>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</si>
  <si>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</si>
  <si>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</si>
  <si>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</si>
  <si>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</si>
  <si>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</si>
  <si>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</si>
  <si>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</si>
  <si>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</si>
  <si>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</si>
  <si>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</si>
  <si>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</si>
  <si>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</si>
  <si>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</si>
  <si>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</si>
  <si>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</si>
  <si>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</si>
  <si>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</si>
  <si>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</si>
  <si>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</si>
  <si>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</si>
  <si>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</si>
  <si>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</si>
  <si>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</si>
  <si>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</si>
  <si>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</si>
  <si>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</si>
  <si>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</si>
  <si>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</si>
  <si>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</si>
  <si>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</si>
  <si>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</si>
  <si>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</si>
  <si>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</si>
  <si>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</si>
  <si>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</si>
  <si>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</si>
  <si>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</si>
  <si>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</si>
  <si>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</si>
  <si>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</si>
  <si>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</si>
  <si>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</si>
  <si>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</si>
  <si>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</si>
  <si>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</si>
  <si>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</si>
  <si>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</si>
  <si>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</si>
  <si>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</si>
  <si>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</si>
  <si>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</si>
  <si>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</si>
  <si>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</si>
  <si>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</si>
  <si>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</si>
  <si>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</si>
  <si>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</si>
  <si>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</si>
  <si>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</si>
  <si>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</si>
  <si>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</si>
  <si>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</si>
  <si>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</si>
  <si>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</si>
  <si>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</si>
  <si>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</si>
  <si>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</si>
  <si>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</si>
  <si>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</si>
  <si>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</si>
  <si>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</si>
  <si>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</si>
  <si>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</si>
  <si>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</si>
  <si>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</si>
  <si>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</si>
  <si>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</si>
  <si>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</si>
  <si>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</si>
  <si>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</si>
  <si>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</si>
  <si>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</si>
  <si>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</si>
  <si>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</si>
  <si>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</si>
  <si>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</si>
  <si>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</si>
  <si>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</si>
  <si>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</si>
  <si>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</si>
  <si>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</si>
  <si>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</si>
  <si>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</si>
  <si>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</si>
  <si>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</si>
  <si>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</si>
  <si>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</si>
  <si>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</si>
  <si>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</si>
  <si>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</si>
  <si>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</si>
  <si>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</si>
  <si>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</si>
  <si>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</si>
  <si>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</si>
  <si>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</si>
  <si>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</si>
  <si>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</si>
  <si>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</si>
  <si>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</si>
  <si>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</si>
  <si>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</si>
  <si>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</si>
  <si>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</si>
  <si>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</si>
  <si>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</si>
  <si>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</si>
  <si>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</si>
  <si>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</si>
  <si>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</si>
  <si>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</si>
  <si>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</si>
  <si>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</si>
  <si>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</si>
  <si>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</si>
  <si>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</si>
  <si>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</si>
  <si>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</si>
  <si>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</si>
  <si>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</si>
  <si>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</si>
  <si>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</si>
  <si>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</si>
  <si>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</si>
  <si>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</si>
  <si>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</si>
  <si>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</si>
  <si>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</si>
  <si>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</si>
  <si>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</si>
  <si>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</si>
  <si>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</si>
  <si>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</si>
  <si>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</si>
  <si>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</si>
  <si>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</si>
  <si>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</si>
  <si>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</si>
  <si>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</si>
  <si>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</si>
  <si>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</si>
  <si>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</si>
  <si>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</si>
  <si>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</si>
  <si>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</si>
  <si>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</si>
  <si>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</si>
  <si>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</si>
  <si>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</si>
  <si>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</si>
  <si>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</si>
  <si>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</si>
  <si>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</si>
  <si>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</si>
  <si>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</si>
  <si>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</si>
  <si>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</si>
  <si>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</si>
  <si>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</si>
  <si>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</si>
  <si>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</si>
  <si>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</si>
  <si>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</si>
  <si>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</si>
  <si>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</si>
  <si>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</si>
  <si>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</si>
  <si>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</si>
  <si>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</si>
  <si>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</si>
  <si>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</si>
  <si>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</si>
  <si>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</si>
  <si>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</si>
  <si>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</si>
  <si>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</si>
  <si>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</si>
  <si>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</si>
  <si>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</si>
  <si>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</si>
  <si>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</si>
  <si>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</si>
  <si>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</si>
  <si>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</si>
  <si>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</si>
  <si>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</si>
  <si>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</si>
  <si>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</si>
  <si>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</si>
  <si>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</si>
  <si>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</si>
  <si>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</si>
  <si>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</si>
  <si>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</si>
  <si>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</si>
  <si>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</si>
  <si>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</si>
  <si>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</si>
  <si>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</si>
  <si>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</si>
  <si>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</si>
  <si>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</si>
  <si>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</si>
  <si>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</si>
  <si>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</si>
  <si>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</si>
  <si>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</si>
  <si>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</si>
  <si>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</si>
  <si>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</si>
  <si>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</si>
  <si>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</si>
  <si>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</si>
  <si>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</si>
  <si>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</si>
  <si>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</si>
  <si>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</si>
  <si>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</si>
  <si>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</si>
  <si>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</si>
  <si>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</si>
  <si>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</si>
  <si>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</si>
  <si>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</si>
  <si>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</si>
  <si>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</si>
  <si>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</si>
  <si>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</si>
  <si>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</si>
  <si>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</si>
  <si>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</si>
  <si>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</si>
  <si>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</si>
  <si>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</si>
  <si>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</si>
  <si>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</si>
  <si>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</si>
  <si>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</si>
  <si>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</si>
  <si>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</si>
  <si>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</si>
  <si>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</si>
  <si>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</si>
  <si>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</si>
  <si>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</si>
  <si>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</si>
  <si>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</si>
  <si>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</si>
  <si>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</si>
  <si>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</si>
  <si>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</si>
  <si>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</si>
  <si>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</si>
  <si>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</si>
  <si>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</si>
  <si>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</si>
  <si>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</si>
  <si>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</si>
  <si>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</si>
  <si>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</si>
  <si>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</si>
  <si>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</si>
  <si>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</si>
  <si>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</si>
  <si>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</si>
  <si>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</si>
  <si>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</si>
  <si>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</si>
  <si>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</si>
  <si>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</si>
  <si>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</si>
  <si>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</si>
  <si>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</si>
  <si>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</si>
  <si>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</si>
  <si>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</si>
  <si>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</si>
  <si>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</si>
  <si>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</si>
  <si>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</si>
  <si>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</si>
  <si>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</si>
  <si>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</si>
  <si>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</si>
  <si>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</si>
  <si>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</si>
  <si>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</si>
  <si>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</si>
  <si>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</si>
  <si>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</si>
  <si>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</si>
  <si>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</si>
  <si>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</si>
  <si>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</si>
  <si>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</si>
  <si>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</si>
  <si>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</si>
  <si>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</si>
  <si>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</si>
  <si>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</si>
  <si>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</si>
  <si>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</si>
  <si>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</si>
  <si>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</si>
  <si>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</si>
  <si>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</si>
  <si>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</si>
  <si>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</si>
  <si>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</si>
  <si>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</si>
  <si>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</si>
  <si>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</si>
  <si>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</si>
  <si>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</si>
  <si>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</si>
  <si>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</si>
  <si>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</si>
  <si>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</si>
  <si>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</si>
  <si>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</si>
  <si>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</si>
  <si>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</si>
  <si>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</si>
  <si>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</si>
  <si>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</si>
  <si>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</si>
  <si>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</si>
  <si>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</si>
  <si>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</si>
  <si>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</si>
  <si>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</si>
  <si>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</si>
  <si>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</si>
  <si>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</si>
  <si>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</si>
  <si>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</si>
  <si>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</si>
  <si>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</si>
  <si>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</si>
  <si>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</si>
  <si>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</si>
  <si>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</si>
  <si>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</si>
  <si>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</si>
  <si>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</si>
  <si>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</si>
  <si>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</si>
  <si>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</si>
  <si>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</si>
  <si>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</si>
  <si>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</si>
  <si>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</si>
  <si>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</si>
  <si>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</si>
  <si>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</si>
  <si>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</si>
  <si>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</si>
  <si>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</si>
  <si>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</si>
  <si>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</si>
  <si>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</si>
  <si>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</si>
  <si>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</si>
  <si>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</si>
  <si>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</si>
  <si>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</si>
  <si>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</si>
  <si>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</si>
  <si>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</si>
  <si>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</si>
  <si>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</si>
  <si>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</si>
  <si>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</si>
  <si>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</si>
  <si>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</si>
  <si>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</si>
  <si>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</si>
  <si>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</si>
  <si>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</si>
  <si>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</si>
  <si>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</si>
  <si>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</si>
  <si>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</si>
  <si>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</si>
  <si>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</si>
  <si>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</si>
  <si>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</si>
  <si>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</si>
  <si>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</si>
  <si>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</si>
  <si>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</si>
  <si>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</si>
  <si>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</si>
  <si>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</si>
  <si>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</si>
  <si>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</si>
  <si>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</si>
  <si>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</si>
  <si>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</si>
  <si>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</si>
  <si>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</si>
  <si>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</si>
  <si>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</si>
  <si>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</si>
  <si>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</si>
  <si>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</si>
  <si>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</si>
  <si>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</si>
  <si>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</si>
  <si>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</si>
  <si>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</si>
  <si>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</si>
  <si>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</si>
  <si>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</si>
  <si>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</si>
  <si>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</si>
  <si>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</si>
  <si>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</si>
  <si>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</si>
  <si>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</si>
  <si>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</si>
  <si>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</si>
  <si>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</si>
  <si>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</si>
  <si>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</si>
  <si>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</si>
  <si>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</si>
  <si>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</si>
  <si>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</si>
  <si>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</si>
  <si>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</si>
  <si>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</si>
  <si>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</si>
  <si>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</si>
  <si>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</si>
  <si>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</si>
  <si>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</si>
  <si>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</si>
  <si>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</si>
  <si>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</si>
  <si>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</si>
  <si>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</si>
  <si>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</si>
  <si>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</si>
  <si>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</si>
  <si>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</si>
  <si>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</si>
  <si>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</si>
  <si>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</si>
  <si>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</si>
  <si>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</si>
  <si>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</si>
  <si>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</si>
  <si>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</si>
  <si>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</si>
  <si>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</si>
  <si>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</si>
  <si>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</si>
  <si>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</si>
  <si>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</si>
  <si>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</si>
  <si>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</si>
  <si>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</si>
  <si>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</si>
  <si>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</si>
  <si>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</si>
  <si>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</si>
  <si>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</si>
  <si>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</si>
  <si>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</si>
  <si>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</si>
  <si>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</si>
  <si>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</si>
  <si>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</si>
  <si>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</si>
  <si>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</si>
  <si>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</si>
  <si>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</si>
  <si>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</si>
  <si>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</si>
  <si>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</si>
  <si>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</si>
  <si>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</si>
  <si>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</si>
  <si>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</si>
  <si>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</si>
  <si>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</si>
  <si>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</si>
  <si>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</si>
  <si>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</si>
  <si>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</si>
  <si>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</si>
  <si>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</si>
  <si>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</si>
  <si>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</si>
  <si>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</si>
  <si>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</si>
  <si>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</si>
  <si>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</si>
  <si>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</si>
  <si>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</si>
  <si>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</si>
  <si>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</si>
  <si>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</si>
  <si>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</si>
  <si>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</si>
  <si>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</si>
  <si>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</si>
  <si>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</si>
  <si>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</si>
  <si>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</si>
  <si>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</si>
  <si>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</si>
  <si>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</si>
  <si>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</si>
  <si>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</si>
  <si>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</si>
  <si>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</si>
  <si>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</si>
  <si>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</si>
  <si>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</si>
  <si>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</si>
  <si>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</si>
  <si>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</si>
  <si>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</si>
  <si>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</si>
  <si>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</si>
  <si>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</si>
  <si>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</si>
  <si>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</si>
  <si>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</si>
  <si>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</si>
  <si>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</si>
  <si>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</si>
  <si>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</si>
  <si>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</si>
  <si>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</si>
  <si>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</si>
  <si>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</si>
  <si>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</si>
  <si>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</si>
  <si>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</si>
  <si>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</si>
  <si>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</si>
  <si>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</si>
  <si>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</si>
  <si>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</si>
  <si>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</si>
  <si>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</si>
  <si>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</si>
  <si>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</si>
  <si>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</si>
  <si>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</si>
  <si>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</si>
  <si>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</si>
  <si>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</si>
  <si>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</si>
  <si>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</si>
  <si>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</si>
  <si>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</si>
  <si>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</si>
  <si>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</si>
  <si>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</si>
  <si>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</si>
  <si>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</si>
  <si>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</si>
  <si>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</si>
  <si>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</si>
  <si>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</si>
  <si>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</si>
  <si>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</si>
  <si>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</si>
  <si>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</si>
  <si>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</si>
  <si>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</si>
  <si>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</si>
  <si>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</si>
  <si>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</si>
  <si>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</si>
  <si>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</si>
  <si>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</si>
  <si>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</si>
  <si>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</si>
  <si>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</si>
  <si>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</si>
  <si>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</si>
  <si>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</si>
  <si>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</si>
  <si>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</si>
  <si>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</si>
  <si>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</si>
  <si>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</si>
  <si>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</si>
  <si>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</si>
  <si>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</si>
  <si>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</si>
  <si>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</si>
  <si>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</si>
  <si>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</si>
  <si>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</si>
  <si>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</si>
  <si>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</si>
  <si>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</si>
  <si>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</si>
  <si>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</si>
  <si>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</si>
  <si>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</si>
  <si>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</si>
  <si>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</si>
  <si>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</si>
  <si>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</si>
  <si>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</si>
  <si>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</si>
  <si>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</si>
  <si>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</si>
  <si>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</si>
  <si>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</si>
  <si>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</si>
  <si>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</si>
  <si>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</si>
  <si>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</si>
  <si>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</si>
  <si>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</si>
  <si>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</si>
  <si>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</si>
  <si>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</si>
  <si>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</si>
  <si>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</si>
  <si>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</si>
  <si>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</si>
  <si>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</si>
  <si>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</si>
  <si>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</si>
  <si>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</si>
  <si>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</si>
  <si>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</si>
  <si>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</si>
  <si>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</si>
  <si>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</si>
  <si>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</si>
  <si>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</si>
  <si>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</si>
  <si>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</si>
  <si>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</si>
  <si>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</si>
  <si>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</si>
  <si>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</si>
  <si>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</si>
  <si>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</si>
  <si>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</si>
  <si>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</si>
  <si>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</si>
  <si>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</si>
  <si>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</si>
  <si>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</si>
  <si>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</si>
  <si>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</si>
  <si>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</si>
  <si>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</si>
  <si>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</si>
  <si>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</si>
  <si>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</si>
  <si>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</si>
  <si>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</si>
  <si>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</si>
  <si>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</si>
  <si>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</si>
  <si>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</si>
  <si>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</si>
  <si>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</si>
  <si>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</si>
  <si>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</si>
  <si>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</si>
  <si>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</si>
  <si>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</si>
  <si>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</si>
  <si>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</si>
  <si>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</si>
  <si>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</si>
  <si>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</si>
  <si>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</si>
  <si>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</si>
  <si>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</si>
  <si>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</si>
  <si>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</si>
  <si>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</si>
  <si>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</si>
  <si>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</si>
  <si>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</si>
  <si>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</si>
  <si>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</si>
  <si>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</si>
  <si>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</si>
  <si>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</si>
  <si>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</si>
  <si>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</si>
  <si>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</si>
  <si>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</si>
  <si>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</si>
  <si>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</si>
  <si>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</si>
  <si>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</si>
  <si>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</si>
  <si>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</si>
  <si>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</si>
  <si>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</si>
  <si>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</si>
  <si>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</si>
  <si>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</si>
  <si>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</si>
  <si>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</si>
  <si>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</si>
  <si>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</si>
  <si>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</si>
  <si>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</si>
  <si>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</si>
  <si>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</si>
  <si>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</si>
  <si>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</si>
  <si>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</si>
  <si>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</si>
  <si>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</si>
  <si>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</si>
  <si>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</si>
  <si>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</si>
  <si>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</si>
  <si>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</si>
  <si>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</si>
  <si>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</si>
  <si>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</si>
  <si>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</si>
  <si>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</si>
  <si>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</si>
  <si>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</si>
  <si>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</si>
  <si>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</si>
  <si>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</si>
  <si>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</si>
  <si>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</si>
  <si>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</si>
  <si>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</si>
  <si>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</si>
  <si>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</si>
  <si>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</si>
  <si>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</si>
  <si>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</si>
  <si>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</si>
  <si>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</si>
  <si>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</si>
  <si>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</si>
  <si>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</si>
  <si>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</si>
  <si>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</si>
  <si>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</si>
  <si>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</si>
  <si>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</si>
  <si>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</si>
  <si>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</si>
  <si>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</si>
  <si>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</si>
  <si>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</si>
  <si>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</si>
  <si>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</si>
  <si>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</si>
  <si>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</si>
  <si>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</si>
  <si>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</si>
  <si>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</si>
  <si>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</si>
  <si>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</si>
  <si>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</si>
  <si>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</si>
  <si>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</si>
  <si>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</si>
  <si>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</si>
  <si>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</si>
  <si>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</si>
  <si>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</si>
  <si>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</si>
  <si>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</si>
  <si>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</si>
  <si>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</si>
  <si>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</si>
  <si>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</si>
  <si>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</si>
  <si>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</si>
  <si>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</si>
  <si>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</si>
  <si>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</si>
  <si>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</si>
  <si>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</si>
  <si>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</si>
  <si>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</si>
  <si>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</si>
  <si>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</si>
  <si>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</si>
  <si>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</si>
  <si>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</si>
  <si>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</si>
  <si>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</si>
  <si>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</si>
  <si>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</si>
  <si>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</si>
  <si>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</si>
  <si>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</si>
  <si>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</si>
  <si>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</si>
  <si>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</si>
  <si>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</si>
  <si>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</si>
  <si>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</si>
  <si>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</si>
  <si>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</si>
  <si>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</si>
  <si>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</si>
  <si>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</si>
  <si>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</si>
  <si>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</si>
  <si>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</si>
  <si>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</si>
  <si>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</si>
  <si>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</si>
  <si>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</si>
  <si>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</si>
  <si>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</si>
  <si>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</si>
  <si>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</si>
  <si>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</si>
  <si>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</si>
  <si>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</si>
  <si>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</si>
  <si>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</si>
  <si>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</si>
  <si>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</si>
  <si>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</si>
  <si>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</si>
  <si>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</si>
  <si>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</si>
  <si>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</si>
  <si>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</si>
  <si>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</si>
  <si>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</si>
  <si>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</si>
  <si>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</si>
  <si>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</si>
  <si>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</si>
  <si>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</si>
  <si>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</si>
  <si>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</si>
  <si>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</si>
  <si>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</si>
  <si>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</si>
  <si>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</si>
  <si>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</si>
  <si>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</si>
  <si>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</si>
  <si>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</si>
  <si>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</si>
  <si>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</si>
  <si>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</si>
  <si>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</si>
  <si>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</si>
  <si>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</si>
  <si>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</si>
  <si>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</si>
  <si>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</si>
  <si>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</si>
  <si>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</si>
  <si>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</si>
  <si>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</si>
  <si>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</si>
  <si>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</si>
  <si>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</si>
  <si>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</si>
  <si>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</si>
  <si>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</si>
  <si>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</si>
  <si>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</si>
  <si>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</si>
  <si>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</si>
  <si>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</si>
  <si>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</si>
  <si>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</si>
  <si>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</si>
  <si>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</si>
  <si>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</si>
  <si>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</si>
  <si>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</si>
  <si>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</si>
  <si>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</si>
  <si>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</si>
  <si>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</si>
  <si>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</si>
  <si>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</si>
  <si>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</si>
  <si>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</si>
  <si>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</si>
  <si>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</si>
  <si>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</si>
  <si>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</si>
  <si>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</si>
  <si>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</si>
  <si>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</si>
  <si>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</si>
  <si>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</si>
  <si>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</si>
  <si>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</si>
  <si>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</si>
  <si>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</si>
  <si>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</si>
  <si>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</si>
  <si>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</si>
  <si>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</si>
  <si>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</si>
  <si>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</si>
  <si>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</si>
  <si>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</si>
  <si>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</si>
  <si>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</si>
  <si>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</si>
  <si>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</si>
  <si>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</si>
  <si>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</si>
  <si>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</si>
  <si>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</si>
  <si>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</si>
  <si>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</si>
  <si>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</si>
  <si>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</si>
  <si>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</si>
  <si>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</si>
  <si>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</si>
  <si>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</si>
  <si>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</si>
  <si>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</si>
  <si>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</si>
  <si>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</si>
  <si>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</si>
  <si>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</si>
  <si>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</si>
  <si>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</si>
  <si>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</si>
  <si>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</si>
  <si>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</si>
  <si>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</si>
  <si>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</si>
  <si>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</si>
  <si>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</si>
  <si>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</si>
  <si>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</si>
  <si>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</si>
  <si>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</si>
  <si>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</si>
  <si>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</si>
  <si>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</si>
  <si>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</si>
  <si>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</si>
  <si>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</si>
  <si>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</si>
  <si>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</si>
  <si>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</si>
  <si>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</si>
  <si>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</si>
  <si>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</si>
  <si>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</si>
  <si>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</si>
  <si>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</si>
  <si>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</si>
  <si>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</si>
  <si>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</si>
  <si>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</si>
  <si>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</si>
  <si>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</si>
  <si>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</si>
  <si>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</si>
  <si>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</si>
  <si>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</si>
  <si>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</si>
  <si>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</si>
  <si>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</si>
  <si>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</si>
  <si>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</si>
  <si>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</si>
  <si>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</si>
  <si>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</si>
  <si>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</si>
  <si>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</si>
  <si>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</si>
  <si>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</si>
  <si>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</si>
  <si>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</si>
  <si>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</si>
  <si>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</si>
  <si>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</si>
  <si>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</si>
  <si>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</si>
  <si>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</si>
  <si>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</si>
  <si>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</si>
  <si>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</si>
  <si>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</si>
  <si>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</si>
  <si>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</si>
  <si>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</si>
  <si>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</si>
  <si>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</si>
  <si>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</si>
  <si>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</si>
  <si>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</si>
  <si>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</si>
  <si>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</si>
  <si>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</si>
  <si>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</si>
  <si>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</si>
  <si>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</si>
  <si>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</si>
  <si>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</si>
  <si>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</si>
  <si>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</si>
  <si>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</si>
  <si>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</si>
  <si>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</si>
  <si>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</si>
  <si>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</si>
  <si>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</si>
  <si>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</si>
  <si>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</si>
  <si>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</si>
  <si>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</si>
  <si>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</si>
  <si>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</si>
  <si>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</si>
  <si>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</si>
  <si>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</si>
  <si>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</si>
  <si>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</si>
  <si>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</si>
  <si>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</si>
  <si>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</si>
  <si>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</si>
  <si>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</si>
  <si>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</si>
  <si>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</si>
  <si>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</si>
  <si>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</si>
  <si>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</si>
  <si>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</si>
  <si>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</si>
  <si>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</si>
  <si>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</si>
  <si>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</si>
  <si>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</si>
  <si>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</si>
  <si>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</si>
  <si>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</si>
  <si>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</si>
  <si>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</si>
  <si>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</si>
  <si>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</si>
  <si>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</si>
  <si>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</si>
  <si>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</si>
  <si>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</si>
  <si>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</si>
  <si>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</si>
  <si>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</si>
  <si>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</si>
  <si>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</si>
  <si>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</si>
  <si>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</si>
  <si>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</si>
  <si>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</si>
  <si>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</si>
  <si>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</si>
  <si>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</si>
  <si>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</si>
  <si>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</si>
  <si>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</si>
  <si>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</si>
  <si>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</si>
  <si>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</si>
  <si>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</si>
  <si>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</si>
  <si>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</si>
  <si>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</si>
  <si>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</si>
  <si>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</si>
  <si>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</si>
  <si>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</si>
  <si>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</si>
  <si>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</si>
  <si>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</si>
  <si>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</si>
  <si>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</si>
  <si>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</si>
  <si>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</si>
  <si>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</si>
  <si>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</si>
  <si>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</si>
  <si>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</si>
  <si>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</si>
  <si>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</si>
  <si>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</si>
  <si>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</si>
  <si>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</si>
  <si>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</si>
  <si>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</si>
  <si>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</si>
  <si>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</si>
  <si>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</si>
  <si>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</si>
  <si>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</si>
  <si>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</si>
  <si>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</si>
  <si>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</si>
  <si>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</si>
  <si>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</si>
  <si>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</si>
  <si>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</si>
  <si>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</si>
  <si>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</si>
  <si>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</si>
  <si>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</si>
  <si>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</si>
  <si>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</si>
  <si>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</si>
  <si>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</si>
  <si>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</si>
  <si>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</si>
  <si>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</si>
  <si>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</si>
  <si>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</si>
  <si>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</si>
  <si>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</si>
  <si>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</si>
  <si>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</si>
  <si>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</si>
  <si>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</si>
  <si>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</si>
  <si>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</si>
  <si>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</si>
  <si>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</si>
  <si>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</si>
  <si>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</si>
  <si>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</si>
  <si>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</si>
  <si>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</si>
  <si>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</si>
  <si>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</si>
  <si>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</si>
  <si>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</si>
  <si>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</si>
  <si>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</si>
  <si>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</si>
  <si>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</si>
  <si>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</si>
  <si>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</si>
  <si>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</si>
  <si>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</si>
  <si>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</si>
  <si>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</si>
  <si>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</si>
  <si>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</si>
  <si>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</si>
  <si>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</si>
  <si>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</si>
  <si>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</si>
  <si>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</si>
  <si>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</si>
  <si>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</si>
  <si>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</si>
  <si>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</si>
  <si>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</si>
  <si>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</si>
  <si>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</si>
  <si>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</si>
  <si>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</si>
  <si>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</si>
  <si>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</si>
  <si>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</si>
  <si>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</si>
  <si>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</si>
  <si>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</si>
  <si>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</si>
  <si>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</si>
  <si>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</si>
  <si>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</si>
  <si>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</si>
  <si>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</si>
  <si>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</si>
  <si>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</si>
  <si>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</si>
  <si>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</si>
  <si>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</si>
  <si>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</si>
  <si>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</si>
  <si>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</si>
  <si>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</si>
  <si>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</si>
  <si>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</si>
  <si>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</si>
  <si>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</si>
  <si>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</si>
  <si>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</si>
  <si>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</si>
  <si>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</si>
  <si>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</si>
  <si>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</si>
  <si>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</si>
  <si>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</si>
  <si>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</si>
  <si>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</si>
  <si>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</si>
  <si>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</si>
  <si>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</si>
  <si>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</si>
  <si>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</si>
  <si>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</si>
  <si>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</si>
  <si>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</si>
  <si>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</si>
  <si>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</si>
  <si>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</si>
  <si>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</si>
  <si>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</si>
  <si>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</si>
  <si>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</si>
  <si>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</si>
  <si>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</si>
  <si>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</si>
  <si>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</si>
  <si>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</si>
  <si>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</si>
  <si>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</si>
  <si>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</si>
  <si>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</si>
  <si>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</si>
  <si>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</si>
  <si>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</si>
  <si>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</si>
  <si>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</si>
  <si>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</si>
  <si>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</si>
  <si>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</si>
  <si>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</si>
  <si>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</si>
  <si>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</si>
  <si>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</si>
  <si>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</si>
  <si>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</si>
  <si>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</si>
  <si>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</si>
  <si>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</si>
  <si>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</si>
  <si>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</si>
  <si>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</si>
  <si>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</si>
  <si>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</si>
  <si>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</si>
  <si>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</si>
  <si>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</si>
  <si>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</si>
  <si>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</si>
  <si>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</si>
  <si>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</si>
  <si>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</si>
  <si>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</si>
  <si>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</si>
  <si>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</si>
  <si>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</si>
  <si>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</si>
  <si>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</si>
  <si>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</si>
  <si>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</si>
  <si>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</si>
  <si>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</si>
  <si>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</si>
  <si>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</si>
  <si>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</si>
  <si>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</si>
  <si>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</si>
  <si>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</si>
  <si>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</si>
  <si>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</si>
  <si>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</si>
  <si>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</si>
  <si>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</si>
  <si>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</si>
  <si>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</si>
  <si>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</si>
  <si>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</si>
  <si>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</si>
  <si>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</si>
  <si>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</si>
  <si>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</si>
  <si>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</si>
  <si>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</si>
  <si>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</si>
  <si>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</si>
  <si>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</si>
  <si>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</si>
  <si>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</si>
  <si>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</si>
  <si>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</si>
  <si>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</si>
  <si>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</si>
  <si>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</si>
  <si>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</si>
  <si>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</si>
  <si>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</si>
  <si>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</si>
  <si>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</si>
  <si>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</si>
  <si>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</si>
  <si>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</si>
  <si>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</si>
  <si>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</si>
  <si>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</si>
  <si>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</si>
  <si>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</si>
  <si>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</si>
  <si>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</si>
  <si>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</si>
  <si>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</si>
  <si>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</si>
  <si>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</si>
  <si>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</si>
  <si>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</si>
  <si>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</si>
  <si>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</si>
  <si>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</si>
  <si>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</si>
  <si>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</si>
  <si>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</si>
  <si>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</si>
  <si>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</si>
  <si>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</si>
  <si>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</si>
  <si>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</si>
  <si>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</si>
  <si>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</si>
  <si>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</si>
  <si>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</si>
  <si>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</si>
  <si>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</si>
  <si>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</si>
  <si>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</si>
  <si>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</si>
  <si>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</si>
  <si>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</si>
  <si>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</si>
  <si>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</si>
  <si>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</si>
  <si>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</si>
  <si>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</si>
  <si>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</si>
  <si>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</si>
  <si>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</si>
  <si>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</si>
  <si>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</si>
  <si>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</si>
  <si>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</si>
  <si>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</si>
  <si>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</si>
  <si>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</si>
  <si>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</si>
  <si>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</si>
  <si>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</si>
  <si>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</si>
  <si>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</si>
  <si>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</si>
  <si>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</si>
  <si>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</si>
  <si>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</si>
  <si>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</si>
  <si>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</si>
  <si>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</si>
  <si>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</si>
  <si>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</si>
  <si>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</si>
  <si>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</si>
  <si>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</si>
  <si>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</si>
  <si>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</si>
  <si>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</si>
  <si>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</si>
  <si>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</si>
  <si>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</si>
  <si>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</si>
  <si>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</si>
  <si>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</si>
  <si>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</si>
  <si>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</si>
  <si>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</si>
  <si>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</si>
  <si>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</si>
  <si>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</si>
  <si>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</si>
  <si>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</si>
  <si>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</si>
  <si>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</si>
  <si>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</si>
  <si>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</si>
  <si>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</si>
  <si>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</si>
  <si>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</si>
  <si>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</si>
  <si>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</si>
  <si>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</si>
  <si>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</si>
  <si>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</si>
  <si>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</si>
  <si>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</si>
  <si>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</si>
  <si>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</si>
  <si>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</si>
  <si>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</si>
  <si>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</si>
  <si>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</si>
  <si>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</si>
  <si>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</si>
  <si>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</si>
  <si>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</si>
  <si>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</si>
  <si>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</si>
  <si>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</si>
  <si>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</si>
  <si>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</si>
  <si>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</si>
  <si>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</si>
  <si>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</si>
  <si>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</si>
  <si>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</si>
  <si>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</si>
  <si>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</si>
  <si>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</si>
  <si>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</si>
  <si>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</si>
  <si>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</si>
  <si>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</si>
  <si>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</si>
  <si>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</si>
  <si>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</si>
  <si>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</si>
  <si>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</si>
  <si>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</si>
  <si>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</si>
  <si>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</si>
  <si>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</si>
  <si>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</si>
  <si>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</si>
  <si>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</si>
  <si>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</si>
  <si>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</si>
  <si>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</si>
  <si>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</si>
  <si>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</si>
  <si>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</si>
  <si>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</si>
  <si>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</si>
  <si>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</si>
  <si>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</si>
  <si>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</si>
  <si>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</si>
  <si>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</si>
  <si>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</si>
  <si>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</si>
  <si>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</si>
  <si>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</si>
  <si>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</si>
  <si>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</si>
  <si>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</si>
  <si>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</si>
  <si>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</si>
  <si>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</si>
  <si>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</si>
  <si>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</si>
  <si>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</si>
  <si>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</si>
  <si>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</si>
  <si>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</si>
  <si>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</si>
  <si>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</si>
  <si>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</si>
  <si>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</si>
  <si>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</si>
  <si>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</si>
  <si>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</si>
  <si>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</si>
  <si>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</si>
  <si>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</si>
  <si>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</si>
  <si>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</si>
  <si>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</si>
  <si>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</si>
  <si>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</si>
  <si>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</si>
  <si>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</si>
  <si>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</si>
  <si>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</si>
  <si>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</si>
  <si>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</si>
  <si>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</si>
  <si>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</si>
  <si>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</si>
  <si>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</si>
  <si>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</si>
  <si>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</si>
  <si>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</si>
  <si>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</si>
  <si>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</si>
  <si>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</si>
  <si>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</si>
  <si>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</si>
  <si>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</si>
  <si>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</si>
  <si>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</si>
  <si>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</si>
  <si>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</si>
  <si>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</si>
  <si>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</si>
  <si>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</si>
  <si>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</si>
  <si>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</si>
  <si>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</si>
  <si>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</si>
  <si>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</si>
  <si>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</si>
  <si>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</si>
  <si>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</si>
  <si>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</si>
  <si>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</si>
  <si>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</si>
  <si>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</si>
  <si>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</si>
  <si>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</si>
  <si>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</si>
  <si>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</si>
  <si>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</si>
  <si>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</si>
  <si>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</si>
  <si>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</si>
  <si>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</si>
  <si>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</si>
  <si>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</si>
  <si>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</si>
  <si>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</si>
  <si>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</si>
  <si>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</si>
  <si>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</si>
  <si>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</si>
  <si>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</si>
  <si>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</si>
  <si>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</si>
  <si>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</si>
  <si>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</si>
  <si>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</si>
  <si>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</si>
  <si>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</si>
  <si>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</si>
  <si>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</si>
  <si>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</si>
  <si>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</si>
  <si>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</si>
  <si>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</si>
  <si>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</si>
  <si>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</si>
  <si>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</si>
  <si>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</si>
  <si>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</si>
  <si>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</si>
  <si>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</si>
  <si>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</si>
  <si>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</si>
  <si>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</si>
  <si>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</si>
  <si>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</si>
  <si>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</si>
  <si>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</si>
  <si>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</si>
  <si>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</si>
  <si>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</si>
  <si>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</si>
  <si>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</si>
  <si>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</si>
  <si>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</si>
  <si>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</si>
  <si>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</si>
  <si>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</si>
  <si>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</si>
  <si>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</si>
  <si>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</si>
  <si>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</si>
  <si>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</si>
  <si>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</si>
  <si>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</si>
  <si>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</si>
  <si>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</si>
  <si>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</si>
  <si>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</si>
  <si>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</si>
  <si>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</si>
  <si>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</si>
  <si>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</si>
  <si>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</si>
  <si>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</si>
  <si>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</si>
  <si>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</si>
  <si>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</si>
  <si>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</si>
  <si>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</si>
  <si>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</si>
  <si>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</si>
  <si>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</si>
  <si>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</si>
  <si>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</si>
  <si>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</si>
  <si>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</si>
  <si>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</si>
  <si>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</si>
  <si>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</si>
  <si>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</si>
  <si>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</si>
  <si>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</si>
  <si>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</si>
  <si>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</si>
  <si>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</si>
  <si>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</si>
  <si>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</si>
  <si>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</si>
  <si>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</si>
  <si>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</si>
  <si>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</si>
  <si>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</si>
  <si>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</si>
  <si>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</si>
  <si>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</si>
  <si>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</si>
  <si>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</si>
  <si>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</si>
  <si>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</si>
  <si>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</si>
  <si>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</si>
  <si>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</si>
  <si>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</si>
  <si>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</si>
  <si>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</si>
  <si>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</si>
  <si>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</si>
  <si>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</si>
  <si>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</si>
  <si>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</si>
  <si>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</si>
  <si>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</si>
  <si>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</si>
  <si>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</si>
  <si>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</si>
  <si>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</si>
  <si>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</si>
  <si>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</si>
  <si>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</si>
  <si>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</si>
  <si>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</si>
  <si>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</si>
  <si>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</si>
  <si>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</si>
  <si>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</si>
  <si>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</si>
  <si>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</si>
  <si>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</si>
  <si>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</si>
  <si>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</si>
  <si>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</si>
  <si>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</si>
  <si>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</si>
  <si>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</si>
  <si>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</si>
  <si>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</si>
  <si>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</si>
  <si>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</si>
  <si>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</si>
  <si>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</si>
  <si>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</si>
  <si>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</si>
  <si>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</si>
  <si>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</si>
  <si>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</si>
  <si>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</si>
  <si>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</si>
  <si>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</si>
  <si>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</si>
  <si>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</si>
  <si>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</si>
  <si>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</si>
  <si>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</si>
  <si>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</si>
  <si>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</si>
  <si>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</si>
  <si>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</si>
  <si>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</si>
  <si>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</si>
  <si>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</si>
  <si>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</si>
  <si>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</si>
  <si>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</si>
  <si>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</si>
  <si>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</si>
  <si>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</si>
  <si>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</si>
  <si>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</si>
  <si>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</si>
  <si>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</si>
  <si>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</si>
  <si>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</si>
  <si>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</si>
  <si>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</si>
  <si>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</si>
  <si>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</si>
  <si>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</si>
  <si>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</si>
  <si>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</si>
  <si>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</si>
  <si>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</si>
  <si>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</si>
  <si>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</si>
  <si>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</si>
  <si>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</si>
  <si>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</si>
  <si>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</si>
  <si>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</si>
  <si>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</si>
  <si>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</si>
  <si>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</si>
  <si>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</si>
  <si>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</si>
  <si>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</si>
  <si>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</si>
  <si>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</si>
  <si>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</si>
  <si>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</si>
  <si>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</si>
  <si>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</si>
  <si>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</si>
  <si>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</si>
  <si>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</si>
  <si>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</si>
  <si>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</si>
  <si>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</si>
  <si>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</si>
  <si>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</si>
  <si>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</si>
  <si>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</si>
  <si>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</si>
  <si>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</si>
  <si>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</si>
  <si>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</si>
  <si>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</si>
  <si>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</si>
  <si>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</si>
  <si>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</si>
  <si>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</si>
  <si>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</si>
  <si>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</si>
  <si>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</si>
  <si>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</si>
  <si>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</si>
  <si>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</si>
  <si>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</si>
  <si>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</si>
  <si>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</si>
  <si>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</si>
  <si>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</si>
  <si>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</si>
  <si>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</si>
  <si>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</si>
  <si>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</si>
  <si>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</si>
  <si>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</si>
  <si>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</si>
  <si>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</si>
  <si>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</si>
  <si>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</si>
  <si>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</si>
  <si>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</si>
  <si>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</si>
  <si>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</si>
  <si>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</si>
  <si>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</si>
  <si>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</si>
  <si>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</si>
  <si>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</si>
  <si>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</si>
  <si>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</si>
  <si>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</si>
  <si>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</si>
  <si>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</si>
  <si>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</si>
  <si>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</si>
  <si>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</si>
  <si>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</si>
  <si>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</si>
  <si>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</si>
  <si>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</si>
  <si>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</si>
  <si>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</si>
  <si>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</si>
  <si>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</si>
  <si>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</si>
  <si>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</si>
  <si>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</si>
  <si>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</si>
  <si>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</si>
  <si>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</si>
  <si>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</si>
  <si>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</si>
  <si>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</si>
  <si>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</si>
  <si>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</si>
  <si>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</si>
  <si>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</si>
  <si>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</si>
  <si>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</si>
  <si>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</si>
  <si>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</si>
  <si>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</si>
  <si>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</si>
  <si>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</si>
  <si>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</si>
  <si>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</si>
  <si>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</si>
  <si>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</si>
  <si>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</si>
  <si>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</si>
  <si>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</si>
  <si>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</si>
  <si>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</si>
  <si>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</si>
  <si>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</si>
  <si>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</si>
  <si>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</si>
  <si>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</si>
  <si>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</si>
  <si>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</si>
  <si>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</si>
  <si>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</si>
  <si>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</si>
  <si>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</si>
  <si>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</si>
  <si>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</si>
  <si>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</si>
  <si>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</si>
  <si>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</si>
  <si>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</si>
  <si>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</si>
  <si>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</si>
  <si>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</si>
  <si>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</si>
  <si>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</si>
  <si>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</si>
  <si>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</si>
  <si>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</si>
  <si>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</si>
  <si>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</si>
  <si>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</si>
  <si>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</si>
  <si>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</si>
  <si>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</si>
  <si>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</si>
  <si>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</si>
  <si>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</si>
  <si>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</si>
  <si>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</si>
  <si>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</si>
  <si>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</si>
  <si>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</si>
  <si>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</si>
  <si>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</si>
  <si>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</si>
  <si>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</si>
  <si>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</si>
  <si>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</si>
  <si>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</si>
  <si>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</si>
  <si>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</si>
  <si>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</si>
  <si>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</si>
  <si>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</si>
  <si>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</si>
  <si>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</si>
  <si>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</si>
  <si>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</si>
  <si>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</si>
  <si>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</si>
  <si>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</si>
  <si>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</si>
  <si>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</si>
  <si>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</si>
  <si>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</si>
  <si>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</si>
  <si>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</si>
  <si>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</si>
  <si>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</si>
  <si>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</si>
  <si>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</si>
  <si>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</si>
  <si>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</si>
  <si>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</si>
  <si>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</si>
  <si>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</si>
  <si>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</si>
  <si>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</si>
  <si>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</si>
  <si>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</si>
  <si>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</si>
  <si>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</si>
  <si>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</si>
  <si>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</si>
  <si>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</si>
  <si>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</si>
  <si>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</si>
  <si>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</si>
  <si>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</si>
  <si>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</si>
  <si>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</si>
  <si>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</si>
  <si>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</si>
  <si>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</si>
  <si>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</si>
  <si>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</si>
  <si>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</si>
  <si>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</si>
  <si>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</si>
  <si>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</si>
  <si>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</si>
  <si>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</si>
  <si>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</si>
  <si>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</si>
  <si>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</si>
  <si>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</si>
  <si>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</si>
  <si>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</si>
  <si>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</si>
  <si>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</si>
  <si>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</si>
  <si>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</si>
  <si>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</si>
  <si>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</si>
  <si>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</si>
  <si>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</si>
  <si>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</si>
  <si>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</si>
  <si>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</si>
  <si>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</si>
  <si>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</si>
  <si>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</si>
  <si>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</si>
  <si>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</si>
  <si>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</si>
  <si>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</si>
  <si>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</si>
  <si>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</si>
  <si>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</si>
  <si>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</si>
  <si>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</si>
  <si>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</si>
  <si>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</si>
  <si>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</si>
  <si>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</si>
  <si>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</si>
  <si>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</si>
  <si>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</si>
  <si>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</si>
  <si>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</si>
  <si>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</si>
  <si>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</si>
  <si>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</si>
  <si>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</si>
  <si>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</si>
  <si>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</si>
  <si>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</si>
  <si>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</si>
  <si>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</si>
  <si>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</si>
  <si>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</si>
  <si>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</si>
  <si>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</si>
  <si>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</si>
  <si>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</si>
  <si>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</si>
  <si>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</si>
  <si>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</si>
  <si>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</si>
  <si>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</si>
  <si>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</si>
  <si>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</si>
  <si>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</si>
  <si>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</si>
  <si>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</si>
  <si>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</si>
  <si>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</si>
  <si>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</si>
  <si>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</si>
  <si>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</si>
  <si>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</si>
  <si>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</si>
  <si>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</si>
  <si>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</si>
  <si>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</si>
  <si>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</si>
  <si>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</si>
  <si>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</si>
  <si>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</si>
  <si>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</si>
  <si>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</si>
  <si>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</si>
  <si>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</si>
  <si>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</si>
  <si>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</si>
  <si>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</si>
  <si>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</si>
  <si>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</si>
  <si>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</si>
  <si>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</si>
  <si>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</si>
  <si>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</si>
  <si>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</si>
  <si>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</si>
  <si>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</si>
  <si>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</si>
  <si>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</si>
  <si>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</si>
  <si>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</si>
  <si>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</si>
  <si>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</si>
  <si>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</si>
  <si>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</si>
  <si>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</si>
  <si>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</si>
  <si>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</si>
  <si>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</si>
  <si>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</si>
  <si>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</si>
  <si>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</si>
  <si>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</si>
  <si>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</si>
  <si>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</si>
  <si>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</si>
  <si>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</si>
  <si>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</si>
  <si>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</si>
  <si>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</si>
  <si>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</si>
  <si>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</si>
  <si>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</si>
  <si>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</si>
  <si>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</si>
  <si>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</si>
  <si>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</si>
  <si>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</si>
  <si>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</si>
  <si>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</si>
  <si>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</si>
  <si>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</si>
  <si>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</si>
  <si>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</si>
  <si>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</si>
  <si>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</si>
  <si>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</si>
  <si>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</si>
  <si>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</si>
  <si>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</si>
  <si>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</si>
  <si>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</si>
  <si>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</si>
  <si>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</si>
  <si>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</si>
  <si>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</si>
  <si>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</si>
  <si>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</si>
  <si>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</si>
  <si>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</si>
  <si>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</si>
  <si>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</si>
  <si>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</si>
  <si>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</si>
  <si>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</si>
  <si>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</si>
  <si>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</si>
  <si>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</si>
  <si>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</si>
  <si>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</si>
  <si>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</si>
  <si>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</si>
  <si>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</si>
  <si>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</si>
  <si>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</si>
  <si>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</si>
  <si>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</si>
  <si>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</si>
  <si>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</si>
  <si>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</si>
  <si>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</si>
  <si>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</si>
  <si>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</si>
  <si>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</si>
  <si>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</si>
  <si>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</si>
  <si>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</si>
  <si>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</si>
  <si>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</si>
  <si>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</si>
  <si>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</si>
  <si>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</si>
  <si>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</si>
  <si>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</si>
  <si>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</si>
  <si>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</si>
  <si>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</si>
  <si>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</si>
  <si>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</si>
  <si>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</si>
  <si>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</si>
  <si>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</si>
  <si>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</si>
  <si>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</si>
  <si>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</si>
  <si>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</si>
  <si>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</si>
  <si>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</si>
  <si>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</si>
  <si>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</si>
  <si>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</si>
  <si>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</si>
  <si>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</si>
  <si>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</si>
  <si>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</si>
  <si>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</si>
  <si>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</si>
  <si>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</si>
  <si>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</si>
  <si>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</si>
  <si>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</si>
  <si>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</si>
  <si>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</si>
  <si>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</si>
  <si>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</si>
  <si>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</si>
  <si>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</si>
  <si>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</si>
  <si>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</si>
  <si>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</si>
  <si>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</si>
  <si>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</si>
  <si>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</si>
  <si>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</si>
  <si>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</si>
  <si>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</si>
  <si>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</si>
  <si>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</si>
  <si>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</si>
  <si>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</si>
  <si>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</si>
  <si>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</si>
  <si>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</si>
  <si>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</si>
  <si>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</si>
  <si>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</si>
  <si>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</si>
  <si>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</si>
  <si>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</si>
  <si>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</si>
  <si>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</si>
  <si>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</si>
  <si>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</si>
  <si>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</si>
  <si>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</si>
  <si>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</si>
  <si>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</si>
  <si>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</si>
  <si>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</si>
  <si>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</si>
  <si>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</si>
  <si>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</si>
  <si>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</si>
  <si>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</si>
  <si>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</si>
  <si>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</si>
  <si>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</si>
  <si>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</si>
  <si>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</si>
  <si>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</si>
  <si>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</si>
  <si>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</si>
  <si>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</si>
  <si>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</si>
  <si>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</si>
  <si>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</si>
  <si>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</si>
  <si>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</si>
  <si>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</si>
  <si>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</si>
  <si>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</si>
  <si>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</si>
  <si>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</si>
  <si>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</si>
  <si>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</si>
  <si>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</si>
  <si>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</si>
  <si>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</si>
  <si>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</si>
  <si>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</si>
  <si>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</si>
  <si>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</si>
  <si>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</si>
  <si>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</si>
  <si>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</si>
  <si>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</si>
  <si>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</si>
  <si>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</si>
  <si>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</si>
  <si>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</si>
  <si>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</si>
  <si>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</si>
  <si>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</si>
  <si>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</si>
  <si>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</si>
  <si>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</si>
  <si>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</si>
  <si>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</si>
  <si>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</si>
  <si>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</si>
  <si>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</si>
  <si>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</si>
  <si>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</si>
  <si>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</si>
  <si>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</si>
  <si>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</si>
  <si>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</si>
  <si>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</si>
  <si>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</si>
  <si>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</si>
  <si>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</si>
  <si>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</si>
  <si>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</si>
  <si>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</si>
  <si>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</si>
  <si>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</si>
  <si>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</si>
  <si>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</si>
  <si>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</si>
  <si>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</si>
  <si>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</si>
  <si>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</si>
  <si>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</si>
  <si>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</si>
  <si>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</si>
  <si>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</si>
  <si>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</si>
  <si>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</si>
  <si>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</si>
  <si>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</si>
  <si>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</si>
  <si>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</si>
  <si>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</si>
  <si>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</si>
  <si>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</si>
  <si>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</si>
  <si>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</si>
  <si>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</si>
  <si>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</si>
  <si>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</si>
  <si>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</si>
  <si>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</si>
  <si>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</si>
  <si>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</si>
  <si>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</si>
  <si>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</si>
  <si>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</si>
  <si>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</si>
  <si>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</si>
  <si>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</si>
  <si>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</si>
  <si>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</si>
  <si>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</si>
  <si>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</si>
  <si>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</si>
  <si>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</si>
  <si>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</si>
  <si>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</si>
  <si>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</si>
  <si>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</si>
  <si>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</si>
  <si>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</si>
  <si>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</si>
  <si>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</si>
  <si>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</si>
  <si>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</si>
  <si>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</si>
  <si>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</si>
  <si>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</si>
  <si>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</si>
  <si>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</si>
  <si>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</si>
  <si>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</si>
  <si>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</si>
  <si>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</si>
  <si>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</si>
  <si>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</si>
  <si>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</si>
  <si>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</si>
  <si>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</si>
  <si>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</si>
  <si>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</si>
  <si>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</si>
  <si>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</si>
  <si>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</si>
  <si>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</si>
  <si>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</si>
  <si>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</si>
  <si>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</si>
  <si>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</si>
  <si>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</si>
  <si>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</si>
  <si>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</si>
  <si>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</si>
  <si>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</si>
  <si>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</si>
  <si>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</si>
  <si>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</si>
  <si>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</si>
  <si>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</si>
  <si>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</si>
  <si>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</si>
  <si>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</si>
  <si>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</si>
  <si>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</si>
  <si>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</si>
  <si>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</si>
  <si>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</si>
  <si>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</si>
  <si>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</si>
  <si>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</si>
  <si>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</si>
  <si>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</si>
  <si>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</si>
  <si>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</si>
  <si>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</si>
  <si>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</si>
  <si>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</si>
  <si>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</si>
  <si>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</si>
  <si>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</si>
  <si>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</si>
  <si>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</si>
  <si>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</si>
  <si>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</si>
  <si>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</si>
  <si>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</si>
  <si>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</si>
  <si>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</si>
  <si>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</si>
  <si>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</si>
  <si>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</si>
  <si>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</si>
  <si>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</si>
  <si>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</si>
  <si>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</si>
  <si>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</si>
  <si>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</si>
  <si>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</si>
  <si>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</si>
  <si>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</si>
  <si>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</si>
  <si>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</si>
  <si>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</si>
  <si>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</si>
  <si>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</si>
  <si>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</si>
  <si>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</si>
  <si>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</si>
  <si>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</si>
  <si>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</si>
  <si>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</si>
  <si>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</si>
  <si>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</si>
  <si>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</si>
  <si>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</si>
  <si>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</si>
  <si>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</si>
  <si>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</si>
  <si>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</si>
  <si>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</si>
  <si>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</si>
  <si>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</si>
  <si>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</si>
  <si>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</si>
  <si>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</si>
  <si>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</si>
  <si>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</si>
  <si>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</si>
  <si>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</si>
  <si>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</si>
  <si>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</si>
  <si>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</si>
  <si>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</si>
  <si>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</si>
  <si>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</si>
  <si>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</si>
  <si>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</si>
  <si>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</si>
  <si>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</si>
  <si>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</si>
  <si>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</si>
  <si>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</si>
  <si>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</si>
  <si>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</si>
  <si>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</si>
  <si>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</si>
  <si>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</si>
  <si>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</si>
  <si>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</si>
  <si>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</si>
  <si>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</si>
  <si>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</si>
  <si>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</si>
  <si>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</si>
  <si>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</si>
  <si>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</si>
  <si>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</si>
  <si>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</si>
  <si>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</si>
  <si>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</si>
  <si>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</si>
  <si>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</si>
  <si>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</si>
  <si>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</si>
  <si>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</si>
  <si>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</si>
  <si>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</si>
  <si>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</si>
  <si>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</si>
  <si>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</si>
  <si>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</si>
  <si>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</si>
  <si>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</si>
  <si>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</si>
  <si>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</si>
  <si>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</si>
  <si>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</si>
  <si>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</si>
  <si>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</si>
  <si>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</si>
  <si>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</si>
  <si>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</si>
  <si>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</si>
  <si>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</si>
  <si>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</si>
  <si>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</si>
  <si>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</si>
  <si>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</si>
  <si>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</si>
  <si>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</si>
  <si>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</si>
  <si>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</si>
  <si>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</si>
  <si>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</si>
  <si>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</si>
  <si>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</si>
  <si>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</si>
  <si>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</si>
  <si>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</si>
  <si>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</si>
  <si>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</si>
  <si>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</si>
  <si>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</si>
  <si>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</si>
  <si>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</si>
  <si>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</si>
  <si>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</si>
  <si>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</si>
  <si>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</si>
  <si>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</si>
  <si>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</si>
  <si>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</si>
  <si>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</si>
  <si>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</si>
  <si>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</si>
  <si>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</si>
  <si>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</si>
  <si>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</si>
  <si>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</si>
  <si>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</si>
  <si>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</si>
  <si>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</si>
  <si>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</si>
  <si>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</si>
  <si>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</si>
  <si>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</si>
  <si>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</si>
  <si>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</si>
  <si>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</si>
  <si>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</si>
  <si>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</si>
  <si>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</si>
  <si>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</si>
  <si>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</si>
  <si>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</si>
  <si>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</si>
  <si>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</si>
  <si>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</si>
  <si>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</si>
  <si>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</si>
  <si>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</si>
  <si>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</si>
  <si>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</si>
  <si>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</si>
  <si>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</si>
  <si>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</si>
  <si>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</si>
  <si>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</si>
  <si>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</si>
  <si>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</si>
  <si>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</si>
  <si>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</si>
  <si>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</si>
  <si>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</si>
  <si>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</si>
  <si>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</si>
  <si>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</si>
  <si>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</si>
  <si>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</si>
  <si>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</si>
  <si>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</si>
  <si>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</si>
  <si>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</si>
  <si>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</si>
  <si>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</si>
  <si>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</si>
  <si>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</si>
  <si>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</si>
  <si>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</si>
  <si>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</si>
  <si>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</si>
  <si>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</si>
  <si>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</si>
  <si>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</si>
  <si>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</si>
  <si>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</si>
  <si>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</si>
  <si>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</si>
  <si>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</si>
  <si>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</si>
  <si>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</si>
  <si>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</si>
  <si>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</si>
  <si>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</si>
  <si>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</si>
  <si>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</si>
  <si>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</si>
  <si>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</si>
  <si>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</si>
  <si>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</si>
  <si>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</si>
  <si>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</si>
  <si>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</si>
  <si>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</si>
  <si>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</si>
  <si>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</si>
  <si>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</si>
  <si>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</si>
  <si>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</si>
  <si>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</si>
  <si>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</si>
  <si>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</si>
  <si>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</si>
  <si>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</si>
  <si>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</si>
  <si>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</si>
  <si>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</si>
  <si>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</si>
  <si>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</si>
  <si>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</si>
  <si>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</si>
  <si>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</si>
  <si>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</si>
  <si>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</si>
  <si>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</si>
  <si>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</si>
  <si>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</si>
  <si>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</si>
  <si>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</si>
  <si>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</si>
  <si>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</si>
  <si>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</si>
  <si>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</si>
  <si>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</si>
  <si>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</si>
  <si>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</si>
  <si>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</si>
  <si>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</si>
  <si>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</si>
  <si>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</si>
  <si>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</si>
  <si>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</si>
  <si>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</si>
  <si>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</si>
  <si>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</si>
  <si>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</si>
  <si>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</si>
  <si>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</si>
  <si>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</si>
  <si>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</si>
  <si>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</si>
  <si>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</si>
  <si>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</si>
  <si>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</si>
  <si>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</si>
  <si>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</si>
  <si>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</si>
  <si>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</si>
  <si>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</si>
  <si>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</si>
  <si>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</si>
  <si>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</si>
  <si>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</si>
  <si>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</si>
  <si>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</si>
  <si>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</si>
  <si>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</si>
  <si>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</si>
  <si>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</si>
  <si>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</si>
  <si>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</si>
  <si>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</si>
  <si>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</si>
  <si>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</si>
  <si>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</si>
  <si>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</si>
  <si>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</si>
  <si>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</si>
  <si>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</si>
  <si>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</si>
  <si>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</si>
  <si>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</si>
  <si>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</si>
  <si>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</si>
  <si>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</si>
  <si>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</si>
  <si>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</si>
  <si>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</si>
  <si>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</si>
  <si>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</si>
  <si>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</si>
  <si>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</si>
  <si>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</si>
  <si>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</si>
  <si>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</si>
  <si>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</si>
  <si>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</si>
  <si>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</si>
  <si>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</si>
  <si>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</si>
  <si>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</si>
  <si>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</si>
  <si>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</si>
  <si>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</si>
  <si>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</si>
  <si>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</si>
  <si>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</si>
  <si>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</si>
  <si>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</si>
  <si>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</si>
  <si>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</si>
  <si>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</si>
  <si>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</si>
  <si>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</si>
  <si>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</si>
  <si>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</si>
  <si>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</si>
  <si>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</si>
  <si>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</si>
  <si>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</si>
  <si>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</si>
  <si>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</si>
  <si>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</si>
  <si>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</si>
  <si>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</si>
  <si>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</si>
  <si>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</si>
  <si>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</si>
  <si>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</si>
  <si>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</si>
  <si>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</si>
  <si>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</si>
  <si>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</si>
  <si>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</si>
  <si>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</si>
  <si>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</si>
  <si>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</si>
  <si>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</si>
  <si>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</si>
  <si>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</si>
  <si>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</si>
  <si>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</si>
  <si>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</si>
  <si>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</si>
  <si>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</si>
  <si>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</si>
  <si>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</si>
  <si>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</si>
  <si>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</si>
  <si>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</si>
  <si>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</si>
  <si>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</si>
  <si>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</si>
  <si>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</si>
  <si>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</si>
  <si>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</si>
  <si>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</si>
  <si>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</si>
  <si>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</si>
  <si>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</si>
  <si>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</si>
  <si>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</si>
  <si>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</si>
  <si>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</si>
  <si>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</si>
  <si>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</si>
  <si>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</si>
  <si>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</si>
  <si>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</si>
  <si>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</si>
  <si>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</si>
  <si>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</si>
  <si>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</si>
  <si>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</si>
  <si>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</si>
  <si>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</si>
  <si>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</si>
  <si>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</si>
  <si>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</si>
  <si>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</si>
  <si>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</si>
  <si>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</si>
  <si>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</si>
  <si>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</si>
  <si>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</si>
  <si>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</si>
  <si>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</si>
  <si>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</si>
  <si>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</si>
  <si>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</si>
  <si>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</si>
  <si>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</si>
  <si>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</si>
  <si>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</si>
  <si>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</si>
  <si>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</si>
  <si>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</si>
  <si>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</si>
  <si>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</si>
  <si>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</si>
  <si>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</si>
  <si>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</si>
  <si>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</si>
  <si>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</si>
  <si>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</si>
  <si>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</si>
  <si>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</si>
  <si>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</si>
  <si>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</si>
  <si>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</si>
  <si>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</si>
  <si>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</si>
  <si>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</si>
  <si>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</si>
  <si>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</si>
  <si>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</si>
  <si>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</si>
  <si>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</si>
  <si>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</si>
  <si>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</si>
  <si>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</si>
  <si>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</si>
  <si>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</si>
  <si>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</si>
  <si>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</si>
  <si>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</si>
  <si>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</si>
  <si>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</si>
  <si>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</si>
  <si>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</si>
  <si>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</si>
  <si>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</si>
  <si>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</si>
  <si>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</si>
  <si>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</si>
  <si>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</si>
  <si>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</si>
  <si>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</si>
  <si>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</si>
  <si>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</si>
  <si>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</si>
  <si>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</si>
  <si>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</si>
  <si>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</si>
  <si>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</si>
  <si>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</si>
  <si>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</si>
  <si>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</si>
  <si>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</si>
  <si>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</si>
  <si>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</si>
  <si>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</si>
  <si>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</si>
  <si>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</si>
  <si>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</si>
  <si>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</si>
  <si>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</si>
  <si>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</si>
  <si>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</si>
  <si>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</si>
  <si>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</si>
  <si>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</si>
  <si>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</si>
  <si>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</si>
  <si>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</si>
  <si>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</si>
  <si>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</si>
  <si>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</si>
  <si>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</si>
  <si>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</si>
  <si>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</si>
  <si>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</si>
  <si>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</si>
  <si>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</si>
  <si>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</si>
  <si>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</si>
  <si>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</si>
  <si>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</si>
  <si>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</si>
  <si>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</si>
  <si>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</si>
  <si>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</si>
  <si>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</si>
  <si>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</si>
  <si>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</si>
  <si>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</si>
  <si>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</si>
  <si>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</si>
  <si>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</si>
  <si>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</si>
  <si>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</si>
  <si>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</si>
  <si>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</si>
  <si>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</si>
  <si>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</si>
  <si>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</si>
  <si>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</si>
  <si>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</si>
  <si>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</si>
  <si>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</si>
  <si>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</si>
  <si>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</si>
  <si>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</si>
  <si>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</si>
  <si>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</si>
  <si>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</si>
  <si>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</si>
  <si>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</si>
  <si>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</si>
  <si>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</si>
  <si>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</si>
  <si>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</si>
  <si>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</si>
  <si>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</si>
  <si>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</si>
  <si>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</si>
  <si>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</si>
  <si>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</si>
  <si>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</si>
  <si>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</si>
  <si>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</si>
  <si>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</si>
  <si>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</si>
  <si>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</si>
  <si>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</si>
  <si>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</si>
  <si>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</si>
  <si>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</si>
  <si>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</si>
  <si>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</si>
  <si>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</si>
  <si>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</si>
  <si>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</si>
  <si>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</si>
  <si>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</si>
  <si>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</si>
  <si>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</si>
  <si>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</si>
  <si>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</si>
  <si>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</si>
  <si>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</si>
  <si>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</si>
  <si>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</si>
  <si>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</si>
  <si>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</si>
  <si>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</si>
  <si>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</si>
  <si>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</si>
  <si>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</si>
  <si>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</si>
  <si>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</si>
  <si>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</si>
  <si>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</si>
  <si>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</si>
  <si>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</si>
  <si>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</si>
  <si>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</si>
  <si>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</si>
  <si>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</si>
  <si>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</si>
  <si>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</si>
  <si>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</si>
  <si>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</si>
  <si>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</si>
  <si>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</si>
  <si>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</si>
  <si>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</si>
  <si>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</si>
  <si>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</si>
  <si>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</si>
  <si>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</si>
  <si>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</si>
  <si>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</si>
  <si>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</si>
  <si>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</si>
  <si>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</si>
  <si>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</si>
  <si>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</si>
  <si>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</si>
  <si>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</si>
  <si>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</si>
  <si>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</si>
  <si>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</si>
  <si>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</si>
  <si>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</si>
  <si>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</si>
  <si>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</si>
  <si>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</si>
  <si>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</si>
  <si>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</si>
  <si>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</si>
  <si>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</si>
  <si>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</si>
  <si>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</si>
  <si>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</si>
  <si>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</si>
  <si>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</si>
  <si>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</si>
  <si>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</si>
  <si>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</si>
  <si>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</si>
  <si>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</si>
  <si>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</si>
  <si>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</si>
  <si>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</si>
  <si>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</si>
  <si>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</si>
  <si>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</si>
  <si>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</si>
  <si>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</si>
  <si>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</si>
  <si>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</si>
  <si>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</si>
  <si>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</si>
  <si>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</si>
  <si>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</si>
  <si>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</si>
  <si>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</si>
  <si>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</si>
  <si>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</si>
  <si>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</si>
  <si>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</si>
  <si>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</si>
  <si>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</si>
  <si>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</si>
  <si>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</si>
  <si>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</si>
  <si>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</si>
  <si>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</si>
  <si>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</si>
  <si>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</si>
  <si>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</si>
  <si>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</si>
  <si>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</si>
  <si>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</si>
  <si>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</si>
  <si>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</si>
  <si>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</si>
  <si>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</si>
  <si>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</si>
  <si>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</si>
  <si>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</si>
  <si>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</si>
  <si>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</si>
  <si>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</si>
  <si>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</si>
  <si>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</si>
  <si>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</si>
  <si>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</si>
  <si>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</si>
  <si>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</si>
  <si>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</si>
  <si>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</si>
  <si>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</si>
  <si>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</si>
  <si>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</si>
  <si>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</si>
  <si>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</si>
  <si>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</si>
  <si>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</si>
  <si>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</si>
  <si>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</si>
  <si>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</si>
  <si>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</si>
  <si>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</si>
  <si>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</si>
  <si>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</si>
  <si>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</si>
  <si>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</si>
  <si>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</si>
  <si>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</si>
  <si>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</si>
  <si>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</si>
  <si>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</si>
  <si>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</si>
  <si>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</si>
  <si>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</si>
  <si>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</si>
  <si>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</si>
  <si>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</si>
  <si>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</si>
  <si>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</si>
  <si>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</si>
  <si>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</si>
  <si>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</si>
  <si>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</si>
  <si>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</si>
  <si>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</si>
  <si>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</si>
  <si>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</si>
  <si>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</si>
  <si>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</si>
  <si>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</si>
  <si>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</si>
  <si>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</si>
  <si>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</si>
  <si>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</si>
  <si>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</si>
  <si>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</si>
  <si>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</si>
  <si>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</si>
  <si>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</si>
  <si>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</si>
  <si>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</si>
  <si>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</si>
  <si>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</si>
  <si>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</si>
  <si>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</si>
  <si>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</si>
  <si>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</si>
  <si>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</si>
  <si>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</si>
  <si>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</si>
  <si>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</si>
  <si>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</si>
  <si>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</si>
  <si>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</si>
  <si>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</si>
  <si>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</si>
  <si>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</si>
  <si>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</si>
  <si>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</si>
  <si>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</si>
  <si>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</si>
  <si>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</si>
  <si>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</si>
  <si>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</si>
  <si>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</si>
  <si>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</si>
  <si>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</si>
  <si>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</si>
  <si>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</si>
  <si>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</si>
  <si>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</si>
  <si>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</si>
  <si>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</si>
  <si>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</si>
  <si>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</si>
  <si>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</si>
  <si>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</si>
  <si>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</si>
  <si>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</si>
  <si>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</si>
  <si>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</si>
  <si>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</si>
  <si>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</si>
  <si>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</si>
  <si>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</si>
  <si>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</si>
  <si>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</si>
  <si>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</si>
  <si>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</si>
  <si>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</si>
  <si>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</si>
  <si>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</si>
  <si>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</si>
  <si>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</si>
  <si>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</si>
  <si>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</si>
  <si>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</si>
  <si>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</si>
  <si>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</si>
  <si>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</si>
  <si>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</si>
  <si>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</si>
  <si>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</si>
  <si>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</si>
  <si>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</si>
  <si>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</si>
  <si>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</si>
  <si>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</si>
  <si>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</si>
  <si>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</si>
  <si>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</si>
  <si>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</si>
  <si>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</si>
  <si>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</si>
  <si>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</si>
  <si>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</si>
  <si>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</si>
  <si>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</si>
  <si>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</si>
  <si>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</si>
  <si>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</si>
  <si>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</si>
  <si>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</si>
  <si>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</si>
  <si>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</si>
  <si>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</si>
  <si>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</si>
  <si>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</si>
  <si>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</si>
  <si>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</si>
  <si>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</si>
  <si>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</si>
  <si>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</si>
  <si>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</si>
  <si>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</si>
  <si>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</si>
  <si>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</si>
  <si>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</si>
  <si>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</si>
  <si>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</si>
  <si>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</si>
  <si>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</si>
  <si>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</si>
  <si>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</si>
  <si>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</si>
  <si>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</si>
  <si>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</si>
  <si>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</si>
  <si>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</si>
  <si>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</si>
  <si>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</si>
  <si>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</si>
  <si>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</si>
  <si>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</si>
  <si>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</si>
  <si>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</si>
  <si>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</si>
  <si>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</si>
  <si>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</si>
  <si>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</si>
  <si>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</si>
  <si>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</si>
  <si>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</si>
  <si>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</si>
  <si>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</si>
  <si>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</si>
  <si>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</si>
  <si>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</si>
  <si>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</si>
  <si>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</si>
  <si>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</si>
  <si>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</si>
  <si>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</si>
  <si>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</si>
  <si>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</si>
  <si>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</si>
  <si>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</si>
  <si>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</si>
  <si>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</si>
  <si>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</si>
  <si>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</si>
  <si>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</si>
  <si>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</si>
  <si>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</si>
  <si>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</si>
  <si>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</si>
  <si>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</si>
  <si>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</si>
  <si>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</si>
  <si>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</si>
  <si>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</si>
  <si>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</si>
  <si>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</si>
  <si>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</si>
  <si>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</si>
  <si>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</si>
  <si>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</si>
  <si>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</si>
  <si>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</si>
  <si>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</si>
  <si>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</si>
  <si>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</si>
  <si>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</si>
  <si>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</si>
  <si>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</si>
  <si>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</si>
  <si>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</si>
  <si>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</si>
  <si>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</si>
  <si>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</si>
  <si>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</si>
  <si>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</si>
  <si>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</si>
  <si>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</si>
  <si>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</si>
  <si>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</si>
  <si>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</si>
  <si>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</si>
  <si>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</si>
  <si>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</si>
  <si>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</si>
  <si>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</si>
  <si>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</si>
  <si>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</si>
  <si>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</si>
  <si>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</si>
  <si>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</si>
  <si>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</si>
  <si>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</si>
  <si>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</si>
  <si>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</si>
  <si>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</si>
  <si>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</si>
  <si>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</si>
  <si>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</si>
  <si>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</si>
  <si>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</si>
  <si>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</si>
  <si>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</si>
  <si>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</si>
  <si>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</si>
  <si>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</si>
  <si>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</si>
  <si>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</si>
  <si>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</si>
  <si>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</si>
  <si>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</si>
  <si>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</si>
  <si>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</si>
  <si>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</si>
  <si>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</si>
  <si>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</si>
  <si>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</si>
  <si>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</si>
  <si>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</si>
  <si>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</si>
  <si>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</si>
  <si>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</si>
  <si>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</si>
  <si>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</si>
  <si>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</si>
  <si>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</si>
  <si>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</si>
  <si>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</si>
  <si>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</si>
  <si>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</si>
  <si>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</si>
  <si>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</si>
  <si>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</si>
  <si>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</si>
  <si>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</si>
  <si>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</si>
  <si>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</si>
  <si>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</si>
  <si>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</si>
  <si>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</si>
  <si>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</si>
  <si>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</si>
  <si>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</si>
  <si>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</si>
  <si>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</si>
  <si>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</si>
  <si>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</si>
  <si>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</si>
  <si>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</si>
  <si>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</si>
  <si>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</si>
  <si>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</si>
  <si>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</si>
  <si>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</si>
  <si>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</si>
  <si>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</si>
  <si>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</si>
  <si>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</si>
  <si>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</si>
  <si>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</si>
  <si>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</si>
  <si>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</si>
  <si>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</si>
  <si>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</si>
  <si>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</si>
  <si>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</si>
  <si>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</si>
  <si>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</si>
  <si>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</si>
  <si>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</si>
  <si>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</si>
  <si>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</si>
  <si>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</si>
  <si>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</si>
  <si>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</si>
  <si>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</si>
  <si>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</si>
  <si>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</si>
  <si>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</si>
  <si>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</si>
  <si>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</si>
  <si>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</si>
  <si>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</si>
  <si>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</si>
  <si>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</si>
  <si>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</si>
  <si>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</si>
  <si>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</si>
  <si>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</si>
  <si>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</si>
  <si>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</si>
  <si>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</si>
  <si>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</si>
  <si>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</si>
  <si>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</si>
  <si>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</si>
  <si>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</si>
  <si>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</si>
  <si>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</si>
  <si>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</si>
  <si>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</si>
  <si>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</si>
  <si>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</si>
  <si>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</si>
  <si>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</si>
  <si>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</si>
  <si>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</si>
  <si>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</si>
  <si>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</si>
  <si>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</si>
  <si>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</si>
  <si>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</si>
  <si>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</si>
  <si>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</si>
  <si>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</si>
  <si>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</si>
  <si>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</si>
  <si>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</si>
  <si>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</si>
  <si>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</si>
  <si>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</si>
  <si>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</si>
  <si>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</si>
  <si>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</si>
  <si>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</si>
  <si>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</si>
  <si>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</si>
  <si>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</si>
  <si>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</si>
  <si>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</si>
  <si>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</si>
  <si>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</si>
  <si>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</si>
  <si>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</si>
  <si>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</si>
  <si>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</si>
  <si>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</si>
  <si>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</si>
  <si>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</si>
  <si>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</si>
  <si>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</si>
  <si>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</si>
  <si>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</si>
  <si>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</si>
  <si>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</si>
  <si>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</si>
  <si>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</si>
  <si>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</si>
  <si>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</si>
  <si>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</si>
  <si>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</si>
  <si>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</si>
  <si>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</si>
  <si>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</si>
  <si>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</si>
  <si>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</si>
  <si>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</si>
  <si>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</si>
  <si>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</si>
  <si>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</si>
  <si>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</si>
  <si>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</si>
  <si>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</si>
  <si>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</si>
  <si>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</si>
  <si>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</si>
  <si>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</si>
  <si>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</si>
  <si>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</si>
  <si>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</si>
  <si>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</si>
  <si>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</si>
  <si>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</si>
  <si>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</si>
  <si>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</si>
  <si>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</si>
  <si>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</si>
  <si>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</si>
  <si>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</si>
  <si>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</si>
  <si>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</si>
  <si>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</si>
  <si>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</si>
  <si>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</si>
  <si>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</si>
  <si>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</si>
  <si>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</si>
  <si>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</si>
  <si>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</si>
  <si>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</si>
  <si>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</si>
  <si>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</si>
  <si>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</si>
  <si>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</si>
  <si>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</si>
  <si>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</si>
  <si>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</si>
  <si>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</si>
  <si>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</si>
  <si>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</si>
  <si>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</si>
  <si>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</si>
  <si>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</si>
  <si>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</si>
  <si>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</si>
  <si>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</si>
  <si>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</si>
  <si>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</si>
  <si>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</si>
  <si>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</si>
  <si>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</si>
  <si>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</si>
  <si>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</si>
  <si>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</si>
  <si>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</si>
  <si>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</si>
  <si>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</si>
  <si>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</si>
  <si>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</si>
  <si>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</si>
  <si>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</si>
  <si>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</si>
  <si>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</si>
  <si>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</si>
  <si>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</si>
  <si>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</si>
  <si>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</si>
  <si>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</si>
  <si>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</si>
  <si>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</si>
  <si>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</si>
  <si>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</si>
  <si>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</si>
  <si>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</si>
  <si>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</si>
  <si>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</si>
  <si>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</si>
  <si>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</si>
  <si>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</si>
  <si>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</si>
  <si>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</si>
  <si>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</si>
  <si>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</si>
  <si>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</si>
  <si>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</si>
  <si>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</si>
  <si>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</si>
  <si>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</si>
  <si>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</si>
  <si>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</si>
  <si>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</si>
  <si>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</si>
  <si>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</si>
  <si>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</si>
  <si>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</si>
  <si>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</si>
  <si>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</si>
  <si>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</si>
  <si>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</si>
  <si>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</si>
  <si>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</si>
  <si>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</si>
  <si>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</si>
  <si>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</si>
  <si>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</si>
  <si>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</si>
  <si>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</si>
  <si>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</si>
  <si>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</si>
  <si>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</si>
  <si>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</si>
  <si>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</si>
  <si>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</si>
  <si>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</si>
  <si>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</si>
  <si>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</si>
  <si>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</si>
  <si>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</si>
  <si>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</si>
  <si>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</si>
  <si>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</si>
  <si>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</si>
  <si>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</si>
  <si>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</si>
  <si>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</si>
  <si>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</si>
  <si>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</si>
  <si>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</si>
  <si>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</si>
  <si>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</si>
  <si>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</si>
  <si>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</si>
  <si>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</si>
  <si>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</si>
  <si>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</si>
  <si>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</si>
  <si>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</si>
  <si>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</si>
  <si>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</si>
  <si>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</si>
  <si>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</si>
  <si>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</si>
  <si>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</si>
  <si>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</si>
  <si>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</si>
  <si>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</si>
  <si>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</si>
  <si>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</si>
  <si>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</si>
  <si>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</si>
  <si>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</si>
  <si>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</si>
  <si>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</si>
  <si>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</si>
  <si>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</si>
  <si>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</si>
  <si>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</si>
  <si>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</si>
  <si>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</si>
  <si>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</si>
  <si>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</si>
  <si>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</si>
  <si>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</si>
  <si>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</si>
  <si>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</si>
  <si>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</si>
  <si>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</si>
  <si>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</si>
  <si>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</si>
  <si>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</si>
  <si>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</si>
  <si>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</si>
  <si>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</si>
  <si>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</si>
  <si>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</si>
  <si>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</si>
  <si>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</si>
  <si>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</si>
  <si>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</si>
  <si>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</si>
  <si>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</si>
  <si>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</si>
  <si>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</si>
  <si>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</si>
  <si>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</si>
  <si>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</si>
  <si>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</si>
  <si>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</si>
  <si>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</si>
  <si>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</si>
  <si>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</si>
  <si>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</si>
  <si>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</si>
  <si>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</si>
  <si>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</si>
  <si>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</si>
  <si>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</si>
  <si>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</si>
  <si>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</si>
  <si>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</si>
  <si>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</si>
  <si>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</si>
  <si>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</si>
  <si>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</si>
  <si>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</si>
  <si>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</si>
  <si>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</si>
  <si>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</si>
  <si>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</si>
  <si>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</si>
  <si>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</si>
  <si>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</si>
  <si>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</si>
  <si>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</si>
  <si>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</si>
  <si>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</si>
  <si>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</si>
  <si>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</si>
  <si>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</si>
  <si>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</si>
  <si>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</si>
  <si>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</si>
  <si>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</si>
  <si>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</si>
  <si>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</si>
  <si>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</si>
  <si>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</si>
  <si>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</si>
  <si>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</si>
  <si>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</si>
  <si>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</si>
  <si>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</si>
  <si>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</si>
  <si>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</si>
  <si>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</si>
  <si>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</si>
  <si>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</si>
  <si>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</si>
  <si>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</si>
  <si>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</si>
  <si>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</si>
  <si>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</si>
  <si>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</si>
  <si>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</si>
  <si>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</si>
  <si>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</si>
  <si>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</si>
  <si>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</si>
  <si>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</si>
  <si>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</si>
  <si>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</si>
  <si>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</si>
  <si>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</si>
  <si>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</si>
  <si>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</si>
  <si>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</si>
  <si>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</si>
  <si>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</si>
  <si>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</si>
  <si>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</si>
  <si>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</si>
  <si>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</si>
  <si>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</si>
  <si>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</si>
  <si>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</si>
  <si>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</si>
  <si>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</si>
  <si>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</si>
  <si>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</si>
  <si>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</si>
  <si>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</si>
  <si>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</si>
  <si>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</si>
  <si>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</si>
  <si>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</si>
  <si>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</si>
  <si>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</si>
  <si>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</si>
  <si>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</si>
  <si>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</si>
  <si>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</si>
  <si>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</si>
  <si>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</si>
  <si>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</si>
  <si>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</si>
  <si>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</si>
  <si>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</si>
  <si>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</si>
  <si>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</si>
  <si>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</si>
  <si>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</si>
  <si>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</si>
  <si>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</si>
  <si>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</si>
  <si>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</si>
  <si>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</si>
  <si>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</si>
  <si>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</si>
  <si>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</si>
  <si>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</si>
  <si>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</si>
  <si>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</si>
  <si>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</si>
  <si>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</si>
  <si>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</si>
  <si>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</si>
  <si>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</si>
  <si>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</si>
  <si>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</si>
  <si>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</si>
  <si>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</si>
  <si>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</si>
  <si>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</si>
  <si>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</si>
  <si>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</si>
  <si>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</si>
  <si>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</si>
  <si>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</si>
  <si>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</si>
  <si>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</si>
  <si>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</si>
  <si>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</si>
  <si>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</si>
  <si>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</si>
  <si>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</si>
  <si>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</si>
  <si>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</si>
  <si>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</si>
  <si>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</si>
  <si>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</si>
  <si>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</si>
  <si>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</si>
  <si>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</si>
  <si>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</si>
  <si>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</si>
  <si>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</si>
  <si>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</si>
  <si>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</si>
  <si>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</si>
  <si>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</si>
  <si>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</si>
  <si>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</si>
  <si>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</si>
  <si>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</si>
  <si>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</si>
  <si>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</si>
  <si>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</si>
  <si>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</si>
  <si>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</si>
  <si>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</si>
  <si>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</si>
  <si>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</si>
  <si>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</si>
  <si>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</si>
  <si>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</si>
  <si>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</si>
  <si>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</si>
  <si>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</si>
  <si>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</si>
  <si>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</si>
  <si>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</si>
  <si>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</si>
  <si>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</si>
  <si>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</si>
  <si>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</si>
  <si>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</si>
  <si>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</si>
  <si>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</si>
  <si>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</si>
  <si>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</si>
  <si>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</si>
  <si>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</si>
  <si>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</si>
  <si>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</si>
  <si>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</si>
  <si>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</si>
  <si>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</si>
  <si>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</si>
  <si>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</si>
  <si>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</si>
  <si>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</si>
  <si>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</si>
  <si>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</si>
  <si>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</si>
  <si>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</si>
  <si>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</si>
  <si>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</si>
  <si>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</si>
  <si>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</si>
  <si>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</si>
  <si>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</si>
  <si>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</si>
  <si>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</si>
  <si>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</si>
  <si>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</si>
  <si>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</si>
  <si>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</si>
  <si>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</si>
  <si>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</si>
  <si>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</si>
  <si>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</si>
  <si>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</si>
  <si>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</si>
  <si>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</si>
  <si>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</si>
  <si>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</si>
  <si>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</si>
  <si>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</si>
  <si>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</si>
  <si>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</si>
  <si>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</si>
  <si>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</si>
  <si>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</si>
  <si>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</si>
  <si>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</si>
  <si>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</si>
  <si>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</si>
  <si>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</si>
  <si>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</si>
  <si>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</si>
  <si>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</si>
  <si>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</si>
  <si>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</si>
  <si>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</si>
  <si>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</si>
  <si>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</si>
  <si>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</si>
  <si>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</si>
  <si>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</si>
  <si>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</si>
  <si>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</si>
  <si>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</si>
  <si>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</si>
  <si>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</si>
  <si>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</si>
  <si>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</si>
  <si>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</si>
  <si>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</si>
  <si>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</si>
  <si>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</si>
  <si>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</si>
  <si>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</si>
  <si>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</si>
  <si>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</si>
  <si>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</si>
  <si>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</si>
  <si>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</si>
  <si>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</si>
  <si>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</si>
  <si>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</si>
  <si>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</si>
  <si>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</si>
  <si>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</si>
  <si>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</si>
  <si>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</si>
  <si>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</si>
  <si>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</si>
  <si>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</si>
  <si>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</si>
  <si>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</si>
  <si>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</si>
  <si>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</si>
  <si>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</si>
  <si>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</si>
  <si>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</si>
  <si>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</si>
  <si>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</si>
  <si>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</si>
  <si>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</si>
  <si>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</si>
  <si>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</si>
  <si>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</si>
  <si>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</si>
  <si>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</si>
  <si>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</si>
  <si>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</si>
  <si>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</si>
  <si>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</si>
  <si>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</si>
  <si>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</si>
  <si>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</si>
  <si>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</si>
  <si>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</si>
  <si>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</si>
  <si>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</si>
  <si>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</si>
  <si>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</si>
  <si>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</si>
  <si>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</si>
  <si>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</si>
  <si>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</si>
  <si>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</si>
  <si>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</si>
  <si>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</si>
  <si>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</si>
  <si>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</si>
  <si>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</si>
  <si>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</si>
  <si>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</si>
  <si>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</si>
  <si>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</si>
  <si>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</si>
  <si>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</si>
  <si>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</si>
  <si>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</si>
  <si>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</si>
  <si>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</si>
  <si>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</si>
  <si>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</si>
  <si>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</si>
  <si>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</si>
  <si>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</si>
  <si>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</si>
  <si>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</si>
  <si>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</si>
  <si>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</si>
  <si>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</si>
  <si>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</si>
  <si>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</si>
  <si>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</si>
  <si>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</si>
  <si>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</si>
  <si>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</si>
  <si>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</si>
  <si>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</si>
  <si>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</si>
  <si>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</si>
  <si>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</si>
  <si>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</si>
  <si>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</si>
  <si>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</si>
  <si>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</si>
  <si>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</si>
  <si>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</si>
  <si>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</si>
  <si>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</si>
  <si>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</si>
  <si>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</si>
  <si>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</si>
  <si>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</si>
  <si>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</si>
  <si>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</si>
  <si>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</si>
  <si>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</si>
  <si>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</si>
  <si>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</si>
  <si>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</si>
  <si>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</si>
  <si>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</si>
  <si>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</si>
  <si>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</si>
  <si>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</si>
  <si>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</si>
  <si>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</si>
  <si>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</si>
  <si>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</si>
  <si>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</si>
  <si>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</si>
  <si>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</si>
  <si>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</si>
  <si>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</si>
  <si>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</si>
  <si>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</si>
  <si>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</si>
  <si>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</si>
  <si>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</si>
  <si>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</si>
  <si>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</si>
  <si>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</si>
  <si>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</si>
  <si>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</si>
  <si>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</si>
  <si>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</si>
  <si>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</si>
  <si>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</si>
  <si>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</si>
  <si>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</si>
  <si>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</si>
  <si>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</si>
  <si>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</si>
  <si>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</si>
  <si>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</si>
  <si>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</si>
  <si>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</si>
  <si>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</si>
  <si>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</si>
  <si>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</si>
  <si>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</si>
  <si>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</si>
  <si>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</si>
  <si>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</si>
  <si>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</si>
  <si>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</si>
  <si>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</si>
  <si>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</si>
  <si>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</si>
  <si>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</si>
  <si>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</si>
  <si>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</si>
  <si>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</si>
  <si>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</si>
  <si>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</si>
  <si>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</si>
  <si>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</si>
  <si>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</si>
  <si>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</si>
  <si>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</si>
  <si>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</si>
  <si>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</si>
  <si>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</si>
  <si>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</si>
  <si>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</si>
  <si>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</si>
  <si>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</si>
  <si>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</si>
  <si>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</si>
  <si>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</si>
  <si>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</si>
  <si>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</si>
  <si>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</si>
  <si>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</si>
  <si>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</si>
  <si>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</si>
  <si>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</si>
  <si>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</si>
  <si>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</si>
  <si>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</si>
  <si>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</si>
  <si>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</si>
  <si>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</si>
  <si>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</si>
  <si>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</si>
  <si>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</si>
  <si>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</si>
  <si>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</si>
  <si>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</si>
  <si>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</si>
  <si>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</si>
  <si>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</si>
  <si>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</si>
  <si>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</si>
  <si>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</si>
  <si>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</si>
  <si>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</si>
  <si>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</si>
  <si>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</si>
  <si>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</si>
  <si>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</si>
  <si>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</si>
  <si>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</si>
  <si>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</si>
  <si>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</si>
  <si>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</si>
  <si>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</si>
  <si>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</si>
  <si>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</si>
  <si>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</si>
  <si>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</si>
  <si>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</si>
  <si>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</si>
  <si>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</si>
  <si>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</si>
  <si>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</si>
  <si>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</si>
  <si>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</si>
  <si>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</si>
  <si>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</si>
  <si>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</si>
  <si>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</si>
  <si>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</si>
  <si>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</si>
  <si>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</si>
  <si>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</si>
  <si>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</si>
  <si>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</si>
  <si>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</si>
  <si>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</si>
  <si>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</si>
  <si>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</si>
  <si>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</si>
  <si>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</si>
  <si>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</si>
  <si>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</si>
  <si>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</si>
  <si>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</si>
  <si>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</si>
  <si>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</si>
  <si>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</si>
  <si>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</si>
  <si>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</si>
  <si>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</si>
  <si>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</si>
  <si>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</si>
  <si>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</si>
  <si>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</si>
  <si>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</si>
  <si>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</si>
  <si>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</si>
  <si>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</si>
  <si>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</si>
  <si>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</si>
  <si>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</si>
  <si>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</si>
  <si>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</si>
  <si>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</si>
  <si>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</si>
  <si>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</si>
  <si>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</si>
  <si>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</si>
  <si>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</si>
  <si>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</si>
  <si>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</si>
  <si>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</si>
  <si>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</si>
  <si>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</si>
  <si>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</si>
  <si>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</si>
  <si>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</si>
  <si>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</si>
  <si>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</si>
  <si>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</si>
  <si>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</si>
  <si>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</si>
  <si>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</si>
  <si>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</si>
  <si>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</si>
  <si>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</si>
  <si>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</si>
  <si>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</si>
  <si>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</si>
  <si>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</si>
  <si>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</si>
  <si>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</si>
  <si>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</si>
  <si>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</si>
  <si>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</si>
  <si>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</si>
  <si>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</si>
  <si>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</si>
  <si>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</si>
  <si>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</si>
  <si>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</si>
  <si>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</si>
  <si>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</si>
  <si>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</si>
  <si>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</si>
  <si>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</si>
  <si>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</si>
  <si>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</si>
  <si>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</si>
  <si>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</si>
  <si>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</si>
  <si>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</si>
  <si>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</si>
  <si>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</si>
  <si>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</si>
  <si>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</si>
  <si>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</si>
  <si>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</si>
  <si>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</si>
  <si>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</si>
  <si>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</si>
  <si>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</si>
  <si>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</si>
  <si>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</si>
  <si>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</si>
  <si>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</si>
  <si>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</si>
  <si>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</si>
  <si>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</si>
  <si>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</si>
  <si>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</si>
  <si>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</si>
  <si>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</si>
  <si>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</si>
  <si>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</si>
  <si>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</si>
  <si>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</si>
  <si>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</si>
  <si>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</si>
  <si>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</si>
  <si>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</si>
  <si>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</si>
  <si>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</si>
  <si>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</si>
  <si>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</si>
  <si>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</si>
  <si>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</si>
  <si>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</si>
  <si>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</si>
  <si>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</si>
  <si>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</si>
  <si>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</si>
  <si>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</si>
  <si>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</si>
  <si>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</si>
  <si>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</si>
  <si>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</si>
  <si>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</si>
  <si>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</si>
  <si>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</si>
  <si>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</si>
  <si>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</si>
  <si>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</si>
  <si>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</si>
  <si>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</si>
  <si>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</si>
  <si>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</si>
  <si>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</si>
  <si>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</si>
  <si>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</si>
  <si>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</si>
  <si>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</si>
  <si>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</si>
  <si>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</si>
  <si>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</si>
  <si>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</si>
  <si>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</si>
  <si>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</si>
  <si>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</si>
  <si>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</si>
  <si>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</si>
  <si>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</si>
  <si>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</si>
  <si>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</si>
  <si>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</si>
  <si>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</si>
  <si>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</si>
  <si>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</si>
  <si>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</si>
  <si>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</si>
  <si>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</si>
  <si>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</si>
  <si>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</si>
  <si>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</si>
  <si>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</si>
  <si>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</si>
  <si>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</si>
  <si>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</si>
  <si>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</si>
  <si>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</si>
  <si>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</si>
  <si>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</si>
  <si>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</si>
  <si>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</si>
  <si>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</si>
  <si>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</si>
  <si>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</si>
  <si>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</si>
  <si>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</si>
  <si>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</si>
  <si>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</si>
  <si>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</si>
  <si>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</si>
  <si>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</si>
  <si>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</si>
  <si>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</si>
  <si>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</si>
  <si>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</si>
  <si>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</si>
  <si>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</si>
  <si>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</si>
  <si>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</si>
  <si>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</si>
  <si>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</si>
  <si>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</si>
  <si>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</si>
  <si>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</si>
  <si>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</si>
  <si>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</si>
  <si>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</si>
  <si>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</si>
  <si>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</si>
  <si>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</si>
  <si>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</si>
  <si>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</si>
  <si>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</si>
  <si>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</si>
  <si>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</si>
  <si>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</si>
  <si>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</si>
  <si>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</si>
  <si>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</si>
  <si>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</si>
  <si>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</si>
  <si>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</si>
  <si>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</si>
  <si>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</si>
  <si>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</si>
  <si>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</si>
  <si>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</si>
  <si>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</si>
  <si>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</si>
  <si>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</si>
  <si>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</si>
  <si>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</si>
  <si>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</si>
  <si>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</si>
  <si>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</si>
  <si>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</si>
  <si>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</si>
  <si>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</si>
  <si>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</si>
  <si>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</si>
  <si>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</si>
  <si>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</si>
  <si>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</si>
  <si>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</si>
  <si>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</si>
  <si>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</si>
  <si>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</si>
  <si>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</si>
  <si>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</si>
  <si>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</si>
  <si>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</si>
  <si>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</si>
  <si>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</si>
  <si>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</si>
  <si>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</si>
  <si>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</si>
  <si>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</si>
  <si>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</si>
  <si>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</si>
  <si>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</si>
  <si>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</si>
  <si>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</si>
  <si>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</si>
  <si>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</si>
  <si>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</si>
  <si>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</si>
  <si>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</si>
  <si>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</si>
  <si>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</si>
  <si>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</si>
  <si>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</si>
  <si>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</si>
  <si>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</si>
  <si>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</si>
  <si>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</si>
  <si>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</si>
  <si>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</si>
  <si>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</si>
  <si>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</si>
  <si>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</si>
  <si>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</si>
  <si>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</si>
  <si>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</si>
  <si>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</si>
  <si>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</si>
  <si>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</si>
  <si>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</si>
  <si>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</si>
  <si>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</si>
  <si>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</si>
  <si>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</si>
  <si>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</si>
  <si>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</si>
  <si>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</si>
  <si>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</si>
  <si>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</si>
  <si>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</si>
  <si>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</si>
  <si>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</si>
  <si>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</si>
  <si>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</si>
  <si>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</si>
  <si>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</si>
  <si>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</si>
  <si>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</si>
  <si>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</si>
  <si>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</si>
  <si>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</si>
  <si>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</si>
  <si>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</si>
  <si>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</si>
  <si>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</si>
  <si>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</si>
  <si>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</si>
  <si>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</si>
  <si>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</si>
  <si>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</si>
  <si>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</si>
  <si>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</si>
  <si>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</si>
  <si>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</si>
  <si>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</si>
  <si>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</si>
  <si>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</si>
  <si>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</si>
  <si>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</si>
  <si>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</si>
  <si>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</si>
  <si>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</si>
  <si>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</si>
  <si>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</si>
  <si>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</si>
  <si>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</si>
  <si>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</si>
  <si>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</si>
  <si>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</si>
  <si>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</si>
  <si>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</si>
  <si>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</si>
  <si>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</si>
  <si>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</si>
  <si>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</si>
  <si>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</si>
  <si>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</si>
  <si>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</si>
  <si>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</si>
  <si>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</si>
  <si>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</si>
  <si>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</si>
  <si>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</si>
  <si>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</si>
  <si>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</si>
  <si>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</si>
  <si>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</si>
  <si>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</si>
  <si>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</si>
  <si>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</si>
  <si>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</si>
  <si>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</si>
  <si>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</si>
  <si>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</si>
  <si>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</si>
  <si>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</si>
  <si>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</si>
  <si>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</si>
  <si>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</si>
  <si>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</si>
  <si>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</si>
  <si>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</si>
  <si>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</si>
  <si>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</si>
  <si>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</si>
  <si>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</si>
  <si>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</si>
  <si>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</si>
  <si>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</si>
  <si>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</si>
  <si>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</si>
  <si>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</si>
  <si>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</si>
  <si>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</si>
  <si>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</si>
  <si>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</si>
  <si>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</si>
  <si>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</si>
  <si>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</si>
  <si>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</si>
  <si>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</si>
  <si>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</si>
  <si>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</si>
  <si>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</si>
  <si>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</si>
  <si>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</si>
  <si>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</si>
  <si>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</si>
  <si>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</si>
  <si>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</si>
  <si>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</si>
  <si>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</si>
  <si>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</si>
  <si>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</si>
  <si>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</si>
  <si>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</si>
  <si>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</si>
  <si>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</si>
  <si>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</si>
  <si>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</si>
  <si>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</si>
  <si>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</si>
  <si>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</si>
  <si>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</si>
  <si>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</si>
  <si>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</si>
  <si>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</si>
  <si>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</si>
  <si>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</si>
  <si>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</si>
  <si>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</si>
  <si>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</si>
  <si>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</si>
  <si>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</si>
  <si>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</si>
  <si>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</si>
  <si>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</si>
  <si>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</si>
  <si>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</si>
  <si>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</si>
  <si>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</si>
  <si>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</si>
  <si>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</si>
  <si>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</si>
  <si>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</si>
  <si>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</si>
  <si>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</si>
  <si>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</si>
  <si>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</si>
  <si>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</si>
  <si>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</si>
  <si>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</si>
  <si>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</si>
  <si>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</si>
  <si>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</si>
  <si>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</si>
  <si>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</si>
  <si>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</si>
  <si>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</si>
  <si>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</si>
  <si>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</si>
  <si>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</si>
  <si>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</si>
  <si>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</si>
  <si>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</si>
  <si>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</si>
  <si>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</si>
  <si>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</si>
  <si>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</si>
  <si>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</si>
  <si>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</si>
  <si>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</si>
  <si>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</si>
  <si>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</si>
  <si>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</si>
  <si>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</si>
  <si>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</si>
  <si>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</si>
  <si>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</si>
  <si>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</si>
  <si>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</si>
  <si>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</si>
  <si>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</si>
  <si>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</si>
  <si>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</si>
  <si>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</si>
  <si>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</si>
  <si>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</si>
  <si>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</si>
  <si>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</si>
  <si>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</si>
  <si>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</si>
  <si>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</si>
  <si>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</si>
  <si>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</si>
  <si>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</si>
  <si>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</si>
  <si>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</si>
  <si>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</si>
  <si>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</si>
  <si>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</si>
  <si>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</si>
  <si>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</si>
  <si>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</si>
  <si>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</si>
  <si>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</si>
  <si>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</si>
  <si>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</si>
  <si>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</si>
  <si>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</si>
  <si>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</si>
  <si>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</si>
  <si>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</si>
  <si>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</si>
  <si>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</si>
  <si>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</si>
  <si>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</si>
  <si>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</si>
  <si>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</si>
  <si>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</si>
  <si>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</si>
  <si>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</si>
  <si>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</si>
  <si>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</si>
  <si>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</si>
  <si>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</si>
  <si>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</si>
  <si>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</si>
  <si>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</si>
  <si>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</si>
  <si>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</si>
  <si>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</si>
  <si>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</si>
  <si>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</si>
  <si>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</si>
  <si>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</si>
  <si>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</si>
  <si>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</si>
  <si>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</si>
  <si>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</si>
  <si>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</si>
  <si>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</si>
  <si>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</si>
  <si>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</si>
  <si>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</si>
  <si>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</si>
  <si>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</si>
  <si>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</si>
  <si>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</si>
  <si>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</si>
  <si>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</si>
  <si>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</si>
  <si>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</si>
  <si>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</si>
  <si>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</si>
  <si>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</si>
  <si>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</si>
  <si>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</si>
  <si>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</si>
  <si>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</si>
  <si>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</si>
  <si>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</si>
  <si>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</si>
  <si>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</si>
  <si>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</si>
  <si>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</si>
  <si>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</si>
  <si>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</si>
  <si>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</si>
  <si>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</si>
  <si>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</si>
  <si>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</si>
  <si>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</si>
  <si>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</si>
  <si>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</si>
  <si>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</si>
  <si>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</si>
  <si>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</si>
  <si>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</si>
  <si>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</si>
  <si>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</si>
  <si>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</si>
  <si>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</si>
  <si>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</si>
  <si>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</si>
  <si>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</si>
  <si>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</si>
  <si>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</si>
  <si>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</si>
  <si>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</si>
  <si>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</si>
  <si>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</si>
  <si>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</si>
  <si>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</si>
  <si>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</si>
  <si>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</si>
  <si>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</si>
  <si>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</si>
  <si>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</si>
  <si>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</si>
  <si>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</si>
  <si>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</si>
  <si>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</si>
  <si>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</si>
  <si>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</si>
  <si>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</si>
  <si>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</si>
  <si>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</si>
  <si>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</si>
  <si>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</si>
  <si>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</si>
  <si>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</si>
  <si>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</si>
  <si>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</si>
  <si>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</si>
  <si>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</si>
  <si>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</si>
  <si>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</si>
  <si>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</si>
  <si>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</si>
  <si>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</si>
  <si>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</si>
  <si>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</si>
  <si>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</si>
  <si>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</si>
  <si>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</si>
  <si>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</si>
  <si>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</si>
  <si>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</si>
  <si>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</si>
  <si>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</si>
  <si>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</si>
  <si>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</si>
  <si>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</si>
  <si>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</si>
  <si>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</si>
  <si>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</si>
  <si>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</si>
  <si>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</si>
  <si>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</si>
  <si>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</si>
  <si>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</si>
  <si>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</si>
  <si>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</si>
  <si>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</si>
  <si>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</si>
  <si>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</si>
  <si>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</si>
  <si>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</si>
  <si>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</si>
  <si>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</si>
  <si>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</si>
  <si>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</si>
  <si>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</si>
  <si>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</si>
  <si>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</si>
  <si>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</si>
  <si>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</si>
  <si>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</si>
  <si>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</si>
  <si>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</si>
  <si>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</si>
  <si>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</si>
  <si>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</si>
  <si>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</si>
  <si>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</si>
  <si>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</si>
  <si>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</si>
  <si>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</si>
  <si>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</si>
  <si>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</si>
  <si>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</si>
  <si>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</si>
  <si>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</si>
  <si>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</si>
  <si>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</si>
  <si>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</si>
  <si>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</si>
  <si>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</si>
  <si>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</si>
  <si>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</si>
  <si>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</si>
  <si>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</si>
  <si>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</si>
  <si>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</si>
  <si>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</si>
  <si>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</si>
  <si>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</si>
  <si>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</si>
  <si>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</si>
  <si>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</si>
  <si>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</si>
  <si>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</si>
  <si>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</si>
  <si>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</si>
  <si>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</si>
  <si>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</si>
  <si>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</si>
  <si>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</si>
  <si>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</si>
  <si>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</si>
  <si>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</si>
  <si>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</si>
  <si>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</si>
  <si>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</si>
  <si>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</si>
  <si>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</si>
  <si>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</si>
  <si>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</si>
  <si>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</si>
  <si>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</si>
  <si>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</si>
  <si>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</si>
  <si>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</si>
  <si>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</si>
  <si>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</si>
  <si>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</si>
  <si>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</si>
  <si>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</si>
  <si>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</si>
  <si>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</si>
  <si>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</si>
  <si>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</si>
  <si>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</si>
  <si>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</si>
  <si>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</si>
  <si>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</si>
  <si>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</si>
  <si>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</si>
  <si>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</si>
  <si>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</si>
  <si>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</si>
  <si>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</si>
  <si>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</si>
  <si>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</si>
  <si>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</si>
  <si>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</si>
  <si>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</si>
  <si>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</si>
  <si>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</si>
  <si>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</si>
  <si>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</si>
  <si>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</si>
  <si>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</si>
  <si>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</si>
  <si>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</si>
  <si>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</si>
  <si>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</si>
  <si>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</si>
  <si>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</si>
  <si>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</si>
  <si>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</si>
  <si>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</si>
  <si>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</si>
  <si>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</si>
  <si>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</si>
  <si>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</si>
  <si>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</si>
  <si>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</si>
  <si>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</si>
  <si>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</si>
  <si>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</si>
  <si>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</si>
  <si>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</si>
  <si>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</si>
  <si>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</si>
  <si>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</si>
  <si>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</si>
  <si>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</si>
  <si>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</si>
  <si>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</si>
  <si>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</si>
  <si>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</si>
  <si>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</si>
  <si>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</si>
  <si>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</si>
  <si>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</si>
  <si>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</si>
  <si>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</si>
  <si>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</si>
  <si>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</si>
  <si>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</si>
  <si>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</si>
  <si>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</si>
  <si>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</si>
  <si>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</si>
  <si>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</si>
  <si>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</si>
  <si>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</si>
  <si>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</si>
  <si>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</si>
  <si>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</si>
  <si>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</si>
  <si>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</si>
  <si>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</si>
  <si>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</si>
  <si>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</si>
  <si>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</si>
  <si>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</si>
  <si>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</si>
  <si>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</si>
  <si>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</si>
  <si>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</si>
  <si>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</si>
  <si>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</si>
  <si>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</si>
  <si>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</si>
  <si>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</si>
  <si>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</si>
  <si>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</si>
  <si>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</si>
  <si>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</si>
  <si>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</si>
  <si>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</si>
  <si>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</si>
  <si>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</si>
  <si>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</si>
  <si>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</si>
  <si>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</si>
  <si>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</si>
  <si>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</si>
  <si>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</si>
  <si>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</si>
  <si>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</si>
  <si>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</si>
  <si>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</si>
  <si>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</si>
  <si>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</si>
  <si>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</si>
  <si>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</si>
  <si>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</si>
  <si>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</si>
  <si>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</si>
  <si>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</si>
  <si>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</si>
  <si>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</si>
  <si>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</si>
  <si>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</si>
  <si>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</si>
  <si>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</si>
  <si>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</si>
  <si>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</si>
  <si>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</si>
  <si>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</si>
  <si>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</si>
  <si>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</si>
  <si>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</si>
  <si>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</si>
  <si>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</si>
  <si>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</si>
  <si>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</si>
  <si>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</si>
  <si>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</si>
  <si>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</si>
  <si>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</si>
  <si>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</si>
  <si>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</si>
  <si>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</si>
  <si>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</si>
  <si>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</si>
  <si>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</si>
  <si>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</si>
  <si>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</si>
  <si>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</si>
  <si>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</si>
  <si>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</si>
  <si>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</si>
  <si>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</si>
  <si>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</si>
  <si>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</si>
  <si>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</si>
  <si>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</si>
  <si>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</si>
  <si>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</si>
  <si>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</si>
  <si>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</si>
  <si>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</si>
  <si>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</si>
  <si>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</si>
  <si>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</si>
  <si>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</si>
  <si>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</si>
  <si>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</si>
  <si>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</si>
  <si>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</si>
  <si>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</si>
  <si>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</si>
  <si>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</si>
  <si>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</si>
  <si>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</si>
  <si>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</si>
  <si>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</si>
  <si>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</si>
  <si>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</si>
  <si>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</si>
  <si>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</si>
  <si>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</si>
  <si>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</si>
  <si>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</si>
  <si>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</si>
  <si>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</si>
  <si>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</si>
  <si>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</si>
  <si>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</si>
  <si>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</si>
  <si>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</si>
  <si>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</si>
  <si>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</si>
  <si>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</si>
  <si>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</si>
  <si>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</si>
  <si>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</si>
  <si>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</si>
  <si>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</si>
  <si>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</si>
  <si>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</si>
  <si>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</si>
  <si>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</si>
  <si>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</si>
  <si>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</si>
  <si>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</si>
  <si>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</si>
  <si>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</si>
  <si>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</si>
  <si>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</si>
  <si>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</si>
  <si>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</si>
  <si>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</si>
  <si>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</si>
  <si>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</si>
  <si>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</si>
  <si>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</si>
  <si>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</si>
  <si>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</si>
  <si>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</si>
  <si>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</si>
  <si>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</si>
  <si>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</si>
  <si>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</si>
  <si>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</si>
  <si>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</si>
  <si>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</si>
  <si>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</si>
  <si>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</si>
  <si>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</si>
  <si>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</si>
  <si>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</si>
  <si>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</si>
  <si>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</si>
  <si>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</si>
  <si>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</si>
  <si>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</si>
  <si>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</si>
  <si>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</si>
  <si>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</si>
  <si>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</si>
  <si>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</si>
  <si>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</si>
  <si>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</si>
  <si>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</si>
  <si>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</si>
  <si>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</si>
  <si>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</si>
  <si>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</si>
  <si>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</si>
  <si>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</si>
  <si>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</si>
  <si>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</si>
  <si>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</si>
  <si>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</si>
  <si>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</si>
  <si>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</si>
  <si>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</si>
  <si>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</si>
  <si>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</si>
  <si>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</si>
  <si>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</si>
  <si>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</si>
  <si>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</si>
  <si>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</si>
  <si>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</si>
  <si>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</si>
  <si>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</si>
  <si>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</si>
  <si>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</si>
  <si>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</si>
  <si>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</si>
  <si>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</si>
  <si>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</si>
  <si>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</si>
  <si>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</si>
  <si>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</si>
  <si>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</si>
  <si>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</si>
  <si>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</si>
  <si>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</si>
  <si>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</si>
  <si>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</si>
  <si>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</si>
  <si>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</si>
  <si>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</si>
  <si>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</si>
  <si>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</si>
  <si>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</si>
  <si>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</si>
  <si>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</si>
  <si>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</si>
  <si>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</si>
  <si>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</si>
  <si>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</si>
  <si>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</si>
  <si>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</si>
  <si>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</si>
  <si>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</si>
  <si>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</si>
  <si>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</si>
  <si>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</si>
  <si>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</si>
  <si>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</si>
  <si>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</si>
  <si>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</si>
  <si>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</si>
  <si>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</si>
  <si>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</si>
  <si>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</si>
  <si>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</si>
  <si>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</si>
  <si>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</si>
  <si>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</si>
  <si>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</si>
  <si>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</si>
  <si>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</si>
  <si>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</si>
  <si>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</si>
  <si>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</si>
  <si>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</si>
  <si>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</si>
  <si>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</si>
  <si>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</si>
  <si>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</si>
  <si>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</si>
  <si>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</si>
  <si>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</si>
  <si>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</si>
  <si>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</si>
  <si>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</si>
  <si>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</si>
  <si>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</si>
  <si>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</si>
  <si>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</si>
  <si>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</si>
  <si>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</si>
  <si>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</si>
  <si>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</si>
  <si>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</si>
  <si>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</si>
  <si>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</si>
  <si>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</si>
  <si>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</si>
  <si>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</si>
  <si>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</si>
  <si>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</si>
  <si>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</si>
  <si>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</si>
  <si>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</si>
  <si>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</si>
  <si>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</si>
  <si>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</si>
  <si>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</si>
  <si>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</si>
  <si>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</si>
  <si>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</si>
  <si>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</si>
  <si>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</si>
  <si>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</si>
  <si>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</si>
  <si>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</si>
  <si>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</si>
  <si>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</si>
  <si>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</si>
  <si>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</si>
  <si>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</si>
  <si>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</si>
  <si>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</si>
  <si>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</si>
  <si>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</si>
  <si>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</si>
  <si>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</si>
  <si>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</si>
  <si>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</si>
  <si>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</si>
  <si>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</si>
  <si>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</si>
  <si>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</si>
  <si>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</si>
  <si>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</si>
  <si>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</si>
  <si>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</si>
  <si>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</si>
  <si>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</si>
  <si>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</si>
  <si>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</si>
  <si>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</si>
  <si>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</si>
  <si>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</si>
  <si>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</si>
  <si>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</si>
  <si>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</si>
  <si>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</si>
  <si>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</si>
  <si>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</si>
  <si>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</si>
  <si>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</si>
  <si>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</si>
  <si>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</si>
  <si>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</si>
  <si>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</si>
  <si>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</si>
  <si>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</si>
  <si>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</si>
  <si>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</si>
  <si>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</si>
  <si>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</si>
  <si>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</si>
  <si>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</si>
  <si>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</si>
  <si>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</si>
  <si>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</si>
  <si>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</si>
  <si>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</si>
  <si>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</si>
  <si>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</si>
  <si>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</si>
  <si>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</si>
  <si>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</si>
  <si>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</si>
  <si>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</si>
  <si>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</si>
  <si>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</si>
  <si>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</si>
  <si>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</si>
  <si>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</si>
  <si>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</si>
  <si>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</si>
  <si>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</si>
  <si>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</si>
  <si>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</si>
  <si>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</si>
  <si>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</si>
  <si>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</si>
  <si>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</si>
  <si>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</si>
  <si>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</si>
  <si>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</si>
  <si>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</si>
  <si>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</si>
  <si>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</si>
  <si>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</si>
  <si>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</si>
  <si>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</si>
  <si>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</si>
  <si>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</si>
  <si>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</si>
  <si>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</si>
  <si>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</si>
  <si>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</si>
  <si>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</si>
  <si>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</si>
  <si>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</si>
  <si>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</si>
  <si>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</si>
  <si>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</si>
  <si>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</si>
  <si>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</si>
  <si>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</si>
  <si>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</si>
  <si>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</si>
  <si>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</si>
  <si>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</si>
  <si>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</si>
  <si>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</si>
  <si>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</si>
  <si>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</si>
  <si>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</si>
  <si>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</si>
  <si>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</si>
  <si>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</si>
  <si>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</si>
  <si>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</si>
  <si>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</si>
  <si>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</si>
  <si>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</si>
  <si>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</si>
  <si>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</si>
  <si>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</si>
  <si>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</si>
  <si>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</si>
  <si>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</si>
  <si>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</si>
  <si>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</si>
  <si>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</si>
  <si>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</si>
  <si>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</si>
  <si>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</si>
  <si>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</si>
  <si>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</si>
  <si>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</si>
  <si>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</si>
  <si>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</si>
  <si>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</si>
  <si>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</si>
  <si>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</si>
  <si>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</si>
  <si>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</si>
  <si>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</si>
  <si>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</si>
  <si>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</si>
  <si>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</si>
  <si>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</si>
  <si>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</si>
  <si>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</si>
  <si>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</si>
  <si>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</si>
  <si>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</si>
  <si>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</si>
  <si>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</si>
  <si>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</si>
  <si>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</si>
  <si>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</si>
  <si>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</si>
  <si>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</si>
  <si>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</si>
  <si>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</si>
  <si>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</si>
  <si>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</si>
  <si>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</si>
  <si>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</si>
  <si>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</si>
  <si>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</si>
  <si>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</si>
  <si>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</si>
  <si>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</si>
  <si>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</si>
  <si>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</si>
  <si>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</si>
  <si>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</si>
  <si>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</si>
  <si>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</si>
  <si>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</si>
  <si>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</si>
  <si>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</si>
  <si>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</si>
  <si>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</si>
  <si>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</si>
  <si>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</si>
  <si>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</si>
  <si>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</si>
  <si>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</si>
  <si>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</si>
  <si>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</si>
  <si>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</si>
  <si>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</si>
  <si>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</si>
  <si>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</si>
  <si>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</si>
  <si>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</si>
  <si>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</si>
  <si>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</si>
  <si>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</si>
  <si>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</si>
  <si>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</si>
  <si>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</si>
  <si>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</si>
  <si>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</si>
  <si>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</si>
  <si>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</si>
  <si>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</si>
  <si>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</si>
  <si>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</si>
  <si>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</si>
  <si>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</si>
  <si>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</si>
  <si>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</si>
  <si>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</si>
  <si>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</si>
  <si>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</si>
  <si>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</si>
  <si>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</si>
  <si>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</si>
  <si>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</si>
  <si>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</si>
  <si>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</si>
  <si>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</si>
  <si>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</si>
  <si>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</si>
  <si>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</si>
  <si>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</si>
  <si>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</si>
  <si>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</si>
  <si>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</si>
  <si>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</si>
  <si>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</si>
  <si>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</si>
  <si>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</si>
  <si>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</si>
  <si>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</si>
  <si>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</si>
  <si>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</si>
  <si>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</si>
  <si>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</si>
  <si>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</si>
  <si>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</si>
  <si>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</si>
  <si>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</si>
  <si>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</si>
  <si>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</si>
  <si>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</si>
  <si>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</si>
  <si>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</si>
  <si>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</si>
  <si>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</si>
  <si>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</si>
  <si>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</si>
  <si>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</si>
  <si>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</si>
  <si>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</si>
  <si>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</si>
  <si>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</si>
  <si>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</si>
  <si>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</si>
  <si>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</si>
  <si>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</si>
  <si>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</si>
  <si>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</si>
  <si>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</si>
  <si>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</si>
  <si>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</si>
  <si>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</si>
  <si>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</si>
  <si>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</si>
  <si>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</si>
  <si>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</si>
  <si>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</si>
  <si>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</si>
  <si>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</si>
  <si>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</si>
  <si>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</si>
  <si>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</si>
  <si>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</si>
  <si>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</si>
  <si>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</si>
  <si>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</si>
  <si>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</si>
  <si>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</si>
  <si>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</si>
  <si>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</si>
  <si>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</si>
  <si>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</si>
  <si>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</si>
  <si>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</si>
  <si>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</si>
  <si>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</si>
  <si>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</si>
  <si>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</si>
  <si>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</si>
  <si>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</si>
  <si>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</si>
  <si>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</si>
  <si>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</si>
  <si>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</si>
  <si>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</si>
  <si>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</si>
  <si>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</si>
  <si>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</si>
  <si>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</si>
  <si>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</si>
  <si>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</si>
  <si>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</si>
  <si>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</si>
  <si>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</si>
  <si>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</si>
  <si>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</si>
  <si>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</si>
  <si>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</si>
  <si>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</si>
  <si>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</si>
  <si>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</si>
  <si>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</si>
  <si>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</si>
  <si>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</si>
  <si>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</si>
  <si>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</si>
  <si>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</si>
  <si>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</si>
  <si>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</si>
  <si>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</si>
  <si>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</si>
  <si>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</si>
  <si>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</si>
  <si>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</si>
  <si>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</si>
  <si>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</si>
  <si>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</si>
  <si>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</si>
  <si>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</si>
  <si>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</si>
  <si>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</si>
  <si>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</si>
  <si>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</si>
  <si>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</si>
  <si>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</si>
  <si>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</si>
  <si>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</si>
  <si>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</si>
  <si>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</si>
  <si>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</si>
  <si>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</si>
  <si>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</si>
  <si>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</si>
  <si>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</si>
  <si>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</si>
  <si>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</si>
  <si>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</si>
  <si>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</si>
  <si>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</si>
  <si>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</si>
  <si>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</si>
  <si>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</si>
  <si>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</si>
  <si>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</si>
  <si>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</si>
  <si>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</si>
  <si>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</si>
  <si>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</si>
  <si>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</si>
  <si>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</si>
  <si>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</si>
  <si>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</si>
  <si>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</si>
  <si>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</si>
  <si>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</si>
  <si>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</si>
  <si>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</si>
  <si>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</si>
  <si>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</si>
  <si>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</si>
  <si>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</si>
  <si>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</si>
  <si>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</si>
  <si>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</si>
  <si>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</si>
  <si>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</si>
  <si>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</si>
  <si>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</si>
  <si>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</si>
  <si>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</si>
  <si>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</si>
  <si>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</si>
  <si>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</si>
  <si>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</si>
  <si>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</si>
  <si>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</si>
  <si>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</si>
  <si>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</si>
  <si>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</si>
  <si>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</si>
  <si>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</si>
  <si>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</si>
  <si>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</si>
  <si>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</si>
  <si>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</si>
  <si>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</si>
  <si>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</si>
  <si>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</si>
  <si>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</si>
  <si>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</si>
  <si>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</si>
  <si>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</si>
  <si>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</si>
  <si>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</si>
  <si>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</si>
  <si>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</si>
  <si>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</si>
  <si>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</si>
  <si>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</si>
  <si>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</si>
  <si>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</si>
  <si>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</si>
  <si>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</si>
  <si>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</si>
  <si>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</si>
  <si>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</si>
  <si>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</si>
  <si>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</si>
  <si>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</si>
  <si>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</si>
  <si>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</si>
  <si>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</si>
  <si>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</si>
  <si>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</si>
  <si>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</si>
  <si>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</si>
  <si>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</si>
  <si>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</si>
  <si>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</si>
  <si>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</si>
  <si>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</si>
  <si>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</si>
  <si>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</si>
  <si>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</si>
  <si>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</si>
  <si>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</si>
  <si>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</si>
  <si>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</si>
  <si>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</si>
  <si>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</si>
  <si>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</si>
  <si>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</si>
  <si>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</si>
  <si>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</si>
  <si>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</si>
  <si>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</si>
  <si>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</si>
  <si>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</si>
  <si>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</si>
  <si>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</si>
  <si>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</si>
  <si>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</si>
  <si>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</si>
  <si>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</si>
  <si>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</si>
  <si>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</si>
  <si>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</si>
  <si>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</si>
  <si>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</si>
  <si>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</si>
  <si>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</si>
  <si>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</si>
  <si>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</si>
  <si>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</si>
  <si>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</si>
  <si>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</si>
  <si>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</si>
  <si>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</si>
  <si>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</si>
  <si>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</si>
  <si>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</si>
  <si>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</si>
  <si>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</si>
  <si>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</si>
  <si>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</si>
  <si>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</si>
  <si>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</si>
  <si>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</si>
  <si>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</si>
  <si>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</si>
  <si>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</si>
  <si>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</si>
  <si>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</si>
  <si>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</si>
  <si>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</si>
  <si>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</si>
  <si>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</si>
  <si>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</si>
  <si>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</si>
  <si>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</si>
  <si>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</si>
  <si>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</si>
  <si>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</si>
  <si>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</si>
  <si>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</si>
  <si>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</si>
  <si>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</si>
  <si>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</si>
  <si>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</si>
  <si>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</si>
  <si>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</si>
  <si>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</si>
  <si>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</si>
  <si>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</si>
  <si>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</si>
  <si>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</si>
  <si>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</si>
  <si>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</si>
  <si>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</si>
  <si>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</si>
  <si>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</si>
  <si>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</si>
  <si>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</si>
  <si>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</si>
  <si>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</si>
  <si>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</si>
  <si>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</si>
  <si>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</si>
  <si>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</si>
  <si>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</si>
  <si>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</si>
  <si>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</si>
  <si>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</si>
  <si>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</si>
  <si>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</si>
  <si>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</si>
  <si>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</si>
  <si>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</si>
  <si>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</si>
  <si>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</si>
  <si>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</si>
  <si>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</si>
  <si>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</si>
  <si>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</si>
  <si>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</si>
  <si>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</si>
  <si>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</si>
  <si>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</si>
  <si>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</si>
  <si>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</si>
  <si>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</si>
  <si>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</si>
  <si>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</si>
  <si>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</si>
  <si>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</si>
  <si>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</si>
  <si>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</si>
  <si>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</si>
  <si>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</si>
  <si>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</si>
  <si>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</si>
  <si>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</si>
  <si>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</si>
  <si>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</si>
  <si>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</si>
  <si>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</si>
  <si>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</si>
  <si>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</si>
  <si>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</si>
  <si>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</si>
  <si>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</si>
  <si>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</si>
  <si>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</si>
  <si>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</si>
  <si>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</si>
  <si>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</si>
  <si>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</si>
  <si>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</si>
  <si>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</si>
  <si>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</si>
  <si>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</si>
  <si>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</si>
  <si>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</si>
  <si>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</si>
  <si>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</si>
  <si>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</si>
  <si>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</si>
  <si>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</si>
  <si>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</si>
  <si>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</si>
  <si>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</si>
  <si>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</si>
  <si>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</si>
  <si>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</si>
  <si>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</si>
  <si>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</si>
  <si>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</si>
  <si>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</si>
  <si>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</si>
  <si>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</si>
  <si>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</si>
  <si>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</si>
  <si>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</si>
  <si>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</si>
  <si>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</si>
  <si>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</si>
  <si>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</si>
  <si>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</si>
  <si>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</si>
  <si>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</si>
  <si>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</si>
  <si>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</si>
  <si>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</si>
  <si>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</si>
  <si>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</si>
  <si>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</si>
  <si>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</si>
  <si>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</si>
  <si>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</si>
  <si>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</si>
  <si>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</si>
  <si>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</si>
  <si>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</si>
  <si>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</si>
  <si>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</si>
  <si>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</si>
  <si>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</si>
  <si>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</si>
  <si>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</si>
  <si>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</si>
  <si>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</si>
  <si>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</si>
  <si>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</si>
  <si>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</si>
  <si>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</si>
  <si>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</si>
  <si>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</si>
  <si>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</si>
  <si>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</si>
  <si>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</si>
  <si>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</si>
  <si>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</si>
  <si>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</si>
  <si>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</si>
  <si>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</si>
  <si>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</si>
  <si>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</si>
  <si>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</si>
  <si>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</si>
  <si>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</si>
  <si>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</si>
  <si>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</si>
  <si>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</si>
  <si>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</si>
  <si>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</si>
  <si>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</si>
  <si>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</si>
  <si>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</si>
  <si>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</si>
  <si>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</si>
  <si>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</si>
  <si>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</si>
  <si>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</si>
  <si>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</si>
  <si>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</si>
  <si>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</si>
  <si>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</si>
  <si>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</si>
  <si>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</si>
  <si>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</si>
  <si>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</si>
  <si>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</si>
  <si>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</si>
  <si>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</si>
  <si>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</si>
  <si>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</si>
  <si>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</si>
  <si>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</si>
  <si>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</si>
  <si>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</si>
  <si>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</si>
  <si>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</si>
  <si>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</si>
  <si>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</si>
  <si>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</si>
  <si>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</si>
  <si>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</si>
  <si>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</si>
  <si>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</si>
  <si>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</si>
  <si>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</si>
  <si>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</si>
  <si>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</si>
  <si>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</si>
  <si>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</si>
  <si>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</si>
  <si>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</si>
  <si>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</si>
  <si>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</si>
  <si>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</si>
  <si>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</si>
  <si>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</si>
  <si>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</si>
  <si>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</si>
  <si>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</si>
  <si>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</si>
  <si>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</si>
  <si>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</si>
  <si>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</si>
  <si>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</si>
  <si>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</si>
  <si>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</si>
  <si>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</si>
  <si>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</si>
  <si>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</si>
  <si>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</si>
  <si>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</si>
  <si>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</si>
  <si>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</si>
  <si>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</si>
  <si>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</si>
  <si>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</si>
  <si>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</si>
  <si>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</si>
  <si>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</si>
  <si>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</si>
  <si>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</si>
  <si>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</si>
  <si>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</si>
  <si>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</si>
  <si>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</si>
  <si>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</si>
  <si>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</si>
  <si>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</si>
  <si>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</si>
  <si>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</si>
  <si>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</si>
  <si>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</si>
  <si>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</si>
  <si>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</si>
  <si>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</si>
  <si>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</si>
  <si>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</si>
  <si>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</si>
  <si>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</si>
  <si>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</si>
  <si>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</si>
  <si>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</si>
  <si>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</si>
  <si>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</si>
  <si>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</si>
  <si>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</si>
  <si>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</si>
  <si>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</si>
  <si>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</si>
  <si>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</si>
  <si>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</si>
  <si>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</si>
  <si>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</si>
  <si>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</si>
  <si>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</si>
  <si>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</si>
  <si>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</si>
  <si>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</si>
  <si>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</si>
  <si>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</si>
  <si>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</si>
  <si>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</si>
  <si>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</si>
  <si>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</si>
  <si>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</si>
  <si>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</si>
  <si>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</si>
  <si>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</si>
  <si>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</si>
  <si>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</si>
  <si>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</si>
  <si>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</si>
  <si>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</si>
  <si>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</si>
  <si>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</si>
  <si>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</si>
  <si>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</si>
  <si>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</si>
  <si>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</si>
  <si>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</si>
  <si>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</si>
  <si>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</si>
  <si>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</si>
  <si>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</si>
  <si>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</si>
  <si>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</si>
  <si>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</si>
  <si>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</si>
  <si>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</si>
  <si>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</si>
  <si>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</si>
  <si>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</si>
  <si>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</si>
  <si>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</si>
  <si>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</si>
  <si>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</si>
  <si>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</si>
  <si>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</si>
  <si>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</si>
  <si>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</si>
  <si>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</si>
  <si>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</si>
  <si>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</si>
  <si>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</si>
  <si>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</si>
  <si>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</si>
  <si>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</si>
  <si>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</si>
  <si>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</si>
  <si>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</si>
  <si>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</si>
  <si>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</si>
  <si>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</si>
  <si>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</si>
  <si>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</si>
  <si>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</si>
  <si>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</si>
  <si>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</si>
  <si>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</si>
  <si>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</si>
  <si>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</si>
  <si>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</si>
  <si>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</si>
  <si>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</si>
  <si>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</si>
  <si>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</si>
  <si>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</si>
  <si>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</si>
  <si>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</si>
  <si>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</si>
  <si>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</si>
  <si>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</si>
  <si>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</si>
  <si>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</si>
  <si>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</si>
  <si>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</si>
  <si>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</si>
  <si>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</si>
  <si>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</si>
  <si>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</si>
  <si>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</si>
  <si>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</si>
  <si>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</si>
  <si>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</si>
  <si>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</si>
  <si>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</si>
  <si>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</si>
  <si>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</si>
  <si>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</si>
  <si>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</si>
  <si>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</si>
  <si>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</si>
  <si>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</si>
  <si>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</si>
  <si>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</si>
  <si>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</si>
  <si>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</si>
  <si>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</si>
  <si>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</si>
  <si>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</si>
  <si>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</si>
  <si>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</si>
  <si>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</si>
  <si>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</si>
  <si>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</si>
  <si>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</si>
  <si>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</si>
  <si>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</si>
  <si>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</si>
  <si>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</si>
  <si>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</si>
  <si>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</si>
  <si>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</si>
  <si>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</si>
  <si>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</si>
  <si>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</si>
  <si>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</si>
  <si>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</si>
  <si>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</si>
  <si>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</si>
  <si>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</si>
  <si>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</si>
  <si>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</si>
  <si>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</si>
  <si>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</si>
  <si>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</si>
  <si>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</si>
  <si>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</si>
  <si>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</si>
  <si>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</si>
  <si>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</si>
  <si>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</si>
  <si>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</si>
  <si>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</si>
  <si>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</si>
  <si>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</si>
  <si>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</si>
  <si>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</si>
  <si>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</si>
  <si>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</si>
  <si>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</si>
  <si>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</si>
  <si>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</si>
  <si>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</si>
  <si>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</si>
  <si>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</si>
  <si>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</si>
  <si>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</si>
  <si>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</si>
  <si>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</si>
  <si>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</si>
  <si>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</si>
  <si>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</si>
  <si>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</si>
  <si>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</si>
  <si>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</si>
  <si>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</si>
  <si>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</si>
  <si>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</si>
  <si>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</si>
  <si>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</si>
  <si>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</si>
  <si>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</si>
  <si>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</si>
  <si>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</si>
  <si>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</si>
  <si>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</si>
  <si>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</si>
  <si>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</si>
  <si>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</si>
  <si>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</si>
  <si>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</si>
  <si>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</si>
  <si>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</si>
  <si>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</si>
  <si>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</si>
  <si>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</si>
  <si>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</si>
  <si>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</si>
  <si>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</si>
  <si>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</si>
  <si>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</si>
  <si>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</si>
  <si>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</si>
  <si>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</si>
  <si>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</si>
  <si>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</si>
  <si>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</si>
  <si>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</si>
  <si>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</si>
  <si>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</si>
  <si>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</si>
  <si>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</si>
  <si>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</si>
  <si>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</si>
  <si>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</si>
  <si>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</si>
  <si>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</si>
  <si>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</si>
  <si>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</si>
  <si>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</si>
  <si>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</si>
  <si>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</si>
  <si>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</si>
  <si>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</si>
  <si>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</si>
  <si>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</si>
  <si>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</si>
  <si>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</si>
  <si>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</si>
  <si>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</si>
  <si>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</si>
  <si>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</si>
  <si>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</si>
  <si>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</si>
  <si>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</si>
  <si>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</si>
  <si>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</si>
  <si>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</si>
  <si>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</si>
  <si>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</si>
  <si>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</si>
  <si>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</si>
  <si>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</si>
  <si>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</si>
  <si>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</si>
  <si>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</si>
  <si>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</si>
  <si>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</si>
  <si>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</si>
  <si>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</si>
  <si>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</si>
  <si>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</si>
  <si>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</si>
  <si>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</si>
  <si>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</si>
  <si>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</si>
  <si>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</si>
  <si>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</si>
  <si>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</si>
  <si>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</si>
  <si>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</si>
  <si>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</si>
  <si>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</si>
  <si>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</si>
  <si>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</si>
  <si>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</si>
  <si>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</si>
  <si>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</si>
  <si>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</si>
  <si>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</si>
  <si>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</si>
  <si>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</si>
  <si>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</si>
  <si>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</si>
  <si>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</si>
  <si>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</si>
  <si>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</si>
  <si>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</si>
  <si>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</si>
  <si>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</si>
  <si>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</si>
  <si>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</si>
  <si>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</si>
  <si>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</si>
  <si>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</si>
  <si>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</si>
  <si>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</si>
  <si>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</si>
  <si>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</si>
  <si>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</si>
  <si>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</si>
  <si>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</si>
  <si>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</si>
  <si>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</si>
  <si>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</si>
  <si>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</si>
  <si>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</si>
  <si>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</si>
  <si>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</si>
  <si>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</si>
  <si>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</si>
  <si>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</si>
  <si>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</si>
  <si>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</si>
  <si>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</si>
  <si>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</si>
  <si>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</si>
  <si>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</si>
  <si>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</si>
  <si>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</si>
  <si>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</si>
  <si>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</si>
  <si>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</si>
  <si>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</si>
  <si>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</si>
  <si>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</si>
  <si>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</si>
  <si>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</si>
  <si>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</si>
  <si>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</si>
  <si>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</si>
  <si>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</si>
  <si>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</si>
  <si>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</si>
  <si>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</si>
  <si>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</si>
  <si>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</si>
  <si>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</si>
  <si>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</si>
  <si>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</si>
  <si>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</si>
  <si>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</si>
  <si>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</si>
  <si>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</si>
  <si>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</si>
  <si>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</si>
  <si>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</si>
  <si>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</si>
  <si>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</si>
  <si>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</si>
  <si>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</si>
  <si>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</si>
  <si>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</si>
  <si>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</si>
  <si>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</si>
  <si>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</si>
  <si>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</si>
  <si>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</si>
  <si>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</si>
  <si>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</si>
  <si>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</si>
  <si>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</si>
  <si>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</si>
  <si>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</si>
  <si>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</si>
  <si>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</si>
  <si>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</si>
  <si>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</si>
  <si>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</si>
  <si>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</si>
  <si>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</si>
  <si>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</si>
  <si>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</si>
  <si>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</si>
  <si>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</si>
  <si>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</si>
  <si>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</si>
  <si>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</si>
  <si>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</si>
  <si>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</si>
  <si>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</si>
  <si>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</si>
  <si>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</si>
  <si>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</si>
  <si>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</si>
  <si>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</si>
  <si>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</si>
  <si>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</si>
  <si>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</si>
  <si>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</si>
  <si>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</si>
  <si>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</si>
  <si>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</si>
  <si>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</si>
  <si>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</si>
  <si>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</si>
  <si>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</si>
  <si>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</si>
  <si>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</si>
  <si>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</si>
  <si>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</si>
  <si>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</si>
  <si>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</si>
  <si>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</si>
  <si>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</si>
  <si>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</si>
  <si>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</si>
  <si>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</si>
  <si>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</si>
  <si>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</si>
  <si>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</si>
  <si>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</si>
  <si>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</si>
  <si>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</si>
  <si>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</si>
  <si>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</si>
  <si>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</si>
  <si>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</si>
  <si>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</si>
  <si>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</si>
  <si>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</si>
  <si>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</si>
  <si>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</si>
  <si>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</si>
  <si>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</si>
  <si>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</si>
  <si>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</si>
  <si>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</si>
  <si>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</si>
  <si>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</si>
  <si>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</si>
  <si>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</si>
  <si>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</si>
  <si>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</si>
  <si>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</si>
  <si>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</si>
  <si>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</si>
  <si>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</si>
  <si>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</si>
  <si>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</si>
  <si>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</si>
  <si>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</si>
  <si>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</si>
  <si>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</si>
  <si>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</si>
  <si>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</si>
  <si>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</si>
  <si>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</si>
  <si>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</si>
  <si>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</si>
  <si>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</si>
  <si>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</si>
  <si>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</si>
  <si>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</si>
  <si>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</si>
  <si>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</si>
  <si>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</si>
  <si>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</si>
  <si>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</si>
  <si>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</si>
  <si>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</si>
  <si>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</si>
  <si>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</si>
  <si>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</si>
  <si>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</si>
  <si>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</si>
  <si>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</si>
  <si>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</si>
  <si>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</si>
  <si>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</si>
  <si>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</si>
  <si>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</si>
  <si>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</si>
  <si>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</si>
  <si>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</si>
  <si>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</si>
  <si>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</si>
  <si>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</si>
  <si>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</si>
  <si>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</si>
  <si>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</si>
  <si>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</si>
  <si>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</si>
  <si>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</si>
  <si>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</si>
  <si>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</si>
  <si>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</si>
  <si>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</si>
  <si>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</si>
  <si>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</si>
  <si>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</si>
  <si>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</si>
  <si>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</si>
  <si>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</si>
  <si>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</si>
  <si>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</si>
  <si>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</si>
  <si>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</si>
  <si>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</si>
  <si>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</si>
  <si>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</si>
  <si>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</si>
  <si>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</si>
  <si>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</si>
  <si>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</si>
  <si>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</si>
  <si>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</si>
  <si>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</si>
  <si>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</si>
  <si>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</si>
  <si>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</si>
  <si>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</si>
  <si>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</si>
  <si>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</si>
  <si>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</si>
  <si>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</si>
  <si>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</si>
  <si>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</si>
  <si>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</si>
  <si>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</si>
  <si>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</si>
  <si>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</si>
  <si>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</si>
  <si>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</si>
  <si>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</si>
  <si>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</si>
  <si>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</si>
  <si>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</si>
  <si>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</si>
  <si>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</si>
  <si>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</si>
  <si>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</si>
  <si>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</si>
  <si>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</si>
  <si>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</si>
  <si>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</si>
  <si>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</si>
  <si>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</si>
  <si>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</si>
  <si>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</si>
  <si>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</si>
  <si>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</si>
  <si>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</si>
  <si>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</si>
  <si>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</si>
  <si>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</si>
  <si>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</si>
  <si>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</si>
  <si>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</si>
  <si>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</si>
  <si>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</si>
  <si>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</si>
  <si>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</si>
  <si>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</si>
  <si>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</si>
  <si>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</si>
  <si>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</si>
  <si>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</si>
  <si>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</si>
  <si>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</si>
  <si>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</si>
  <si>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</si>
  <si>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</si>
  <si>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</si>
  <si>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</si>
  <si>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</si>
  <si>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</si>
  <si>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</si>
  <si>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</si>
  <si>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</si>
  <si>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</si>
  <si>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</si>
  <si>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</si>
  <si>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</si>
  <si>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</si>
  <si>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</si>
  <si>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</si>
  <si>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</si>
  <si>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</si>
  <si>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</si>
  <si>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</si>
  <si>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</si>
  <si>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</si>
  <si>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</si>
  <si>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</si>
  <si>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</si>
  <si>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</si>
  <si>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</si>
  <si>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</si>
  <si>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</si>
  <si>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</si>
  <si>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</si>
  <si>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</si>
  <si>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</si>
  <si>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</si>
  <si>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</si>
  <si>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</si>
  <si>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</si>
  <si>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</si>
  <si>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</si>
  <si>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</si>
  <si>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</si>
  <si>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</si>
  <si>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</si>
  <si>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</si>
  <si>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</si>
  <si>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</si>
  <si>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</si>
  <si>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</si>
  <si>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</si>
  <si>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</si>
  <si>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</si>
  <si>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</si>
  <si>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</si>
  <si>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</si>
  <si>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</si>
  <si>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</si>
  <si>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</si>
  <si>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</si>
  <si>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</si>
  <si>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</si>
  <si>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</si>
  <si>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</si>
  <si>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</si>
  <si>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</si>
  <si>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</si>
  <si>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</si>
  <si>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</si>
  <si>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</si>
  <si>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</si>
  <si>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</si>
  <si>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</si>
  <si>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</si>
  <si>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</si>
  <si>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</si>
  <si>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</si>
  <si>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</si>
  <si>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</si>
  <si>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</si>
  <si>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</si>
  <si>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</si>
  <si>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</si>
  <si>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</si>
  <si>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</si>
  <si>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</si>
  <si>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</si>
  <si>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</si>
  <si>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</si>
  <si>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</si>
  <si>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</si>
  <si>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</si>
  <si>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</si>
  <si>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</si>
  <si>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</si>
  <si>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</si>
  <si>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</si>
  <si>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</si>
  <si>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</si>
  <si>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</si>
  <si>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</si>
  <si>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</si>
  <si>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</si>
  <si>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</si>
  <si>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</si>
  <si>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</si>
  <si>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</si>
  <si>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</si>
  <si>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</si>
  <si>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</si>
  <si>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</si>
  <si>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</si>
  <si>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</si>
  <si>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</si>
  <si>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</si>
  <si>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</si>
  <si>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</si>
  <si>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</si>
  <si>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</si>
  <si>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</si>
  <si>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</si>
  <si>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</si>
  <si>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</si>
  <si>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</si>
  <si>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</si>
  <si>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</si>
  <si>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</si>
  <si>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</si>
  <si>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</si>
  <si>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</si>
  <si>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</si>
  <si>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</si>
  <si>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</si>
  <si>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</si>
  <si>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</si>
  <si>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</si>
  <si>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</si>
  <si>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</si>
  <si>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</si>
  <si>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</si>
  <si>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</si>
  <si>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</si>
  <si>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</si>
  <si>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</si>
  <si>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</si>
  <si>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</si>
  <si>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</si>
  <si>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</si>
  <si>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</si>
  <si>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</si>
  <si>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</si>
  <si>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</si>
  <si>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</si>
  <si>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</si>
  <si>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</si>
  <si>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</si>
  <si>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</si>
  <si>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</si>
  <si>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</si>
  <si>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</si>
  <si>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</si>
  <si>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</si>
  <si>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</si>
  <si>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</si>
  <si>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</si>
  <si>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</si>
  <si>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</si>
  <si>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</si>
  <si>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</si>
  <si>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</si>
  <si>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</si>
  <si>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</si>
  <si>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</si>
  <si>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</si>
  <si>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</si>
  <si>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</si>
  <si>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</si>
  <si>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</si>
  <si>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</si>
  <si>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</si>
  <si>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</si>
  <si>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</si>
  <si>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</si>
  <si>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</si>
  <si>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</si>
  <si>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</si>
  <si>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</si>
  <si>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</si>
  <si>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</si>
  <si>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</si>
  <si>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</si>
  <si>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</si>
  <si>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</si>
  <si>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</si>
  <si>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</si>
  <si>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</si>
  <si>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</si>
  <si>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</si>
  <si>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</si>
  <si>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</si>
  <si>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</si>
  <si>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</si>
  <si>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</si>
  <si>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</si>
  <si>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</si>
  <si>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</si>
  <si>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</si>
  <si>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</si>
  <si>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</si>
  <si>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</si>
  <si>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</si>
  <si>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</si>
  <si>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</si>
  <si>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</si>
  <si>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</si>
  <si>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</si>
  <si>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</si>
  <si>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</si>
  <si>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</si>
  <si>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</si>
  <si>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</si>
  <si>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</si>
  <si>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</si>
  <si>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</si>
  <si>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</si>
  <si>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</si>
  <si>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</si>
  <si>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</si>
  <si>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</si>
  <si>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</si>
  <si>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</si>
  <si>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</si>
  <si>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</si>
  <si>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</si>
  <si>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</si>
  <si>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</si>
  <si>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</si>
  <si>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</si>
  <si>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</si>
  <si>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</si>
  <si>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</si>
  <si>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</si>
  <si>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</si>
  <si>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</si>
  <si>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</si>
  <si>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</si>
  <si>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</si>
  <si>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</si>
  <si>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</si>
  <si>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</si>
  <si>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</si>
  <si>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</si>
  <si>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</si>
  <si>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</si>
  <si>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</si>
  <si>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</si>
  <si>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</si>
  <si>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</si>
  <si>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</si>
  <si>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</si>
  <si>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</si>
  <si>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</si>
  <si>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</si>
  <si>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</si>
  <si>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</si>
  <si>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</si>
  <si>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</si>
  <si>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</si>
  <si>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</si>
  <si>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</si>
  <si>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</si>
  <si>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</si>
  <si>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</si>
  <si>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</si>
  <si>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</si>
  <si>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</si>
  <si>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</si>
  <si>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</si>
  <si>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</si>
  <si>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</si>
  <si>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</si>
  <si>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</si>
  <si>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</si>
  <si>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</si>
  <si>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</si>
  <si>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</si>
  <si>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</si>
  <si>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</si>
  <si>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</si>
  <si>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</si>
  <si>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</si>
  <si>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</si>
  <si>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</si>
  <si>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</si>
  <si>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</si>
  <si>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</si>
  <si>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</si>
  <si>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</si>
  <si>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</si>
  <si>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</si>
  <si>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</si>
  <si>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</si>
  <si>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</si>
  <si>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</si>
  <si>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</si>
  <si>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</si>
  <si>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</si>
  <si>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</si>
  <si>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</si>
  <si>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</si>
  <si>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</si>
  <si>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</si>
  <si>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</si>
  <si>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</si>
  <si>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</si>
  <si>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</si>
  <si>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</si>
  <si>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</si>
  <si>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</si>
  <si>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</si>
  <si>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</si>
  <si>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</si>
  <si>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</si>
  <si>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</si>
  <si>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</si>
  <si>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</si>
  <si>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</si>
  <si>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</si>
  <si>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</si>
  <si>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</si>
  <si>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</si>
  <si>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</si>
  <si>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</si>
  <si>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</si>
  <si>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</si>
  <si>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</si>
  <si>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</si>
  <si>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</si>
  <si>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</si>
  <si>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</si>
  <si>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</si>
  <si>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</si>
  <si>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</si>
  <si>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</si>
  <si>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</si>
  <si>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</si>
  <si>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</si>
  <si>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</si>
  <si>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</si>
  <si>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</si>
  <si>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</si>
  <si>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</si>
  <si>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</si>
  <si>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</si>
  <si>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</si>
  <si>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</si>
  <si>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</si>
  <si>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</si>
  <si>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</si>
  <si>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</si>
  <si>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</si>
  <si>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</si>
  <si>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</si>
  <si>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</si>
  <si>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</si>
  <si>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</si>
  <si>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</si>
  <si>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</si>
  <si>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</si>
  <si>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</si>
  <si>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</si>
  <si>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</si>
  <si>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</si>
  <si>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</si>
  <si>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</si>
  <si>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</si>
  <si>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</si>
  <si>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</si>
  <si>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issued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</si>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</sst>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6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15" totalsRowShown="0" headerRowDxfId="95" dataDxfId="94">
  <autoFilter ref="A1:R415" xr:uid="{97E63F84-BDFB-4C38-B1FD-28318E0D1D3F}"/>
  <tableColumns count="18">
    <tableColumn id="1" xr3:uid="{DEBB3640-E433-4779-93BC-95B8FB492623}" name="S.NO" dataDxfId="93">
      <calculatedColumnFormula>ROW()-1</calculatedColumnFormula>
    </tableColumn>
    <tableColumn id="13" xr3:uid="{86C56767-9BFE-4154-9FC1-CEA7C183815E}" name="APPLICATION NO." dataDxfId="92"/>
    <tableColumn id="2" xr3:uid="{6ABB4EDF-0F58-40D7-979C-D37D8D91A6BC}" name="CHASSIS" dataDxfId="91"/>
    <tableColumn id="17" xr3:uid="{0BBF5E4D-B8B0-4055-8D5F-3A6BB4D4A4DA}" name="ENGINE NO." dataDxfId="90"/>
    <tableColumn id="3" xr3:uid="{285CC4F4-4CD1-4FFC-A101-ED051DA40438}" name="NAME" dataDxfId="89"/>
    <tableColumn id="4" xr3:uid="{28DC8B59-EFA0-4502-86B0-033B0B60D615}" name="MODEL" dataDxfId="88"/>
    <tableColumn id="14" xr3:uid="{B25F5A6A-3B72-4772-B75C-D86670F35131}" name="COLOR" dataDxfId="87"/>
    <tableColumn id="15" xr3:uid="{22F5E9AE-FC4E-4EBD-ADBF-5C93F85B331F}" name="RTO" dataDxfId="86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5"/>
    <tableColumn id="6" xr3:uid="{9942893D-0703-456F-8072-CD136C7B4052}" name="DATE OF REG" dataDxfId="84"/>
    <tableColumn id="12" xr3:uid="{CC83ADC7-1924-4CE0-83FB-B2DFBEF7A193}" name="CONTACT" dataDxfId="83"/>
    <tableColumn id="7" xr3:uid="{3AD2B0D9-D7A5-46E0-B596-F6B7F1CDDEA6}" name="DSE" dataDxfId="82"/>
    <tableColumn id="8" xr3:uid="{475221AE-3FDC-4CED-B76C-4DA1DD4F8AD9}" name="RC RECEIVED BY" dataDxfId="81"/>
    <tableColumn id="9" xr3:uid="{F594ED7D-6966-47AC-A5C3-25754B73A3CC}" name="DATE" dataDxfId="80"/>
    <tableColumn id="10" xr3:uid="{452E3ECD-E927-4EC7-A8A2-4A866233750E}" name="FASTTAG" dataDxfId="79"/>
    <tableColumn id="11" xr3:uid="{CFEE5573-D700-4B26-B382-BCA8210C54C2}" name="DATED" dataDxfId="78"/>
    <tableColumn id="16" xr3:uid="{07363D0C-2FBE-403B-A617-BDB5768FAC43}" name="FT STATUS" dataDxfId="77"/>
    <tableColumn id="19" xr3:uid="{9456CF5E-F4D1-41FB-BAEA-332735A8583D}" name="REMARKS" dataDxfId="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5" dataDxfId="73" headerRowBorderDxfId="74" tableBorderDxfId="72">
  <autoFilter ref="A1:U1475" xr:uid="{D370B51C-D08F-47BE-AAB1-EC19B1CB5D0A}"/>
  <tableColumns count="21">
    <tableColumn id="1" xr3:uid="{F2AB5776-2910-4922-8F7A-A29B241AFBFB}" name="S.NO" dataDxfId="71"/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11" totalsRowShown="0" headerRowDxfId="50" dataDxfId="49">
  <autoFilter ref="A2:H211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40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9"/>
    <tableColumn id="2" xr3:uid="{1E57C5CE-907A-4DF0-BCA2-BBCD2651216C}" name="APPLICATION NO." dataDxfId="38"/>
    <tableColumn id="3" xr3:uid="{F626713A-3C61-423D-BD37-451203C3E29C}" name="CHASSIS" dataDxfId="37"/>
    <tableColumn id="4" xr3:uid="{32C5A048-ADD8-4648-8106-9F20D6757D66}" name="NAME" dataDxfId="36"/>
    <tableColumn id="5" xr3:uid="{BA1FDE8E-99ED-4918-A545-B2E041B306D6}" name="MODEL" dataDxfId="35"/>
    <tableColumn id="6" xr3:uid="{872ECA2D-515D-4EDE-B60A-82A8BDEFEDCC}" name="COLOR" dataDxfId="34"/>
    <tableColumn id="7" xr3:uid="{C729A2AA-8F61-4959-9BE7-9F1BD3A49990}" name="RTO" dataDxfId="33"/>
    <tableColumn id="8" xr3:uid="{49CDED17-8118-4E4F-BBF5-6407D0788647}" name="REG NUM" dataDxfId="32"/>
    <tableColumn id="9" xr3:uid="{6E044422-F791-464A-944A-0668F0C8112F}" name="DATE OF REG" dataDxfId="31"/>
    <tableColumn id="11" xr3:uid="{942D52E6-8B19-4B1A-ADDF-6D959D8E7BE1}" name="DSE" dataDxfId="30"/>
    <tableColumn id="12" xr3:uid="{04B58679-3282-4D6D-BF3E-2233E3C4DC81}" name="RC RECEIVED BY" dataDxfId="2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8" tableBorderDxfId="27" totalsRowBorderDxfId="26">
  <autoFilter ref="B27:E32" xr:uid="{859DCBAE-920B-4469-9E0B-BF5ADC0248E9}"/>
  <tableColumns count="4">
    <tableColumn id="1" xr3:uid="{898528DA-B3AC-435C-B00C-9234887E5F11}" name="REG NUM" dataDxfId="25"/>
    <tableColumn id="2" xr3:uid="{89440296-A536-440E-A74B-186B5A98AE6C}" name="DATE OF REG" dataDxfId="24"/>
    <tableColumn id="3" xr3:uid="{7A04E3EB-93DA-4428-AB0C-3D251E144655}" name="RC RECEIVED BY" dataDxfId="23"/>
    <tableColumn id="4" xr3:uid="{0D350352-EB5F-413B-8CE6-3B46D80C3172}" name="DATE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93"/>
  <sheetViews>
    <sheetView topLeftCell="A397" zoomScaleNormal="100" workbookViewId="0">
      <selection activeCell="C419" sqref="C41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8243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8244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8239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8245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8246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8247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8248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8239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8249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8250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8251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8279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8252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8249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8227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8253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8239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8252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8254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8239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8239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8255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8256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8257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8252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8258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8259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8260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8252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8261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/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8244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7715</v>
      </c>
      <c r="N301" s="48">
        <v>46042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 t="s">
        <v>7715</v>
      </c>
      <c r="N304" s="48">
        <v>46046</v>
      </c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8229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8390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 t="s">
        <v>8017</v>
      </c>
      <c r="N315" s="48">
        <v>46044</v>
      </c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 t="s">
        <v>8017</v>
      </c>
      <c r="N316" s="48">
        <v>46044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8241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 t="s">
        <v>8341</v>
      </c>
      <c r="N328" s="48">
        <v>46042</v>
      </c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 t="s">
        <v>7715</v>
      </c>
      <c r="N329" s="48">
        <v>46041</v>
      </c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8236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 t="s">
        <v>7715</v>
      </c>
      <c r="N335" s="48">
        <v>46050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8227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 t="s">
        <v>7715</v>
      </c>
      <c r="N354" s="48">
        <v>46043</v>
      </c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 t="s">
        <v>7715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8262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8260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 t="s">
        <v>7453</v>
      </c>
      <c r="N371" s="48">
        <v>46044</v>
      </c>
      <c r="O371" s="47"/>
      <c r="P371" s="50"/>
      <c r="Q371" s="47"/>
      <c r="R371" s="47"/>
    </row>
    <row r="372" spans="1:18" x14ac:dyDescent="0.25">
      <c r="A372" s="47">
        <f t="shared" ref="A372:A415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8345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5"/>
        <v>375</v>
      </c>
      <c r="B376" s="47" t="s">
        <v>8285</v>
      </c>
      <c r="C376" s="47" t="s">
        <v>8282</v>
      </c>
      <c r="D376" s="47" t="s">
        <v>8283</v>
      </c>
      <c r="E376" s="47" t="s">
        <v>6338</v>
      </c>
      <c r="F376" s="47" t="s">
        <v>8284</v>
      </c>
      <c r="G376" s="47" t="s">
        <v>174</v>
      </c>
      <c r="H376" s="47" t="str">
        <f t="shared" si="12"/>
        <v>SRINAGAR</v>
      </c>
      <c r="I376" s="47" t="s">
        <v>8389</v>
      </c>
      <c r="J376" s="48">
        <v>46043</v>
      </c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8286</v>
      </c>
      <c r="C377" s="47" t="s">
        <v>8287</v>
      </c>
      <c r="D377" s="47" t="s">
        <v>8289</v>
      </c>
      <c r="E377" s="47" t="s">
        <v>8288</v>
      </c>
      <c r="F377" s="47" t="s">
        <v>8290</v>
      </c>
      <c r="G377" s="47" t="s">
        <v>200</v>
      </c>
      <c r="H377" s="47" t="str">
        <f t="shared" si="12"/>
        <v>SHOPIAN</v>
      </c>
      <c r="I377" s="47" t="s">
        <v>8291</v>
      </c>
      <c r="J377" s="48">
        <v>46038</v>
      </c>
      <c r="K377" s="47">
        <v>7006595403</v>
      </c>
      <c r="L377" s="47" t="s">
        <v>6570</v>
      </c>
      <c r="M377" s="49" t="s">
        <v>8333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8292</v>
      </c>
      <c r="C378" s="47" t="s">
        <v>8294</v>
      </c>
      <c r="D378" s="47" t="s">
        <v>8295</v>
      </c>
      <c r="E378" s="47" t="s">
        <v>8293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8296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8299</v>
      </c>
      <c r="C379" s="47" t="s">
        <v>8297</v>
      </c>
      <c r="D379" s="47" t="s">
        <v>8306</v>
      </c>
      <c r="E379" s="47" t="s">
        <v>8298</v>
      </c>
      <c r="F379" s="47" t="s">
        <v>31</v>
      </c>
      <c r="G379" s="47" t="s">
        <v>175</v>
      </c>
      <c r="H379" s="47" t="str">
        <f t="shared" si="12"/>
        <v>SRINAGAR</v>
      </c>
      <c r="I379" s="47" t="s">
        <v>8325</v>
      </c>
      <c r="J379" s="48">
        <v>46042</v>
      </c>
      <c r="K379" s="47">
        <v>7022282286</v>
      </c>
      <c r="L379" s="47" t="s">
        <v>2172</v>
      </c>
      <c r="M379" s="49" t="s">
        <v>7714</v>
      </c>
      <c r="N379" s="48">
        <v>46044</v>
      </c>
      <c r="O379" s="47" t="s">
        <v>23</v>
      </c>
      <c r="P379" s="50">
        <v>46042</v>
      </c>
      <c r="Q379" s="47" t="s">
        <v>8342</v>
      </c>
      <c r="R379" s="47"/>
    </row>
    <row r="380" spans="1:18" x14ac:dyDescent="0.25">
      <c r="A380" s="47">
        <f t="shared" si="15"/>
        <v>379</v>
      </c>
      <c r="B380" s="47" t="s">
        <v>8305</v>
      </c>
      <c r="C380" s="47" t="s">
        <v>8302</v>
      </c>
      <c r="D380" s="47" t="s">
        <v>8303</v>
      </c>
      <c r="E380" s="47" t="s">
        <v>8304</v>
      </c>
      <c r="F380" s="47" t="s">
        <v>31</v>
      </c>
      <c r="G380" s="47" t="s">
        <v>200</v>
      </c>
      <c r="H380" s="47" t="str">
        <f t="shared" si="12"/>
        <v>BUDGAM</v>
      </c>
      <c r="I380" s="47" t="s">
        <v>8312</v>
      </c>
      <c r="J380" s="48">
        <v>46039</v>
      </c>
      <c r="K380" s="47">
        <v>9797811436</v>
      </c>
      <c r="L380" s="47" t="s">
        <v>2172</v>
      </c>
      <c r="M380" s="49"/>
      <c r="N380" s="48"/>
      <c r="O380" s="47" t="s">
        <v>23</v>
      </c>
      <c r="P380" s="50">
        <v>46041</v>
      </c>
      <c r="Q380" s="47" t="s">
        <v>6460</v>
      </c>
      <c r="R380" s="47"/>
    </row>
    <row r="381" spans="1:18" x14ac:dyDescent="0.25">
      <c r="A381" s="47">
        <f t="shared" si="15"/>
        <v>380</v>
      </c>
      <c r="B381" s="47" t="s">
        <v>8309</v>
      </c>
      <c r="C381" s="47" t="s">
        <v>8307</v>
      </c>
      <c r="D381" s="47" t="s">
        <v>8308</v>
      </c>
      <c r="E381" s="47" t="s">
        <v>3244</v>
      </c>
      <c r="F381" s="47" t="s">
        <v>31</v>
      </c>
      <c r="G381" s="47" t="s">
        <v>200</v>
      </c>
      <c r="H381" s="47" t="str">
        <f t="shared" si="12"/>
        <v>SRINAGAR</v>
      </c>
      <c r="I381" s="47" t="s">
        <v>8310</v>
      </c>
      <c r="J381" s="48">
        <v>46041</v>
      </c>
      <c r="K381" s="47">
        <v>6006475366</v>
      </c>
      <c r="L381" s="47" t="s">
        <v>194</v>
      </c>
      <c r="M381" s="49"/>
      <c r="N381" s="48"/>
      <c r="O381" s="47" t="s">
        <v>23</v>
      </c>
      <c r="P381" s="50">
        <v>46041</v>
      </c>
      <c r="Q381" s="47" t="s">
        <v>6460</v>
      </c>
      <c r="R381" s="47"/>
    </row>
    <row r="382" spans="1:18" x14ac:dyDescent="0.25">
      <c r="A382" s="47">
        <f t="shared" si="15"/>
        <v>381</v>
      </c>
      <c r="B382" s="47" t="s">
        <v>8313</v>
      </c>
      <c r="C382" s="47" t="s">
        <v>8314</v>
      </c>
      <c r="D382" s="47" t="s">
        <v>8315</v>
      </c>
      <c r="E382" s="47" t="s">
        <v>8316</v>
      </c>
      <c r="F382" s="47" t="s">
        <v>3130</v>
      </c>
      <c r="G382" s="47" t="s">
        <v>6475</v>
      </c>
      <c r="H382" s="47" t="str">
        <f t="shared" si="12"/>
        <v>SRINAGAR</v>
      </c>
      <c r="I382" s="47" t="s">
        <v>8321</v>
      </c>
      <c r="J382" s="48">
        <v>46041</v>
      </c>
      <c r="K382" s="47">
        <v>9906774785</v>
      </c>
      <c r="L382" s="47" t="s">
        <v>484</v>
      </c>
      <c r="M382" s="49"/>
      <c r="N382" s="48"/>
      <c r="O382" s="47" t="s">
        <v>23</v>
      </c>
      <c r="P382" s="50">
        <v>46043</v>
      </c>
      <c r="Q382" s="47" t="s">
        <v>6460</v>
      </c>
      <c r="R382" s="47" t="s">
        <v>8373</v>
      </c>
    </row>
    <row r="383" spans="1:18" x14ac:dyDescent="0.25">
      <c r="A383" s="47">
        <f t="shared" si="15"/>
        <v>382</v>
      </c>
      <c r="B383" s="47" t="s">
        <v>8317</v>
      </c>
      <c r="C383" s="47" t="s">
        <v>8318</v>
      </c>
      <c r="D383" s="47" t="s">
        <v>8319</v>
      </c>
      <c r="E383" s="47" t="s">
        <v>8320</v>
      </c>
      <c r="F383" s="47" t="s">
        <v>31</v>
      </c>
      <c r="G383" s="47" t="s">
        <v>200</v>
      </c>
      <c r="H383" s="47" t="str">
        <f t="shared" si="12"/>
        <v>SRINAGAR</v>
      </c>
      <c r="I383" s="47" t="s">
        <v>8322</v>
      </c>
      <c r="J383" s="48">
        <v>46041</v>
      </c>
      <c r="K383" s="47">
        <v>9797865646</v>
      </c>
      <c r="L383" s="47" t="s">
        <v>26</v>
      </c>
      <c r="M383" s="49" t="s">
        <v>8094</v>
      </c>
      <c r="N383" s="48">
        <v>46043</v>
      </c>
      <c r="O383" s="47" t="s">
        <v>23</v>
      </c>
      <c r="P383" s="50">
        <v>46042</v>
      </c>
      <c r="Q383" s="47" t="s">
        <v>6460</v>
      </c>
      <c r="R383" s="47"/>
    </row>
    <row r="384" spans="1:18" x14ac:dyDescent="0.25">
      <c r="A384" s="47">
        <f t="shared" si="15"/>
        <v>383</v>
      </c>
      <c r="B384" s="47" t="s">
        <v>8328</v>
      </c>
      <c r="C384" s="47" t="s">
        <v>8326</v>
      </c>
      <c r="D384" s="47" t="s">
        <v>8327</v>
      </c>
      <c r="E384" s="47" t="s">
        <v>3155</v>
      </c>
      <c r="F384" s="47" t="s">
        <v>12</v>
      </c>
      <c r="G384" s="47" t="s">
        <v>181</v>
      </c>
      <c r="H384" s="47" t="str">
        <f t="shared" si="12"/>
        <v>BUDGAM</v>
      </c>
      <c r="I384" s="47" t="s">
        <v>8338</v>
      </c>
      <c r="J384" s="48">
        <v>46042</v>
      </c>
      <c r="K384" s="47">
        <v>9906655656</v>
      </c>
      <c r="L384" s="47" t="s">
        <v>484</v>
      </c>
      <c r="M384" s="49" t="s">
        <v>7455</v>
      </c>
      <c r="N384" s="48">
        <v>46046</v>
      </c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 t="s">
        <v>8332</v>
      </c>
      <c r="C385" s="47" t="s">
        <v>8329</v>
      </c>
      <c r="D385" s="47" t="s">
        <v>8330</v>
      </c>
      <c r="E385" s="47" t="s">
        <v>8331</v>
      </c>
      <c r="F385" s="47" t="s">
        <v>67</v>
      </c>
      <c r="G385" s="47" t="s">
        <v>199</v>
      </c>
      <c r="H385" s="47" t="str">
        <f t="shared" si="12"/>
        <v>ANANTNAG</v>
      </c>
      <c r="I385" s="47" t="s">
        <v>8339</v>
      </c>
      <c r="J385" s="48">
        <v>46042</v>
      </c>
      <c r="K385" s="47">
        <v>8899068335</v>
      </c>
      <c r="L385" s="47" t="s">
        <v>6521</v>
      </c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 t="s">
        <v>8337</v>
      </c>
      <c r="C386" s="47" t="s">
        <v>8334</v>
      </c>
      <c r="D386" s="47" t="s">
        <v>8335</v>
      </c>
      <c r="E386" s="47" t="s">
        <v>8336</v>
      </c>
      <c r="F386" s="47" t="s">
        <v>119</v>
      </c>
      <c r="G386" s="47" t="s">
        <v>175</v>
      </c>
      <c r="H386" s="47" t="str">
        <f t="shared" si="12"/>
        <v>SHOPIAN</v>
      </c>
      <c r="I386" s="47" t="s">
        <v>8340</v>
      </c>
      <c r="J386" s="48">
        <v>46042</v>
      </c>
      <c r="K386" s="47">
        <v>7006739253</v>
      </c>
      <c r="L386" s="47" t="s">
        <v>6570</v>
      </c>
      <c r="M386" s="49"/>
      <c r="N386" s="48"/>
      <c r="O386" s="47" t="s">
        <v>23</v>
      </c>
      <c r="P386" s="50">
        <v>46043</v>
      </c>
      <c r="Q386" s="47" t="s">
        <v>8167</v>
      </c>
      <c r="R386" s="47" t="s">
        <v>8372</v>
      </c>
    </row>
    <row r="387" spans="1:18" x14ac:dyDescent="0.25">
      <c r="A387" s="47">
        <f t="shared" si="15"/>
        <v>386</v>
      </c>
      <c r="B387" s="47" t="s">
        <v>8349</v>
      </c>
      <c r="C387" s="47" t="s">
        <v>8346</v>
      </c>
      <c r="D387" s="47" t="s">
        <v>8347</v>
      </c>
      <c r="E387" s="47" t="s">
        <v>8348</v>
      </c>
      <c r="F387" s="47" t="s">
        <v>12</v>
      </c>
      <c r="G387" s="47" t="s">
        <v>181</v>
      </c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SRINAGAR</v>
      </c>
      <c r="I387" s="47" t="s">
        <v>8368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 t="s">
        <v>8353</v>
      </c>
      <c r="C388" s="47" t="s">
        <v>8350</v>
      </c>
      <c r="D388" s="47" t="s">
        <v>8351</v>
      </c>
      <c r="E388" s="47" t="s">
        <v>8352</v>
      </c>
      <c r="F388" s="47" t="s">
        <v>31</v>
      </c>
      <c r="G388" s="47" t="s">
        <v>200</v>
      </c>
      <c r="H388" s="47" t="str">
        <f t="shared" si="16"/>
        <v>POONCH</v>
      </c>
      <c r="I388" s="47" t="s">
        <v>8370</v>
      </c>
      <c r="J388" s="48">
        <v>46043</v>
      </c>
      <c r="K388" s="47">
        <v>8899313265</v>
      </c>
      <c r="L388" s="47" t="s">
        <v>195</v>
      </c>
      <c r="M388" s="49"/>
      <c r="N388" s="48"/>
      <c r="O388" s="47"/>
      <c r="P388" s="50"/>
      <c r="Q388" s="47"/>
      <c r="R388" s="47"/>
    </row>
    <row r="389" spans="1:18" x14ac:dyDescent="0.25">
      <c r="A389" s="47">
        <f t="shared" si="15"/>
        <v>388</v>
      </c>
      <c r="B389" s="47" t="s">
        <v>8357</v>
      </c>
      <c r="C389" s="47" t="s">
        <v>8355</v>
      </c>
      <c r="D389" s="47" t="s">
        <v>8356</v>
      </c>
      <c r="E389" s="47" t="s">
        <v>8354</v>
      </c>
      <c r="F389" s="47" t="s">
        <v>31</v>
      </c>
      <c r="G389" s="47" t="s">
        <v>200</v>
      </c>
      <c r="H389" s="47" t="str">
        <f t="shared" ref="H389:H396" si="17"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</f>
        <v>POONCH</v>
      </c>
      <c r="I389" s="47" t="s">
        <v>8371</v>
      </c>
      <c r="J389" s="48">
        <v>46043</v>
      </c>
      <c r="K389" s="47">
        <v>8082861684</v>
      </c>
      <c r="L389" s="47" t="s">
        <v>195</v>
      </c>
      <c r="M389" s="49"/>
      <c r="N389" s="48"/>
      <c r="O389" s="47"/>
      <c r="P389" s="50"/>
      <c r="Q389" s="47"/>
      <c r="R389" s="47"/>
    </row>
    <row r="390" spans="1:18" x14ac:dyDescent="0.25">
      <c r="A390" s="47">
        <f t="shared" si="15"/>
        <v>389</v>
      </c>
      <c r="B390" s="47" t="s">
        <v>8358</v>
      </c>
      <c r="C390" s="47" t="s">
        <v>8359</v>
      </c>
      <c r="D390" s="47" t="s">
        <v>8360</v>
      </c>
      <c r="E390" s="47" t="s">
        <v>8361</v>
      </c>
      <c r="F390" s="47" t="s">
        <v>8362</v>
      </c>
      <c r="G390" s="47" t="s">
        <v>200</v>
      </c>
      <c r="H390" s="47" t="str">
        <f t="shared" si="17"/>
        <v>SHOPIAN</v>
      </c>
      <c r="I390" s="47" t="s">
        <v>8369</v>
      </c>
      <c r="J390" s="48">
        <v>46043</v>
      </c>
      <c r="K390" s="47">
        <v>9906439950</v>
      </c>
      <c r="L390" s="47" t="s">
        <v>7959</v>
      </c>
      <c r="M390" s="49"/>
      <c r="N390" s="48"/>
      <c r="O390" s="47" t="s">
        <v>23</v>
      </c>
      <c r="P390" s="50">
        <v>46043</v>
      </c>
      <c r="Q390" s="47" t="s">
        <v>8167</v>
      </c>
      <c r="R390" s="47" t="s">
        <v>8372</v>
      </c>
    </row>
    <row r="391" spans="1:18" x14ac:dyDescent="0.25">
      <c r="A391" s="47">
        <f t="shared" si="15"/>
        <v>390</v>
      </c>
      <c r="B391" s="47" t="s">
        <v>8366</v>
      </c>
      <c r="C391" s="47" t="s">
        <v>8363</v>
      </c>
      <c r="D391" s="47" t="s">
        <v>8364</v>
      </c>
      <c r="E391" s="47" t="s">
        <v>8365</v>
      </c>
      <c r="F391" s="47" t="s">
        <v>8362</v>
      </c>
      <c r="G391" s="47" t="s">
        <v>200</v>
      </c>
      <c r="H391" s="47" t="str">
        <f t="shared" si="17"/>
        <v>SRINAGAR</v>
      </c>
      <c r="I391" s="47" t="s">
        <v>8367</v>
      </c>
      <c r="J391" s="48">
        <v>46043</v>
      </c>
      <c r="K391" s="47">
        <v>8899953394</v>
      </c>
      <c r="L391" s="47" t="s">
        <v>75</v>
      </c>
      <c r="M391" s="49" t="s">
        <v>7455</v>
      </c>
      <c r="N391" s="48">
        <v>46043</v>
      </c>
      <c r="O391" s="47" t="s">
        <v>23</v>
      </c>
      <c r="P391" s="50">
        <v>46043</v>
      </c>
      <c r="Q391" s="47" t="s">
        <v>6460</v>
      </c>
      <c r="R391" s="47"/>
    </row>
    <row r="392" spans="1:18" x14ac:dyDescent="0.25">
      <c r="A392" s="47">
        <f t="shared" si="15"/>
        <v>391</v>
      </c>
      <c r="B392" s="47" t="s">
        <v>8384</v>
      </c>
      <c r="C392" s="47" t="s">
        <v>8385</v>
      </c>
      <c r="D392" s="47" t="s">
        <v>8386</v>
      </c>
      <c r="E392" s="47" t="s">
        <v>8387</v>
      </c>
      <c r="F392" s="47" t="s">
        <v>12</v>
      </c>
      <c r="G392" s="47" t="s">
        <v>181</v>
      </c>
      <c r="H392" s="47" t="str">
        <f t="shared" si="17"/>
        <v>SRINAGAR</v>
      </c>
      <c r="I392" s="47" t="s">
        <v>8388</v>
      </c>
      <c r="J392" s="48">
        <v>46043</v>
      </c>
      <c r="K392" s="47">
        <v>7889670084</v>
      </c>
      <c r="L392" s="47" t="s">
        <v>307</v>
      </c>
      <c r="M392" s="49" t="s">
        <v>8093</v>
      </c>
      <c r="N392" s="48">
        <v>46046</v>
      </c>
      <c r="O392" s="47" t="s">
        <v>23</v>
      </c>
      <c r="P392" s="50">
        <v>46044</v>
      </c>
      <c r="Q392" s="47" t="s">
        <v>6460</v>
      </c>
      <c r="R392" s="47"/>
    </row>
    <row r="393" spans="1:18" x14ac:dyDescent="0.25">
      <c r="A393" s="47">
        <f t="shared" si="15"/>
        <v>392</v>
      </c>
      <c r="B393" s="47" t="s">
        <v>8394</v>
      </c>
      <c r="C393" s="47" t="s">
        <v>8391</v>
      </c>
      <c r="D393" s="47" t="s">
        <v>8392</v>
      </c>
      <c r="E393" s="47" t="s">
        <v>8393</v>
      </c>
      <c r="F393" s="47" t="s">
        <v>125</v>
      </c>
      <c r="G393" s="47" t="s">
        <v>174</v>
      </c>
      <c r="H393" s="47" t="str">
        <f t="shared" si="17"/>
        <v>PULWAMA</v>
      </c>
      <c r="I393" s="47" t="s">
        <v>8395</v>
      </c>
      <c r="J393" s="48">
        <v>46044</v>
      </c>
      <c r="K393" s="47">
        <v>9622626268</v>
      </c>
      <c r="L393" s="47" t="s">
        <v>6521</v>
      </c>
      <c r="M393" s="49"/>
      <c r="N393" s="48"/>
      <c r="O393" s="47"/>
      <c r="P393" s="50"/>
      <c r="Q393" s="47"/>
      <c r="R393" s="47" t="s">
        <v>8372</v>
      </c>
    </row>
    <row r="394" spans="1:18" x14ac:dyDescent="0.25">
      <c r="A394" s="47">
        <f t="shared" si="15"/>
        <v>393</v>
      </c>
      <c r="B394" s="47" t="s">
        <v>8401</v>
      </c>
      <c r="C394" s="47" t="s">
        <v>8397</v>
      </c>
      <c r="D394" s="47" t="s">
        <v>8398</v>
      </c>
      <c r="E394" s="47" t="s">
        <v>8399</v>
      </c>
      <c r="F394" s="47" t="s">
        <v>849</v>
      </c>
      <c r="G394" s="47" t="s">
        <v>200</v>
      </c>
      <c r="H394" s="47" t="str">
        <f t="shared" si="17"/>
        <v>SRINAGAR</v>
      </c>
      <c r="I394" s="47" t="s">
        <v>8400</v>
      </c>
      <c r="J394" s="48">
        <v>46049</v>
      </c>
      <c r="K394" s="47">
        <v>7889538703</v>
      </c>
      <c r="L394" s="47" t="s">
        <v>26</v>
      </c>
      <c r="M394" s="49" t="s">
        <v>7775</v>
      </c>
      <c r="N394" s="48">
        <v>46049</v>
      </c>
      <c r="O394" s="47" t="s">
        <v>23</v>
      </c>
      <c r="P394" s="50">
        <v>46049</v>
      </c>
      <c r="Q394" s="47" t="s">
        <v>6460</v>
      </c>
      <c r="R394" s="47"/>
    </row>
    <row r="395" spans="1:18" x14ac:dyDescent="0.25">
      <c r="A395" s="47">
        <f t="shared" si="15"/>
        <v>394</v>
      </c>
      <c r="B395" s="47" t="s">
        <v>8406</v>
      </c>
      <c r="C395" s="47" t="s">
        <v>8403</v>
      </c>
      <c r="D395" s="47" t="s">
        <v>8404</v>
      </c>
      <c r="E395" s="47" t="s">
        <v>8405</v>
      </c>
      <c r="F395" s="47" t="s">
        <v>31</v>
      </c>
      <c r="G395" s="47" t="s">
        <v>175</v>
      </c>
      <c r="H395" s="47" t="str">
        <f t="shared" si="17"/>
        <v>BUDGAM</v>
      </c>
      <c r="I395" s="47" t="s">
        <v>8414</v>
      </c>
      <c r="J395" s="48">
        <v>46050</v>
      </c>
      <c r="K395" s="47">
        <v>6006516082</v>
      </c>
      <c r="L395" s="47" t="s">
        <v>61</v>
      </c>
      <c r="M395" s="49"/>
      <c r="N395" s="48"/>
      <c r="O395" s="47"/>
      <c r="P395" s="50"/>
      <c r="Q395" s="47"/>
      <c r="R395" s="47"/>
    </row>
    <row r="396" spans="1:18" x14ac:dyDescent="0.25">
      <c r="A396" s="47">
        <f t="shared" si="15"/>
        <v>395</v>
      </c>
      <c r="B396" s="47" t="s">
        <v>8410</v>
      </c>
      <c r="C396" s="47" t="s">
        <v>8407</v>
      </c>
      <c r="D396" s="47" t="s">
        <v>8408</v>
      </c>
      <c r="E396" s="47" t="s">
        <v>8409</v>
      </c>
      <c r="F396" s="47" t="s">
        <v>5</v>
      </c>
      <c r="G396" s="47" t="s">
        <v>174</v>
      </c>
      <c r="H396" s="47" t="str">
        <f t="shared" si="17"/>
        <v>ANANTNAG</v>
      </c>
      <c r="I396" s="47" t="s">
        <v>8415</v>
      </c>
      <c r="J396" s="48">
        <v>46050</v>
      </c>
      <c r="K396" s="47">
        <v>7889844675</v>
      </c>
      <c r="L396" s="47" t="s">
        <v>26</v>
      </c>
      <c r="M396" s="49"/>
      <c r="N396" s="48"/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5"/>
        <v>396</v>
      </c>
      <c r="B397" s="47" t="s">
        <v>8413</v>
      </c>
      <c r="C397" s="47" t="s">
        <v>8411</v>
      </c>
      <c r="D397" s="47" t="s">
        <v>8412</v>
      </c>
      <c r="E397" s="47" t="s">
        <v>8176</v>
      </c>
      <c r="F397" s="47" t="s">
        <v>37</v>
      </c>
      <c r="G397" s="47" t="s">
        <v>181</v>
      </c>
      <c r="H397" s="47" t="str">
        <f t="shared" ref="H397:H409" si="18">IF(LEFT(I397,4)="JK13","PULWAMA",IF(LEFT(I397,4)="JK01","SRINAGAR",IF(LEFT(I397,4)="JK04","BUDGAM",IF(LEFT(I397,4)="JK03","ANANTNAG",IF(LEFT(I397,4)="JK05","BARAMULLA",IF(LEFT(I397,4)="26BH","BHARAT",IF(LEFT(I397,4)="25BH","BHARAT",IF(LEFT(I397,4)="JK12","POONCH",IF(LEFT(I397,4)="JK18","KULGAM",IF(LEFT(I397,4)="JK22","SHOPIAN",IF(LEFT(I397,4)="JK02","JAMMU",IF(LEFT(I397,4)="JK09","KUPWARA",IF(LEFT(I397,4)="JK15","BANDIPORA",IF(LEFT(I397,4)="JK17","KISHTWAR",IF(LEFT(I397,4)="LA01","KARGIL",IF(LEFT(I397,1)="T","TEMP","NEW"))))))))))))))))</f>
        <v>PULWAMA</v>
      </c>
      <c r="I397" s="47" t="s">
        <v>8416</v>
      </c>
      <c r="J397" s="48">
        <v>46050</v>
      </c>
      <c r="K397" s="47">
        <v>7006154741</v>
      </c>
      <c r="L397" s="47" t="s">
        <v>26</v>
      </c>
      <c r="M397" s="49"/>
      <c r="N397" s="48"/>
      <c r="O397" s="47" t="s">
        <v>23</v>
      </c>
      <c r="P397" s="50">
        <v>46050</v>
      </c>
      <c r="Q397" s="47" t="s">
        <v>6460</v>
      </c>
      <c r="R397" s="47"/>
    </row>
    <row r="398" spans="1:18" x14ac:dyDescent="0.25">
      <c r="A398" s="47">
        <f t="shared" si="15"/>
        <v>397</v>
      </c>
      <c r="B398" s="47" t="s">
        <v>8417</v>
      </c>
      <c r="C398" s="47" t="s">
        <v>8418</v>
      </c>
      <c r="D398" s="47" t="s">
        <v>8419</v>
      </c>
      <c r="E398" s="47" t="s">
        <v>8420</v>
      </c>
      <c r="F398" s="47" t="s">
        <v>5</v>
      </c>
      <c r="G398" s="47" t="s">
        <v>199</v>
      </c>
      <c r="H398" s="47" t="str">
        <f t="shared" si="18"/>
        <v>PULWAMA</v>
      </c>
      <c r="I398" s="47" t="s">
        <v>8426</v>
      </c>
      <c r="J398" s="48">
        <v>46050</v>
      </c>
      <c r="K398" s="47">
        <v>7889353093</v>
      </c>
      <c r="L398" s="47" t="s">
        <v>6807</v>
      </c>
      <c r="M398" s="49"/>
      <c r="N398" s="48"/>
      <c r="O398" s="47"/>
      <c r="P398" s="50"/>
      <c r="Q398" s="47"/>
      <c r="R398" s="47" t="s">
        <v>8477</v>
      </c>
    </row>
    <row r="399" spans="1:18" x14ac:dyDescent="0.25">
      <c r="A399" s="47">
        <f t="shared" si="15"/>
        <v>398</v>
      </c>
      <c r="B399" s="47" t="s">
        <v>8424</v>
      </c>
      <c r="C399" s="47" t="s">
        <v>8421</v>
      </c>
      <c r="D399" s="47" t="s">
        <v>8422</v>
      </c>
      <c r="E399" s="47" t="s">
        <v>8423</v>
      </c>
      <c r="F399" s="47" t="s">
        <v>290</v>
      </c>
      <c r="G399" s="47" t="s">
        <v>200</v>
      </c>
      <c r="H399" s="47" t="str">
        <f t="shared" si="18"/>
        <v>SHOPIAN</v>
      </c>
      <c r="I399" s="47" t="s">
        <v>8425</v>
      </c>
      <c r="J399" s="48">
        <v>46050</v>
      </c>
      <c r="K399" s="47">
        <v>6005048054</v>
      </c>
      <c r="L399" s="47" t="s">
        <v>7959</v>
      </c>
      <c r="M399" s="49"/>
      <c r="N399" s="48"/>
      <c r="O399" s="47"/>
      <c r="P399" s="50"/>
      <c r="Q399" s="47"/>
      <c r="R399" s="47"/>
    </row>
    <row r="400" spans="1:18" x14ac:dyDescent="0.25">
      <c r="A400" s="47">
        <f t="shared" si="15"/>
        <v>399</v>
      </c>
      <c r="B400" s="47" t="s">
        <v>8430</v>
      </c>
      <c r="C400" s="47" t="s">
        <v>8431</v>
      </c>
      <c r="D400" s="47" t="s">
        <v>8432</v>
      </c>
      <c r="E400" s="47" t="s">
        <v>8433</v>
      </c>
      <c r="F400" s="47" t="s">
        <v>8434</v>
      </c>
      <c r="G400" s="47" t="s">
        <v>199</v>
      </c>
      <c r="H400" s="47" t="str">
        <f t="shared" si="18"/>
        <v>SRINAGAR</v>
      </c>
      <c r="I400" s="47" t="s">
        <v>8453</v>
      </c>
      <c r="J400" s="48">
        <v>46051</v>
      </c>
      <c r="K400" s="47">
        <v>9596194280</v>
      </c>
      <c r="L400" s="47" t="s">
        <v>26</v>
      </c>
      <c r="M400" s="49"/>
      <c r="N400" s="48"/>
      <c r="O400" s="47" t="s">
        <v>23</v>
      </c>
      <c r="P400" s="50">
        <v>46051</v>
      </c>
      <c r="Q400" s="47" t="s">
        <v>8167</v>
      </c>
      <c r="R400" s="47"/>
    </row>
    <row r="401" spans="1:18" x14ac:dyDescent="0.25">
      <c r="A401" s="47">
        <f t="shared" si="15"/>
        <v>400</v>
      </c>
      <c r="B401" s="47" t="s">
        <v>8438</v>
      </c>
      <c r="C401" s="47" t="s">
        <v>8437</v>
      </c>
      <c r="D401" s="47" t="s">
        <v>8436</v>
      </c>
      <c r="E401" s="47" t="s">
        <v>3561</v>
      </c>
      <c r="F401" s="47" t="s">
        <v>8434</v>
      </c>
      <c r="G401" s="47" t="s">
        <v>199</v>
      </c>
      <c r="H401" s="47" t="str">
        <f t="shared" si="18"/>
        <v>SRINAGAR</v>
      </c>
      <c r="I401" s="47" t="s">
        <v>8435</v>
      </c>
      <c r="J401" s="48">
        <v>46051</v>
      </c>
      <c r="K401" s="47">
        <v>9419590443</v>
      </c>
      <c r="L401" s="47" t="s">
        <v>307</v>
      </c>
      <c r="M401" s="49"/>
      <c r="N401" s="48"/>
      <c r="O401" s="47" t="s">
        <v>23</v>
      </c>
      <c r="P401" s="50">
        <v>46051</v>
      </c>
      <c r="Q401" s="47" t="s">
        <v>8167</v>
      </c>
      <c r="R401" s="47"/>
    </row>
    <row r="402" spans="1:18" x14ac:dyDescent="0.25">
      <c r="A402" s="47">
        <f t="shared" si="15"/>
        <v>401</v>
      </c>
      <c r="B402" s="47" t="s">
        <v>8439</v>
      </c>
      <c r="C402" s="47" t="s">
        <v>8440</v>
      </c>
      <c r="D402" s="47" t="s">
        <v>8441</v>
      </c>
      <c r="E402" s="47" t="s">
        <v>8442</v>
      </c>
      <c r="F402" s="47" t="s">
        <v>8443</v>
      </c>
      <c r="G402" s="47" t="s">
        <v>226</v>
      </c>
      <c r="H402" s="47" t="str">
        <f t="shared" si="18"/>
        <v>BUDGAM</v>
      </c>
      <c r="I402" s="47" t="s">
        <v>8451</v>
      </c>
      <c r="J402" s="48">
        <v>46051</v>
      </c>
      <c r="K402" s="47">
        <v>8491887577</v>
      </c>
      <c r="L402" s="47" t="s">
        <v>75</v>
      </c>
      <c r="M402" s="49"/>
      <c r="N402" s="48"/>
      <c r="O402" s="47"/>
      <c r="P402" s="50"/>
      <c r="Q402" s="47"/>
      <c r="R402" s="47"/>
    </row>
    <row r="403" spans="1:18" x14ac:dyDescent="0.25">
      <c r="A403" s="47">
        <f t="shared" si="15"/>
        <v>402</v>
      </c>
      <c r="B403" s="47" t="s">
        <v>8444</v>
      </c>
      <c r="C403" s="47" t="s">
        <v>8445</v>
      </c>
      <c r="D403" s="47" t="s">
        <v>8446</v>
      </c>
      <c r="E403" s="47" t="s">
        <v>8447</v>
      </c>
      <c r="F403" s="47" t="s">
        <v>8443</v>
      </c>
      <c r="G403" s="47" t="s">
        <v>181</v>
      </c>
      <c r="H403" s="47" t="str">
        <f t="shared" si="18"/>
        <v>BUDGAM</v>
      </c>
      <c r="I403" s="47" t="s">
        <v>8452</v>
      </c>
      <c r="J403" s="48">
        <v>46051</v>
      </c>
      <c r="K403" s="47">
        <v>7006260958</v>
      </c>
      <c r="L403" s="47" t="s">
        <v>75</v>
      </c>
      <c r="M403" s="49"/>
      <c r="N403" s="48"/>
      <c r="O403" s="47"/>
      <c r="P403" s="50"/>
      <c r="Q403" s="47"/>
      <c r="R403" s="47"/>
    </row>
    <row r="404" spans="1:18" x14ac:dyDescent="0.25">
      <c r="A404" s="47">
        <f t="shared" si="15"/>
        <v>403</v>
      </c>
      <c r="B404" s="47" t="s">
        <v>8448</v>
      </c>
      <c r="C404" s="47" t="s">
        <v>8449</v>
      </c>
      <c r="D404" s="47" t="s">
        <v>8450</v>
      </c>
      <c r="E404" s="47" t="s">
        <v>5451</v>
      </c>
      <c r="F404" s="47" t="s">
        <v>31</v>
      </c>
      <c r="G404" s="47" t="s">
        <v>199</v>
      </c>
      <c r="H404" s="47" t="str">
        <f t="shared" si="18"/>
        <v>PULWAMA</v>
      </c>
      <c r="I404" s="47" t="s">
        <v>8454</v>
      </c>
      <c r="J404" s="48">
        <v>46051</v>
      </c>
      <c r="K404" s="47">
        <v>9622820824</v>
      </c>
      <c r="L404" s="47" t="s">
        <v>6521</v>
      </c>
      <c r="M404" s="49"/>
      <c r="N404" s="48"/>
      <c r="O404" s="47"/>
      <c r="P404" s="50"/>
      <c r="Q404" s="47"/>
      <c r="R404" s="47" t="s">
        <v>8477</v>
      </c>
    </row>
    <row r="405" spans="1:18" x14ac:dyDescent="0.25">
      <c r="A405" s="47">
        <f t="shared" si="15"/>
        <v>404</v>
      </c>
      <c r="B405" s="47" t="s">
        <v>8458</v>
      </c>
      <c r="C405" s="47" t="s">
        <v>8455</v>
      </c>
      <c r="D405" s="47" t="s">
        <v>8456</v>
      </c>
      <c r="E405" s="47" t="s">
        <v>8457</v>
      </c>
      <c r="F405" s="47" t="s">
        <v>67</v>
      </c>
      <c r="G405" s="47" t="s">
        <v>199</v>
      </c>
      <c r="H405" s="47" t="str">
        <f t="shared" si="18"/>
        <v>BARAMULLA</v>
      </c>
      <c r="I405" s="47" t="s">
        <v>8466</v>
      </c>
      <c r="J405" s="48">
        <v>46051</v>
      </c>
      <c r="K405" s="47">
        <v>9149943016</v>
      </c>
      <c r="L405" s="47" t="s">
        <v>75</v>
      </c>
      <c r="M405" s="49"/>
      <c r="N405" s="48"/>
      <c r="O405" s="47"/>
      <c r="P405" s="50"/>
      <c r="Q405" s="47"/>
      <c r="R405" s="47"/>
    </row>
    <row r="406" spans="1:18" x14ac:dyDescent="0.25">
      <c r="A406" s="47">
        <f t="shared" si="15"/>
        <v>405</v>
      </c>
      <c r="B406" s="47" t="s">
        <v>8459</v>
      </c>
      <c r="C406" s="47" t="s">
        <v>8460</v>
      </c>
      <c r="D406" s="47" t="s">
        <v>8461</v>
      </c>
      <c r="E406" s="47" t="s">
        <v>4781</v>
      </c>
      <c r="F406" s="47" t="s">
        <v>125</v>
      </c>
      <c r="G406" s="47" t="s">
        <v>175</v>
      </c>
      <c r="H406" s="47" t="str">
        <f t="shared" si="18"/>
        <v>SRINAGAR</v>
      </c>
      <c r="I406" s="47" t="s">
        <v>8467</v>
      </c>
      <c r="J406" s="48">
        <v>46051</v>
      </c>
      <c r="K406" s="47">
        <v>7006788825</v>
      </c>
      <c r="L406" s="47" t="s">
        <v>307</v>
      </c>
      <c r="M406" s="49"/>
      <c r="N406" s="48"/>
      <c r="O406" s="47"/>
      <c r="P406" s="50"/>
      <c r="Q406" s="47"/>
      <c r="R406" s="47"/>
    </row>
    <row r="407" spans="1:18" x14ac:dyDescent="0.25">
      <c r="A407" s="47">
        <f t="shared" si="15"/>
        <v>406</v>
      </c>
      <c r="B407" s="47" t="s">
        <v>8462</v>
      </c>
      <c r="C407" s="47" t="s">
        <v>8463</v>
      </c>
      <c r="D407" s="47" t="s">
        <v>8464</v>
      </c>
      <c r="E407" s="47" t="s">
        <v>8465</v>
      </c>
      <c r="F407" s="47" t="s">
        <v>5</v>
      </c>
      <c r="G407" s="47" t="s">
        <v>199</v>
      </c>
      <c r="H407" s="47" t="str">
        <f t="shared" si="18"/>
        <v>BUDGAM</v>
      </c>
      <c r="I407" s="47" t="s">
        <v>8468</v>
      </c>
      <c r="J407" s="48">
        <v>46051</v>
      </c>
      <c r="K407" s="47">
        <v>9055007706</v>
      </c>
      <c r="L407" s="47" t="s">
        <v>194</v>
      </c>
      <c r="M407" s="49"/>
      <c r="N407" s="48"/>
      <c r="O407" s="47" t="s">
        <v>23</v>
      </c>
      <c r="P407" s="50">
        <v>46051</v>
      </c>
      <c r="Q407" s="47" t="s">
        <v>8167</v>
      </c>
      <c r="R407" s="47"/>
    </row>
    <row r="408" spans="1:18" x14ac:dyDescent="0.25">
      <c r="A408" s="47">
        <f t="shared" si="15"/>
        <v>407</v>
      </c>
      <c r="B408" s="47" t="s">
        <v>8469</v>
      </c>
      <c r="C408" s="47" t="s">
        <v>8470</v>
      </c>
      <c r="D408" s="47" t="s">
        <v>8471</v>
      </c>
      <c r="E408" s="47" t="s">
        <v>8472</v>
      </c>
      <c r="F408" s="47" t="s">
        <v>67</v>
      </c>
      <c r="G408" s="47" t="s">
        <v>200</v>
      </c>
      <c r="H408" s="47" t="str">
        <f t="shared" si="18"/>
        <v>SRINAGAR</v>
      </c>
      <c r="I408" s="47" t="s">
        <v>8481</v>
      </c>
      <c r="J408" s="48">
        <v>46051</v>
      </c>
      <c r="K408" s="47">
        <v>9622217999</v>
      </c>
      <c r="L408" s="47" t="s">
        <v>43</v>
      </c>
      <c r="M408" s="49"/>
      <c r="N408" s="48"/>
      <c r="O408" s="47"/>
      <c r="P408" s="50"/>
      <c r="Q408" s="47"/>
      <c r="R408" s="47"/>
    </row>
    <row r="409" spans="1:18" x14ac:dyDescent="0.25">
      <c r="A409" s="47">
        <f t="shared" si="15"/>
        <v>408</v>
      </c>
      <c r="B409" s="47" t="s">
        <v>8473</v>
      </c>
      <c r="C409" s="47" t="s">
        <v>8474</v>
      </c>
      <c r="D409" s="47" t="s">
        <v>8475</v>
      </c>
      <c r="E409" s="47" t="s">
        <v>8476</v>
      </c>
      <c r="F409" s="47" t="s">
        <v>31</v>
      </c>
      <c r="G409" s="47" t="s">
        <v>175</v>
      </c>
      <c r="H409" s="47" t="str">
        <f t="shared" si="18"/>
        <v>SRINAGAR</v>
      </c>
      <c r="I409" s="47" t="s">
        <v>8482</v>
      </c>
      <c r="J409" s="48">
        <v>46051</v>
      </c>
      <c r="K409" s="47">
        <v>7006896658</v>
      </c>
      <c r="L409" s="47" t="s">
        <v>75</v>
      </c>
      <c r="M409" s="49"/>
      <c r="N409" s="48"/>
      <c r="O409" s="47"/>
      <c r="P409" s="50"/>
      <c r="Q409" s="47"/>
      <c r="R409" s="47"/>
    </row>
    <row r="410" spans="1:18" x14ac:dyDescent="0.25">
      <c r="A410" s="47">
        <f t="shared" si="15"/>
        <v>409</v>
      </c>
      <c r="B410" s="57"/>
      <c r="C410" s="57"/>
      <c r="D410" s="57"/>
      <c r="E410" s="57"/>
      <c r="F410" s="57"/>
      <c r="G410" s="57"/>
      <c r="H410" s="58" t="str">
        <f t="shared" ref="H410:H415" si="19">IF(LEFT(I410,4)="JK13","PULWAMA",IF(LEFT(I410,4)="JK01","SRINAGAR",IF(LEFT(I410,4)="JK04","BUDGAM",IF(LEFT(I410,4)="JK03","ANANTNAG",IF(LEFT(I410,4)="JK05","BARAMULLA",IF(LEFT(I410,4)="26BH","BHARAT",IF(LEFT(I410,4)="25BH","BHARAT",IF(LEFT(I410,4)="JK12","POONCH",IF(LEFT(I410,4)="JK18","KULGAM",IF(LEFT(I410,4)="JK22","SHOPIAN",IF(LEFT(I410,4)="JK02","JAMMU",IF(LEFT(I410,4)="JK09","KUPWARA",IF(LEFT(I410,4)="JK15","BANDIPORA",IF(LEFT(I410,4)="JK17","KISHTWAR",IF(LEFT(I410,4)="LA01","KARGIL",IF(LEFT(I410,1)="T","TEMP","NEW"))))))))))))))))</f>
        <v>NEW</v>
      </c>
      <c r="I410" s="57"/>
      <c r="J410" s="59"/>
      <c r="K410" s="60"/>
      <c r="L410" s="57"/>
      <c r="M410" s="61"/>
      <c r="N410" s="59"/>
      <c r="O410" s="57"/>
      <c r="P410" s="62"/>
      <c r="Q410" s="57"/>
      <c r="R410" s="57"/>
    </row>
    <row r="411" spans="1:18" x14ac:dyDescent="0.25">
      <c r="A411" s="47">
        <f t="shared" si="15"/>
        <v>410</v>
      </c>
      <c r="B411" s="57"/>
      <c r="C411" s="57"/>
      <c r="D411" s="57"/>
      <c r="E411" s="57"/>
      <c r="F411" s="57"/>
      <c r="G411" s="57"/>
      <c r="H411" s="58" t="str">
        <f t="shared" si="19"/>
        <v>NEW</v>
      </c>
      <c r="I411" s="57"/>
      <c r="J411" s="59"/>
      <c r="K411" s="60"/>
      <c r="L411" s="57"/>
      <c r="M411" s="61"/>
      <c r="N411" s="59"/>
      <c r="O411" s="57"/>
      <c r="P411" s="62"/>
      <c r="Q411" s="57"/>
      <c r="R411" s="57"/>
    </row>
    <row r="412" spans="1:18" x14ac:dyDescent="0.25">
      <c r="A412" s="47">
        <f t="shared" si="15"/>
        <v>411</v>
      </c>
      <c r="B412" s="57"/>
      <c r="C412" s="57"/>
      <c r="D412" s="57"/>
      <c r="E412" s="57"/>
      <c r="F412" s="57"/>
      <c r="G412" s="57"/>
      <c r="H412" s="58" t="str">
        <f t="shared" si="19"/>
        <v>NEW</v>
      </c>
      <c r="I412" s="57"/>
      <c r="J412" s="59"/>
      <c r="K412" s="60"/>
      <c r="L412" s="57"/>
      <c r="M412" s="61"/>
      <c r="N412" s="59"/>
      <c r="O412" s="57"/>
      <c r="P412" s="62"/>
      <c r="Q412" s="57"/>
      <c r="R412" s="57"/>
    </row>
    <row r="413" spans="1:18" x14ac:dyDescent="0.25">
      <c r="A413" s="47">
        <f t="shared" si="15"/>
        <v>412</v>
      </c>
      <c r="B413" s="57"/>
      <c r="C413" s="57"/>
      <c r="D413" s="57"/>
      <c r="E413" s="57"/>
      <c r="F413" s="57"/>
      <c r="G413" s="57"/>
      <c r="H413" s="58" t="str">
        <f t="shared" si="19"/>
        <v>NEW</v>
      </c>
      <c r="I413" s="57"/>
      <c r="J413" s="59"/>
      <c r="K413" s="60"/>
      <c r="L413" s="57"/>
      <c r="M413" s="61"/>
      <c r="N413" s="59"/>
      <c r="O413" s="57"/>
      <c r="P413" s="62"/>
      <c r="Q413" s="57"/>
      <c r="R413" s="57"/>
    </row>
    <row r="414" spans="1:18" x14ac:dyDescent="0.25">
      <c r="A414" s="47">
        <f t="shared" si="15"/>
        <v>413</v>
      </c>
      <c r="B414" s="57"/>
      <c r="C414" s="57"/>
      <c r="D414" s="57"/>
      <c r="E414" s="57"/>
      <c r="F414" s="57"/>
      <c r="G414" s="57"/>
      <c r="H414" s="58" t="str">
        <f t="shared" si="19"/>
        <v>NEW</v>
      </c>
      <c r="I414" s="57"/>
      <c r="J414" s="59"/>
      <c r="K414" s="60"/>
      <c r="L414" s="57"/>
      <c r="M414" s="61"/>
      <c r="N414" s="59"/>
      <c r="O414" s="57"/>
      <c r="P414" s="62"/>
      <c r="Q414" s="57"/>
      <c r="R414" s="57"/>
    </row>
    <row r="415" spans="1:18" x14ac:dyDescent="0.25">
      <c r="A415" s="47">
        <f t="shared" si="15"/>
        <v>414</v>
      </c>
      <c r="B415" s="57"/>
      <c r="C415" s="57"/>
      <c r="D415" s="57"/>
      <c r="E415" s="57"/>
      <c r="F415" s="57"/>
      <c r="G415" s="57"/>
      <c r="H415" s="58" t="str">
        <f t="shared" si="19"/>
        <v>NEW</v>
      </c>
      <c r="I415" s="57"/>
      <c r="J415" s="59"/>
      <c r="K415" s="60"/>
      <c r="L415" s="57"/>
      <c r="M415" s="61"/>
      <c r="N415" s="59"/>
      <c r="O415" s="57"/>
      <c r="P415" s="62"/>
      <c r="Q415" s="57"/>
      <c r="R415" s="57"/>
    </row>
    <row r="416" spans="1:18" ht="15.75" x14ac:dyDescent="0.25">
      <c r="B416" s="47"/>
      <c r="C416" s="47"/>
      <c r="D416" s="47"/>
      <c r="E416" s="47"/>
      <c r="F416" s="47"/>
      <c r="G416" s="47"/>
      <c r="H416" s="1"/>
      <c r="I416" s="55"/>
      <c r="J416" s="19"/>
      <c r="K416" s="47"/>
      <c r="M416" t="s">
        <v>44</v>
      </c>
    </row>
    <row r="417" spans="1:17" ht="15.75" x14ac:dyDescent="0.25">
      <c r="F417" s="1"/>
      <c r="G417" s="1"/>
      <c r="H417" s="1"/>
      <c r="I417" s="20"/>
      <c r="K417" s="47"/>
    </row>
    <row r="418" spans="1:17" ht="15.75" x14ac:dyDescent="0.25">
      <c r="F418" s="1"/>
      <c r="G418" s="1"/>
      <c r="H418" s="1"/>
      <c r="I418" s="20"/>
      <c r="K418" s="47"/>
    </row>
    <row r="419" spans="1:17" ht="15.75" x14ac:dyDescent="0.25">
      <c r="F419" s="1"/>
      <c r="G419" s="1"/>
      <c r="H419" s="1"/>
      <c r="I419" s="20"/>
      <c r="K419" s="47"/>
    </row>
    <row r="420" spans="1:17" ht="15.75" x14ac:dyDescent="0.25">
      <c r="C420" s="1"/>
      <c r="D420" s="1"/>
      <c r="E420" s="1"/>
      <c r="F420" s="1"/>
      <c r="G420" s="1"/>
      <c r="H420" s="1"/>
      <c r="I420" s="20"/>
      <c r="K420" s="47"/>
    </row>
    <row r="421" spans="1:17" x14ac:dyDescent="0.25">
      <c r="A421" s="5"/>
      <c r="B421" s="6"/>
      <c r="C421" s="7"/>
      <c r="D421" s="7"/>
      <c r="E421" s="7"/>
      <c r="F421" s="7"/>
      <c r="G421" s="7"/>
      <c r="H421" s="7"/>
      <c r="I421" s="7"/>
      <c r="J421" s="7"/>
      <c r="K421" s="47"/>
      <c r="L421" s="7"/>
      <c r="M421" s="7"/>
      <c r="N421" s="7"/>
      <c r="O421" s="7"/>
      <c r="P421" s="7"/>
      <c r="Q421" s="7"/>
    </row>
    <row r="422" spans="1:17" x14ac:dyDescent="0.25">
      <c r="A422" s="5"/>
      <c r="B422" s="6"/>
      <c r="C422" s="7"/>
      <c r="D422" s="7"/>
      <c r="E422" s="7"/>
      <c r="F422" s="7"/>
      <c r="G422" s="7"/>
      <c r="H422" s="7"/>
      <c r="I422" s="7"/>
      <c r="J422" s="7"/>
      <c r="K422" s="47"/>
      <c r="L422" s="7"/>
      <c r="M422" s="7"/>
      <c r="N422" s="7"/>
      <c r="O422" s="7"/>
      <c r="P422" s="7"/>
      <c r="Q422" s="7"/>
    </row>
    <row r="423" spans="1:17" x14ac:dyDescent="0.25">
      <c r="K423" s="47"/>
    </row>
    <row r="424" spans="1:17" x14ac:dyDescent="0.25">
      <c r="K424" s="47"/>
    </row>
    <row r="425" spans="1:17" x14ac:dyDescent="0.25">
      <c r="K425" s="47"/>
    </row>
    <row r="426" spans="1:17" x14ac:dyDescent="0.25">
      <c r="K426" s="47"/>
    </row>
    <row r="427" spans="1:17" x14ac:dyDescent="0.25">
      <c r="K427" s="47"/>
    </row>
    <row r="428" spans="1:17" x14ac:dyDescent="0.25">
      <c r="K428" s="47"/>
    </row>
    <row r="429" spans="1:17" x14ac:dyDescent="0.25">
      <c r="K429" s="47"/>
    </row>
    <row r="430" spans="1:17" x14ac:dyDescent="0.25">
      <c r="K430" s="47"/>
    </row>
    <row r="431" spans="1:17" x14ac:dyDescent="0.25">
      <c r="K431" s="47"/>
    </row>
    <row r="432" spans="1:17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x14ac:dyDescent="0.25">
      <c r="K555" s="44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ht="15.75" x14ac:dyDescent="0.25">
      <c r="K591" s="19"/>
    </row>
    <row r="592" spans="11:11" ht="15.75" x14ac:dyDescent="0.25">
      <c r="K592" s="19"/>
    </row>
    <row r="593" spans="11:11" ht="15.75" x14ac:dyDescent="0.25">
      <c r="K593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09 I308:I317 J313:J314 I315:J328 I325:I332 K326:R375 J329:J333 I331:J332 I334:J360 I357:I368 J361:J368 I369:J375 K373:K378 I376:R376 I377:J377 L377:R377 I378:R385 J386:R386 I386:I392 J387:K391 D389:H389 B390:I393 J392 H393:J393 G394:H394 I394:J398 H395:H398 B416:G416 I416 B297:G405 B399:J409 L387:R409 K389:K409 K416:K505 A410:R415">
    <cfRule type="expression" dxfId="21" priority="8">
      <formula>CELL("row")=ROW()</formula>
    </cfRule>
  </conditionalFormatting>
  <conditionalFormatting sqref="B257:G290 B291:B300 C291:G301">
    <cfRule type="expression" dxfId="20" priority="6">
      <formula>CELL("row")=ROW()</formula>
    </cfRule>
  </conditionalFormatting>
  <conditionalFormatting sqref="F398">
    <cfRule type="expression" dxfId="19" priority="1">
      <formula>CELL("row")=ROW()</formula>
    </cfRule>
  </conditionalFormatting>
  <conditionalFormatting sqref="F326:G326">
    <cfRule type="expression" dxfId="18" priority="3">
      <formula>CELL("row")=ROW()</formula>
    </cfRule>
  </conditionalFormatting>
  <conditionalFormatting sqref="G266">
    <cfRule type="expression" dxfId="17" priority="5">
      <formula>CELL("row")=ROW()</formula>
    </cfRule>
  </conditionalFormatting>
  <conditionalFormatting sqref="K417:O427 L416:O416">
    <cfRule type="expression" dxfId="16" priority="17">
      <formula>ROW(M93)=HighlightRow</formula>
    </cfRule>
  </conditionalFormatting>
  <conditionalFormatting sqref="P416:Q427">
    <cfRule type="expression" dxfId="15" priority="21">
      <formula>ROW(S93)=HighlightRow</formula>
    </cfRule>
  </conditionalFormatting>
  <conditionalFormatting sqref="S105:XFD105">
    <cfRule type="expression" dxfId="14" priority="22">
      <formula>ROW(T94)=HighlightRow</formula>
    </cfRule>
  </conditionalFormatting>
  <conditionalFormatting sqref="S106:XFD114">
    <cfRule type="expression" dxfId="13" priority="19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P783" zoomScaleNormal="100" workbookViewId="0">
      <selection activeCell="U795" sqref="U79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8281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16"/>
  <sheetViews>
    <sheetView tabSelected="1" topLeftCell="A194" zoomScale="85" zoomScaleNormal="85" workbookViewId="0">
      <selection activeCell="E218" sqref="E21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8267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 t="s">
        <v>8429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11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8263</v>
      </c>
      <c r="C174" s="19">
        <v>9797723564</v>
      </c>
      <c r="D174" s="19" t="s">
        <v>8264</v>
      </c>
      <c r="E174" s="19" t="s">
        <v>8265</v>
      </c>
      <c r="F174" s="21">
        <v>46034</v>
      </c>
      <c r="G174" s="21" t="s">
        <v>8266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8272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5"/>
        <v>174</v>
      </c>
      <c r="B176" s="19"/>
      <c r="C176" s="19"/>
      <c r="D176" s="19" t="s">
        <v>8273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5"/>
        <v>175</v>
      </c>
      <c r="B177" s="19"/>
      <c r="C177" s="19"/>
      <c r="D177" s="19" t="s">
        <v>8274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5"/>
        <v>176</v>
      </c>
      <c r="B178" s="19"/>
      <c r="C178" s="19"/>
      <c r="D178" s="19" t="s">
        <v>8275</v>
      </c>
      <c r="E178" s="19"/>
      <c r="F178" s="21"/>
      <c r="G178" s="21" t="s">
        <v>342</v>
      </c>
      <c r="H178" s="19" t="s">
        <v>8167</v>
      </c>
    </row>
    <row r="179" spans="1:8" ht="15.75" x14ac:dyDescent="0.25">
      <c r="A179" s="19">
        <f t="shared" si="5"/>
        <v>177</v>
      </c>
      <c r="B179" s="19" t="s">
        <v>8380</v>
      </c>
      <c r="C179" s="19">
        <v>9797013003</v>
      </c>
      <c r="D179" s="19" t="s">
        <v>8276</v>
      </c>
      <c r="E179" s="19" t="s">
        <v>8381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8382</v>
      </c>
      <c r="C180" s="19">
        <v>7006747731</v>
      </c>
      <c r="D180" s="19" t="s">
        <v>8277</v>
      </c>
      <c r="E180" s="19" t="s">
        <v>8383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5"/>
        <v>179</v>
      </c>
      <c r="B181" s="19" t="s">
        <v>7958</v>
      </c>
      <c r="C181" s="19">
        <v>9682505719</v>
      </c>
      <c r="D181" s="19" t="s">
        <v>8278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5"/>
        <v>180</v>
      </c>
      <c r="B182" s="19" t="s">
        <v>8268</v>
      </c>
      <c r="C182" s="19">
        <v>9596935377</v>
      </c>
      <c r="D182" s="19" t="s">
        <v>8269</v>
      </c>
      <c r="E182" s="19" t="s">
        <v>8270</v>
      </c>
      <c r="F182" s="21">
        <v>46035</v>
      </c>
      <c r="G182" s="21" t="s">
        <v>8271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8280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8300</v>
      </c>
      <c r="C191" s="19">
        <v>9622544857</v>
      </c>
      <c r="D191" s="19" t="s">
        <v>8301</v>
      </c>
      <c r="E191" s="19" t="s">
        <v>8296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8311</v>
      </c>
      <c r="E192" s="19" t="s">
        <v>8310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8324</v>
      </c>
      <c r="C193" s="19">
        <v>9797811436</v>
      </c>
      <c r="D193" s="19" t="s">
        <v>8323</v>
      </c>
      <c r="E193" s="19" t="s">
        <v>8312</v>
      </c>
      <c r="F193" s="21">
        <v>46041</v>
      </c>
      <c r="G193" s="21" t="s">
        <v>341</v>
      </c>
      <c r="H193" s="19" t="s">
        <v>6665</v>
      </c>
    </row>
    <row r="194" spans="1:8" ht="15.75" x14ac:dyDescent="0.25">
      <c r="A194" s="19">
        <f t="shared" si="5"/>
        <v>192</v>
      </c>
      <c r="B194" s="19" t="s">
        <v>8320</v>
      </c>
      <c r="C194" s="19">
        <v>9797865646</v>
      </c>
      <c r="D194" s="19" t="s">
        <v>8343</v>
      </c>
      <c r="E194" s="19" t="s">
        <v>8322</v>
      </c>
      <c r="F194" s="21">
        <v>46042</v>
      </c>
      <c r="G194" s="21" t="s">
        <v>341</v>
      </c>
      <c r="H194" s="19" t="s">
        <v>6665</v>
      </c>
    </row>
    <row r="195" spans="1:8" ht="15.75" x14ac:dyDescent="0.25">
      <c r="A195" s="19">
        <f t="shared" si="5"/>
        <v>193</v>
      </c>
      <c r="B195" s="19" t="s">
        <v>8298</v>
      </c>
      <c r="C195" s="19">
        <v>7022282286</v>
      </c>
      <c r="D195" s="19" t="s">
        <v>8344</v>
      </c>
      <c r="E195" s="19" t="s">
        <v>8325</v>
      </c>
      <c r="F195" s="21">
        <v>46042</v>
      </c>
      <c r="G195" s="21" t="s">
        <v>341</v>
      </c>
      <c r="H195" s="19" t="s">
        <v>6665</v>
      </c>
    </row>
    <row r="196" spans="1:8" ht="15.75" x14ac:dyDescent="0.25">
      <c r="A196" s="19">
        <f t="shared" si="5"/>
        <v>194</v>
      </c>
      <c r="B196" s="19" t="s">
        <v>8348</v>
      </c>
      <c r="C196" s="19">
        <v>7006287562</v>
      </c>
      <c r="D196" s="19" t="s">
        <v>8374</v>
      </c>
      <c r="E196" s="19" t="s">
        <v>8368</v>
      </c>
      <c r="F196" s="21">
        <v>46043</v>
      </c>
      <c r="G196" s="21" t="s">
        <v>341</v>
      </c>
      <c r="H196" s="19" t="s">
        <v>6665</v>
      </c>
    </row>
    <row r="197" spans="1:8" ht="15.75" x14ac:dyDescent="0.25">
      <c r="A197" s="19">
        <f t="shared" si="5"/>
        <v>195</v>
      </c>
      <c r="B197" s="19" t="s">
        <v>410</v>
      </c>
      <c r="C197" s="19">
        <v>9906774785</v>
      </c>
      <c r="D197" s="19" t="s">
        <v>8375</v>
      </c>
      <c r="E197" s="19" t="s">
        <v>8321</v>
      </c>
      <c r="F197" s="21">
        <v>46043</v>
      </c>
      <c r="G197" s="21" t="s">
        <v>341</v>
      </c>
      <c r="H197" s="19" t="s">
        <v>6665</v>
      </c>
    </row>
    <row r="198" spans="1:8" ht="15.75" x14ac:dyDescent="0.25">
      <c r="A198" s="19">
        <f t="shared" si="5"/>
        <v>196</v>
      </c>
      <c r="B198" s="19" t="s">
        <v>8365</v>
      </c>
      <c r="C198" s="19">
        <v>8899953394</v>
      </c>
      <c r="D198" s="19" t="s">
        <v>8376</v>
      </c>
      <c r="E198" s="19" t="s">
        <v>8367</v>
      </c>
      <c r="F198" s="21">
        <v>46043</v>
      </c>
      <c r="G198" s="21" t="s">
        <v>341</v>
      </c>
      <c r="H198" s="19" t="s">
        <v>6665</v>
      </c>
    </row>
    <row r="199" spans="1:8" ht="15.75" x14ac:dyDescent="0.25">
      <c r="A199" s="19">
        <f t="shared" si="5"/>
        <v>197</v>
      </c>
      <c r="B199" s="19" t="s">
        <v>3155</v>
      </c>
      <c r="C199" s="19">
        <v>9906655656</v>
      </c>
      <c r="D199" s="19" t="s">
        <v>8377</v>
      </c>
      <c r="E199" s="19" t="s">
        <v>8338</v>
      </c>
      <c r="F199" s="21">
        <v>46043</v>
      </c>
      <c r="G199" s="21" t="s">
        <v>341</v>
      </c>
      <c r="H199" s="19" t="s">
        <v>6665</v>
      </c>
    </row>
    <row r="200" spans="1:8" ht="15.75" x14ac:dyDescent="0.25">
      <c r="A200" s="19">
        <f t="shared" si="5"/>
        <v>198</v>
      </c>
      <c r="B200" s="19"/>
      <c r="C200" s="19"/>
      <c r="D200" s="19" t="s">
        <v>8378</v>
      </c>
      <c r="E200" s="19"/>
      <c r="F200" s="21">
        <v>46043</v>
      </c>
      <c r="G200" s="21" t="s">
        <v>342</v>
      </c>
      <c r="H200" s="19" t="s">
        <v>8167</v>
      </c>
    </row>
    <row r="201" spans="1:8" ht="15.75" x14ac:dyDescent="0.25">
      <c r="A201" s="19">
        <f t="shared" si="5"/>
        <v>199</v>
      </c>
      <c r="B201" s="19"/>
      <c r="C201" s="19"/>
      <c r="D201" s="19" t="s">
        <v>8379</v>
      </c>
      <c r="E201" s="19"/>
      <c r="F201" s="21">
        <v>46043</v>
      </c>
      <c r="G201" s="21" t="s">
        <v>342</v>
      </c>
      <c r="H201" s="19" t="s">
        <v>8167</v>
      </c>
    </row>
    <row r="202" spans="1:8" ht="15.75" x14ac:dyDescent="0.25">
      <c r="A202" s="19">
        <f t="shared" si="5"/>
        <v>200</v>
      </c>
      <c r="B202" s="19" t="s">
        <v>8387</v>
      </c>
      <c r="C202" s="19">
        <v>7889670084</v>
      </c>
      <c r="D202" s="19" t="s">
        <v>8396</v>
      </c>
      <c r="E202" s="19" t="s">
        <v>8388</v>
      </c>
      <c r="F202" s="21">
        <v>46044</v>
      </c>
      <c r="G202" s="21" t="s">
        <v>341</v>
      </c>
      <c r="H202" s="19" t="s">
        <v>6665</v>
      </c>
    </row>
    <row r="203" spans="1:8" ht="15.75" x14ac:dyDescent="0.25">
      <c r="A203" s="19">
        <f t="shared" si="5"/>
        <v>201</v>
      </c>
      <c r="B203" s="19" t="s">
        <v>8399</v>
      </c>
      <c r="C203" s="19">
        <v>7889538703</v>
      </c>
      <c r="D203" s="19" t="s">
        <v>8402</v>
      </c>
      <c r="E203" s="19" t="s">
        <v>8400</v>
      </c>
      <c r="F203" s="21">
        <v>46049</v>
      </c>
      <c r="G203" s="21" t="s">
        <v>341</v>
      </c>
      <c r="H203" s="19" t="s">
        <v>6665</v>
      </c>
    </row>
    <row r="204" spans="1:8" ht="15.75" x14ac:dyDescent="0.25">
      <c r="A204" s="19">
        <f t="shared" si="5"/>
        <v>202</v>
      </c>
      <c r="B204" s="19" t="s">
        <v>8176</v>
      </c>
      <c r="C204" s="19">
        <v>7006154741</v>
      </c>
      <c r="D204" s="19" t="s">
        <v>8427</v>
      </c>
      <c r="E204" s="19" t="s">
        <v>8416</v>
      </c>
      <c r="F204" s="21">
        <v>46050</v>
      </c>
      <c r="G204" s="21" t="s">
        <v>341</v>
      </c>
      <c r="H204" s="19" t="s">
        <v>6665</v>
      </c>
    </row>
    <row r="205" spans="1:8" ht="15.75" x14ac:dyDescent="0.25">
      <c r="A205" s="19">
        <f t="shared" si="5"/>
        <v>203</v>
      </c>
      <c r="B205" s="19" t="s">
        <v>8409</v>
      </c>
      <c r="C205" s="19">
        <v>7889844675</v>
      </c>
      <c r="D205" s="19" t="s">
        <v>8428</v>
      </c>
      <c r="E205" s="19" t="s">
        <v>8415</v>
      </c>
      <c r="F205" s="21">
        <v>46050</v>
      </c>
      <c r="G205" s="21" t="s">
        <v>341</v>
      </c>
      <c r="H205" s="19" t="s">
        <v>6665</v>
      </c>
    </row>
    <row r="206" spans="1:8" ht="15.75" x14ac:dyDescent="0.25">
      <c r="A206" s="19">
        <f t="shared" si="5"/>
        <v>204</v>
      </c>
      <c r="B206" s="47" t="s">
        <v>3561</v>
      </c>
      <c r="C206" s="19"/>
      <c r="D206" s="19" t="s">
        <v>8478</v>
      </c>
      <c r="E206" s="47" t="s">
        <v>8435</v>
      </c>
      <c r="F206" s="21">
        <v>46051</v>
      </c>
      <c r="G206" s="21" t="s">
        <v>341</v>
      </c>
      <c r="H206" s="19" t="s">
        <v>8167</v>
      </c>
    </row>
    <row r="207" spans="1:8" ht="15.75" x14ac:dyDescent="0.25">
      <c r="A207" s="19">
        <f t="shared" si="5"/>
        <v>205</v>
      </c>
      <c r="B207" s="47" t="s">
        <v>8433</v>
      </c>
      <c r="C207" s="47">
        <v>9596194280</v>
      </c>
      <c r="D207" s="19" t="s">
        <v>8479</v>
      </c>
      <c r="E207" s="47" t="s">
        <v>8453</v>
      </c>
      <c r="F207" s="21">
        <v>46051</v>
      </c>
      <c r="G207" s="21" t="s">
        <v>341</v>
      </c>
      <c r="H207" s="19" t="s">
        <v>8167</v>
      </c>
    </row>
    <row r="208" spans="1:8" ht="15.75" x14ac:dyDescent="0.25">
      <c r="A208" s="19">
        <f t="shared" si="5"/>
        <v>206</v>
      </c>
      <c r="B208" s="47" t="s">
        <v>8465</v>
      </c>
      <c r="C208" s="47">
        <v>9055007706</v>
      </c>
      <c r="D208" s="19" t="s">
        <v>8480</v>
      </c>
      <c r="E208" s="47" t="s">
        <v>8468</v>
      </c>
      <c r="F208" s="21">
        <v>46051</v>
      </c>
      <c r="G208" s="21" t="s">
        <v>341</v>
      </c>
      <c r="H208" s="19" t="s">
        <v>8167</v>
      </c>
    </row>
    <row r="209" spans="1:8" ht="15.75" x14ac:dyDescent="0.25">
      <c r="A209" s="19">
        <f t="shared" si="5"/>
        <v>207</v>
      </c>
      <c r="B209" s="19"/>
      <c r="C209" s="19"/>
      <c r="D209" s="19"/>
      <c r="E209" s="19"/>
      <c r="F209" s="21"/>
      <c r="G209" s="21"/>
      <c r="H209" s="19"/>
    </row>
    <row r="210" spans="1:8" ht="15.75" x14ac:dyDescent="0.25">
      <c r="A210" s="19">
        <f t="shared" si="5"/>
        <v>208</v>
      </c>
      <c r="B210" s="19"/>
      <c r="C210" s="19"/>
      <c r="D210" s="19"/>
      <c r="E210" s="19"/>
      <c r="F210" s="21"/>
      <c r="G210" s="21"/>
      <c r="H210" s="19"/>
    </row>
    <row r="211" spans="1:8" ht="15.75" x14ac:dyDescent="0.25">
      <c r="A211" s="19">
        <f t="shared" si="5"/>
        <v>209</v>
      </c>
      <c r="B211" s="19"/>
      <c r="C211" s="19"/>
      <c r="D211" s="19"/>
      <c r="E211" s="19"/>
      <c r="F211" s="21"/>
      <c r="G211" s="21"/>
      <c r="H211" s="19"/>
    </row>
    <row r="212" spans="1:8" ht="15.75" x14ac:dyDescent="0.25">
      <c r="B212" s="19"/>
      <c r="C212" s="19"/>
      <c r="D212" s="19"/>
      <c r="E212" s="19"/>
    </row>
    <row r="213" spans="1:8" ht="15.75" x14ac:dyDescent="0.25">
      <c r="B213" s="19"/>
      <c r="C213" s="19"/>
      <c r="D213" s="19"/>
      <c r="E213" s="19"/>
    </row>
    <row r="214" spans="1:8" ht="15.75" x14ac:dyDescent="0.25">
      <c r="B214" s="19"/>
      <c r="C214" s="19"/>
      <c r="D214" s="19"/>
      <c r="E214" s="19"/>
    </row>
    <row r="215" spans="1:8" ht="15.75" x14ac:dyDescent="0.25">
      <c r="B215" s="19"/>
      <c r="C215" s="19"/>
      <c r="D215" s="19"/>
    </row>
    <row r="216" spans="1:8" ht="15.75" x14ac:dyDescent="0.25">
      <c r="B216" s="19"/>
      <c r="C216" s="19"/>
      <c r="D216" s="19"/>
    </row>
  </sheetData>
  <mergeCells count="1">
    <mergeCell ref="A1:H1"/>
  </mergeCells>
  <phoneticPr fontId="31" type="noConversion"/>
  <conditionalFormatting sqref="B103 E103 B121:E154 B169:E205 B215:D216 B209:E214 C206:D206 D207:D208">
    <cfRule type="expression" dxfId="12" priority="24">
      <formula>CELL("row")=ROW()</formula>
    </cfRule>
  </conditionalFormatting>
  <conditionalFormatting sqref="C103">
    <cfRule type="expression" dxfId="11" priority="23">
      <formula>CELL("row")=ROW()</formula>
    </cfRule>
  </conditionalFormatting>
  <conditionalFormatting sqref="C122">
    <cfRule type="expression" dxfId="10" priority="20">
      <formula>CELL("row")=ROW()</formula>
    </cfRule>
  </conditionalFormatting>
  <conditionalFormatting sqref="C175">
    <cfRule type="expression" dxfId="9" priority="13">
      <formula>CELL("row")=ROW()</formula>
    </cfRule>
  </conditionalFormatting>
  <conditionalFormatting sqref="E122">
    <cfRule type="expression" dxfId="8" priority="21">
      <formula>CELL("row")=ROW()</formula>
    </cfRule>
  </conditionalFormatting>
  <conditionalFormatting sqref="B206">
    <cfRule type="expression" dxfId="7" priority="8">
      <formula>CELL("row")=ROW()</formula>
    </cfRule>
  </conditionalFormatting>
  <conditionalFormatting sqref="E206">
    <cfRule type="expression" dxfId="6" priority="7">
      <formula>CELL("row")=ROW()</formula>
    </cfRule>
  </conditionalFormatting>
  <conditionalFormatting sqref="B207">
    <cfRule type="expression" dxfId="5" priority="6">
      <formula>CELL("row")=ROW()</formula>
    </cfRule>
  </conditionalFormatting>
  <conditionalFormatting sqref="E207">
    <cfRule type="expression" dxfId="4" priority="5">
      <formula>CELL("row")=ROW()</formula>
    </cfRule>
  </conditionalFormatting>
  <conditionalFormatting sqref="C207">
    <cfRule type="expression" dxfId="3" priority="4">
      <formula>CELL("row")=ROW()</formula>
    </cfRule>
  </conditionalFormatting>
  <conditionalFormatting sqref="B208">
    <cfRule type="expression" dxfId="2" priority="3">
      <formula>CELL("row")=ROW()</formula>
    </cfRule>
  </conditionalFormatting>
  <conditionalFormatting sqref="E208">
    <cfRule type="expression" dxfId="1" priority="2">
      <formula>CELL("row")=ROW()</formula>
    </cfRule>
  </conditionalFormatting>
  <conditionalFormatting sqref="C208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2026-01-29T12:10:18Z</dcterms:modified>
</cp:coreProperties>
</file>