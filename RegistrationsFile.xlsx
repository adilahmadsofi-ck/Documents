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3843AED-9E4D-4F6B-9ECB-8A9AB7ACA47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7" i="7" l="1"/>
  <c r="A178" i="7"/>
  <c r="A179" i="7"/>
  <c r="A180" i="7"/>
  <c r="A181" i="7"/>
  <c r="A190" i="7"/>
  <c r="A191" i="7"/>
  <c r="H3" i="4"/>
  <c r="H4" i="4"/>
  <c r="H5" i="4"/>
  <c r="H6" i="4"/>
  <c r="H7" i="4"/>
  <c r="H25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11" i="4"/>
  <c r="H44" i="4"/>
  <c r="H46" i="4"/>
  <c r="H47" i="4"/>
  <c r="H48" i="4"/>
  <c r="H8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238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227" i="4"/>
  <c r="H107" i="4"/>
  <c r="H108" i="4"/>
  <c r="H109" i="4"/>
  <c r="H110" i="4"/>
  <c r="H111" i="4"/>
  <c r="H112" i="4"/>
  <c r="H113" i="4"/>
  <c r="H114" i="4"/>
  <c r="H236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73" i="4"/>
  <c r="H142" i="4"/>
  <c r="H180" i="4"/>
  <c r="H144" i="4"/>
  <c r="H145" i="4"/>
  <c r="H146" i="4"/>
  <c r="H147" i="4"/>
  <c r="H148" i="4"/>
  <c r="H149" i="4"/>
  <c r="H150" i="4"/>
  <c r="H151" i="4"/>
  <c r="H152" i="4"/>
  <c r="H215" i="4"/>
  <c r="H154" i="4"/>
  <c r="H155" i="4"/>
  <c r="H156" i="4"/>
  <c r="H157" i="4"/>
  <c r="H158" i="4"/>
  <c r="H159" i="4"/>
  <c r="H160" i="4"/>
  <c r="H49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216" i="4"/>
  <c r="H176" i="4"/>
  <c r="H177" i="4"/>
  <c r="H178" i="4"/>
  <c r="H179" i="4"/>
  <c r="H218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62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55" i="4"/>
  <c r="H285" i="4"/>
  <c r="H217" i="4"/>
  <c r="H175" i="4"/>
  <c r="H219" i="4"/>
  <c r="H220" i="4"/>
  <c r="H221" i="4"/>
  <c r="H222" i="4"/>
  <c r="H223" i="4"/>
  <c r="H115" i="4"/>
  <c r="H225" i="4"/>
  <c r="H226" i="4"/>
  <c r="H312" i="4"/>
  <c r="H228" i="4"/>
  <c r="H229" i="4"/>
  <c r="H230" i="4"/>
  <c r="H231" i="4"/>
  <c r="H232" i="4"/>
  <c r="H233" i="4"/>
  <c r="H234" i="4"/>
  <c r="H235" i="4"/>
  <c r="H141" i="4"/>
  <c r="H237" i="4"/>
  <c r="H28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327" i="4"/>
  <c r="H347" i="4"/>
  <c r="H257" i="4"/>
  <c r="H258" i="4"/>
  <c r="H259" i="4"/>
  <c r="H260" i="4"/>
  <c r="H261" i="4"/>
  <c r="H364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371" i="4"/>
  <c r="H106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33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36" i="4"/>
  <c r="H328" i="4"/>
  <c r="H329" i="4"/>
  <c r="H330" i="4"/>
  <c r="H331" i="4"/>
  <c r="H332" i="4"/>
  <c r="H370" i="4"/>
  <c r="H334" i="4"/>
  <c r="H335" i="4"/>
  <c r="H143" i="4"/>
  <c r="H337" i="4"/>
  <c r="H338" i="4"/>
  <c r="H339" i="4"/>
  <c r="H340" i="4"/>
  <c r="H341" i="4"/>
  <c r="H342" i="4"/>
  <c r="H343" i="4"/>
  <c r="H344" i="4"/>
  <c r="H345" i="4"/>
  <c r="H346" i="4"/>
  <c r="H16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200" i="4"/>
  <c r="H365" i="4"/>
  <c r="H366" i="4"/>
  <c r="H367" i="4"/>
  <c r="H368" i="4"/>
  <c r="H369" i="4"/>
  <c r="H153" i="4"/>
  <c r="H224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<sst xmlns="http://schemas.openxmlformats.org/spreadsheetml/2006/main" count="21188" uniqueCount="8282">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</sst>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2" fillId="0" borderId="0" xfId="0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43" zoomScaleNormal="100" workbookViewId="0">
      <selection activeCell="R356" sqref="R35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T102","TEMP",IF(LEFT(I3,4)="JK09","KUPWARA",IF(LEFT(I3,4)="JK15","BANDIPORA",IF(LEFT(I3,4)="JK17","KISHTWAR",IF(LEFT(I3,4)="T112","KARGIL","NEW"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T102","TEMP",IF(LEFT(I8,4)="JK09","KUPWARA",IF(LEFT(I8,4)="JK15","BANDIPORA",IF(LEFT(I8,4)="JK17","KISHTWAR",IF(LEFT(I8,4)="T112","KARGIL","NEW")))))))))))))))</f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7048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3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3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3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8245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3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3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3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3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3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3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3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3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3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3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3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3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3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3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3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3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3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3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3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3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3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3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3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3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3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3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3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3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3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3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3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3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3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3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7459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3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3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3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6901</v>
      </c>
      <c r="C49" s="47" t="s">
        <v>6904</v>
      </c>
      <c r="D49" s="47" t="s">
        <v>6907</v>
      </c>
      <c r="E49" s="47" t="s">
        <v>6902</v>
      </c>
      <c r="F49" s="47" t="s">
        <v>31</v>
      </c>
      <c r="G49" s="47" t="s">
        <v>175</v>
      </c>
      <c r="H49" s="47" t="str">
        <f t="shared" si="3"/>
        <v>PULWAMA</v>
      </c>
      <c r="I49" s="47" t="s">
        <v>6903</v>
      </c>
      <c r="J49" s="48">
        <v>45999</v>
      </c>
      <c r="K49" s="47">
        <v>7006251106</v>
      </c>
      <c r="L49" s="47" t="s">
        <v>6451</v>
      </c>
      <c r="M49" s="49" t="s">
        <v>7808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3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3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3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3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3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3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3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3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3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3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3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8246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3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3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3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3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3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3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3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3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T102","TEMP",IF(LEFT(I72,4)="JK09","KUPWARA",IF(LEFT(I72,4)="JK15","BANDIPORA",IF(LEFT(I72,4)="JK17","KISHTWAR",IF(LEFT(I72,4)="T112","KARGIL","NEW"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6785</v>
      </c>
      <c r="C73" s="47" t="s">
        <v>6786</v>
      </c>
      <c r="D73" s="47" t="s">
        <v>6787</v>
      </c>
      <c r="E73" s="47" t="s">
        <v>6788</v>
      </c>
      <c r="F73" s="47" t="s">
        <v>5</v>
      </c>
      <c r="G73" s="47" t="s">
        <v>226</v>
      </c>
      <c r="H73" s="47" t="str">
        <f t="shared" si="5"/>
        <v>SRINAGAR</v>
      </c>
      <c r="I73" s="47" t="s">
        <v>6794</v>
      </c>
      <c r="J73" s="48">
        <v>45996</v>
      </c>
      <c r="K73" s="47">
        <v>9419032294</v>
      </c>
      <c r="L73" s="47" t="s">
        <v>6451</v>
      </c>
      <c r="M73" s="49" t="s">
        <v>8241</v>
      </c>
      <c r="N73" s="48">
        <v>46032</v>
      </c>
      <c r="O73" s="47"/>
      <c r="P73" s="50"/>
      <c r="Q73" s="47"/>
      <c r="R73" s="47" t="s">
        <v>6857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5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5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5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5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5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5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5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5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5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5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5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5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5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5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5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5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5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5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5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5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5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5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si="5"/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5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 t="s">
        <v>8247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8248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8249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5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7669</v>
      </c>
      <c r="C106" s="47" t="s">
        <v>7670</v>
      </c>
      <c r="D106" s="47" t="s">
        <v>7671</v>
      </c>
      <c r="E106" s="47" t="s">
        <v>7672</v>
      </c>
      <c r="F106" s="47" t="s">
        <v>125</v>
      </c>
      <c r="G106" s="47" t="s">
        <v>174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T102","TEMP",IF(LEFT(I106,4)="JK09","KUPWARA",IF(LEFT(I106,4)="JK15","BANDIPORA",IF(LEFT(I106,4)="JK17","KISHTWAR",IF(LEFT(I106,4)="T112","KARGIL","NEW")))))))))))))))</f>
        <v>SRINAGAR</v>
      </c>
      <c r="I106" s="47" t="s">
        <v>7684</v>
      </c>
      <c r="J106" s="48">
        <v>46019</v>
      </c>
      <c r="K106" s="47">
        <v>9622727272</v>
      </c>
      <c r="L106" s="47" t="s">
        <v>6570</v>
      </c>
      <c r="M106" s="49" t="s">
        <v>7776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>ROW()-1</f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T102","TEMP",IF(LEFT(I107,4)="JK09","KUPWARA",IF(LEFT(I107,4)="JK15","BANDIPORA",IF(LEFT(I107,4)="JK17","KISHTWAR",IF(LEFT(I107,4)="T112","KARGIL","NEW")))))))))))))))</f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8250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T102","TEMP",IF(LEFT(I108,4)="JK09","KUPWARA",IF(LEFT(I108,4)="JK15","BANDIPORA",IF(LEFT(I108,4)="JK17","KISHTWAR",IF(LEFT(I108,4)="T112","KARGIL","NEW")))))))))))))))</f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T102","TEMP",IF(LEFT(I109,4)="JK09","KUPWARA",IF(LEFT(I109,4)="JK15","BANDIPORA",IF(LEFT(I109,4)="JK17","KISHTWAR",IF(LEFT(I109,4)="T112","KARGIL","NEW")))))))))))))))</f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T102","TEMP",IF(LEFT(I110,4)="JK09","KUPWARA",IF(LEFT(I110,4)="JK15","BANDIPORA",IF(LEFT(I110,4)="JK17","KISHTWAR",IF(LEFT(I110,4)="T112","KARGIL","NEW"))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T102","TEMP",IF(LEFT(I111,4)="JK09","KUPWARA",IF(LEFT(I111,4)="JK15","BANDIPORA",IF(LEFT(I111,4)="JK17","KISHTWAR",IF(LEFT(I111,4)="T112","KARGIL","NEW")))))))))))))))</f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>ROW()-1</f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T102","TEMP",IF(LEFT(I112,4)="JK09","KUPWARA",IF(LEFT(I112,4)="JK15","BANDIPORA",IF(LEFT(I112,4)="JK17","KISHTWAR",IF(LEFT(I112,4)="T112","KARGIL","NEW")))))))))))))))</f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T102","TEMP",IF(LEFT(I113,4)="JK09","KUPWARA",IF(LEFT(I113,4)="JK15","BANDIPORA",IF(LEFT(I113,4)="JK17","KISHTWAR",IF(LEFT(I113,4)="T112","KARGIL","NEW")))))))))))))))</f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T102","TEMP",IF(LEFT(I114,4)="JK09","KUPWARA",IF(LEFT(I114,4)="JK15","BANDIPORA",IF(LEFT(I114,4)="JK17","KISHTWAR",IF(LEFT(I114,4)="T112","KARGIL","NEW"))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7305</v>
      </c>
      <c r="C115" s="47" t="s">
        <v>7302</v>
      </c>
      <c r="D115" s="47" t="s">
        <v>7303</v>
      </c>
      <c r="E115" s="47" t="s">
        <v>7304</v>
      </c>
      <c r="F115" s="47" t="s">
        <v>125</v>
      </c>
      <c r="G115" s="47" t="s">
        <v>200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T102","TEMP",IF(LEFT(I115,4)="JK09","KUPWARA",IF(LEFT(I115,4)="JK15","BANDIPORA",IF(LEFT(I115,4)="JK17","KISHTWAR",IF(LEFT(I115,4)="T112","KARGIL","NEW")))))))))))))))</f>
        <v>SRINAGAR</v>
      </c>
      <c r="I115" s="47" t="s">
        <v>7301</v>
      </c>
      <c r="J115" s="48">
        <v>46010</v>
      </c>
      <c r="K115" s="47">
        <v>9797271333</v>
      </c>
      <c r="L115" s="47" t="s">
        <v>6451</v>
      </c>
      <c r="M115" s="49" t="s">
        <v>8241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T102","TEMP",IF(LEFT(I116,4)="JK09","KUPWARA",IF(LEFT(I116,4)="JK15","BANDIPORA",IF(LEFT(I116,4)="JK17","KISHTWAR",IF(LEFT(I116,4)="T112","KARGIL","NEW"))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T102","TEMP",IF(LEFT(I117,4)="JK09","KUPWARA",IF(LEFT(I117,4)="JK15","BANDIPORA",IF(LEFT(I117,4)="JK17","KISHTWAR",IF(LEFT(I117,4)="T112","KARGIL","NEW"))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T102","TEMP",IF(LEFT(I118,4)="JK09","KUPWARA",IF(LEFT(I118,4)="JK15","BANDIPORA",IF(LEFT(I118,4)="JK17","KISHTWAR",IF(LEFT(I118,4)="T112","KARGIL","NEW"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T102","TEMP",IF(LEFT(I119,4)="JK09","KUPWARA",IF(LEFT(I119,4)="JK15","BANDIPORA",IF(LEFT(I119,4)="JK17","KISHTWAR",IF(LEFT(I119,4)="T112","KARGIL","NEW"))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8251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T102","TEMP",IF(LEFT(I120,4)="JK09","KUPWARA",IF(LEFT(I120,4)="JK15","BANDIPORA",IF(LEFT(I120,4)="JK17","KISHTWAR",IF(LEFT(I120,4)="T112","KARGIL","NEW"))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T102","TEMP",IF(LEFT(I121,4)="JK09","KUPWARA",IF(LEFT(I121,4)="JK15","BANDIPORA",IF(LEFT(I121,4)="JK17","KISHTWAR",IF(LEFT(I121,4)="T112","KARGIL","NEW"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T102","TEMP",IF(LEFT(I122,4)="JK09","KUPWARA",IF(LEFT(I122,4)="JK15","BANDIPORA",IF(LEFT(I122,4)="JK17","KISHTWAR",IF(LEFT(I122,4)="T112","KARGIL","NEW"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T102","TEMP",IF(LEFT(I123,4)="JK09","KUPWARA",IF(LEFT(I123,4)="JK15","BANDIPORA",IF(LEFT(I123,4)="JK17","KISHTWAR",IF(LEFT(I123,4)="T112","KARGIL","NEW"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8252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T102","TEMP",IF(LEFT(I124,4)="JK09","KUPWARA",IF(LEFT(I124,4)="JK15","BANDIPORA",IF(LEFT(I124,4)="JK17","KISHTWAR",IF(LEFT(I124,4)="T112","KARGIL","NEW")))))))))))))))</f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8253</v>
      </c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T102","TEMP",IF(LEFT(I125,4)="JK09","KUPWARA",IF(LEFT(I125,4)="JK15","BANDIPORA",IF(LEFT(I125,4)="JK17","KISHTWAR",IF(LEFT(I125,4)="T112","KARGIL","NEW"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T102","TEMP",IF(LEFT(I126,4)="JK09","KUPWARA",IF(LEFT(I126,4)="JK15","BANDIPORA",IF(LEFT(I126,4)="JK17","KISHTWAR",IF(LEFT(I126,4)="T112","KARGIL","NEW"))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T102","TEMP",IF(LEFT(I127,4)="JK09","KUPWARA",IF(LEFT(I127,4)="JK15","BANDIPORA",IF(LEFT(I127,4)="JK17","KISHTWAR",IF(LEFT(I127,4)="T112","KARGIL","NEW"))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T102","TEMP",IF(LEFT(I128,4)="JK09","KUPWARA",IF(LEFT(I128,4)="JK15","BANDIPORA",IF(LEFT(I128,4)="JK17","KISHTWAR",IF(LEFT(I128,4)="T112","KARGIL","NEW"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T102","TEMP",IF(LEFT(I129,4)="JK09","KUPWARA",IF(LEFT(I129,4)="JK15","BANDIPORA",IF(LEFT(I129,4)="JK17","KISHTWAR",IF(LEFT(I129,4)="T112","KARGIL","NEW"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T102","TEMP",IF(LEFT(I130,4)="JK09","KUPWARA",IF(LEFT(I130,4)="JK15","BANDIPORA",IF(LEFT(I130,4)="JK17","KISHTWAR",IF(LEFT(I130,4)="T112","KARGIL","NEW"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T102","TEMP",IF(LEFT(I131,4)="JK09","KUPWARA",IF(LEFT(I131,4)="JK15","BANDIPORA",IF(LEFT(I131,4)="JK17","KISHTWAR",IF(LEFT(I131,4)="T112","KARGIL","NEW")))))))))))))))</f>
        <v>NEW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>ROW()-1</f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T102","TEMP",IF(LEFT(I132,4)="JK09","KUPWARA",IF(LEFT(I132,4)="JK15","BANDIPORA",IF(LEFT(I132,4)="JK17","KISHTWAR",IF(LEFT(I132,4)="T112","KARGIL","NEW"))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 t="s">
        <v>8254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T102","TEMP",IF(LEFT(I133,4)="JK09","KUPWARA",IF(LEFT(I133,4)="JK15","BANDIPORA",IF(LEFT(I133,4)="JK17","KISHTWAR",IF(LEFT(I133,4)="T112","KARGIL","NEW")))))))))))))))</f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T102","TEMP",IF(LEFT(I134,4)="JK09","KUPWARA",IF(LEFT(I134,4)="JK15","BANDIPORA",IF(LEFT(I134,4)="JK17","KISHTWAR",IF(LEFT(I134,4)="T112","KARGIL","NEW")))))))))))))))</f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>ROW()-1</f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T102","TEMP",IF(LEFT(I135,4)="JK09","KUPWARA",IF(LEFT(I135,4)="JK15","BANDIPORA",IF(LEFT(I135,4)="JK17","KISHTWAR",IF(LEFT(I135,4)="T112","KARGIL","NEW")))))))))))))))</f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T102","TEMP",IF(LEFT(I136,4)="JK09","KUPWARA",IF(LEFT(I136,4)="JK15","BANDIPORA",IF(LEFT(I136,4)="JK17","KISHTWAR",IF(LEFT(I136,4)="T112","KARGIL","NEW")))))))))))))))</f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 t="s">
        <v>8251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T102","TEMP",IF(LEFT(I137,4)="JK09","KUPWARA",IF(LEFT(I137,4)="JK15","BANDIPORA",IF(LEFT(I137,4)="JK17","KISHTWAR",IF(LEFT(I137,4)="T112","KARGIL","NEW")))))))))))))))</f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T102","TEMP",IF(LEFT(I138,4)="JK09","KUPWARA",IF(LEFT(I138,4)="JK15","BANDIPORA",IF(LEFT(I138,4)="JK17","KISHTWAR",IF(LEFT(I138,4)="T112","KARGIL","NEW")))))))))))))))</f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T102","TEMP",IF(LEFT(I139,4)="JK09","KUPWARA",IF(LEFT(I139,4)="JK15","BANDIPORA",IF(LEFT(I139,4)="JK17","KISHTWAR",IF(LEFT(I139,4)="T112","KARGIL","NEW")))))))))))))))</f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T102","TEMP",IF(LEFT(I140,4)="JK09","KUPWARA",IF(LEFT(I140,4)="JK15","BANDIPORA",IF(LEFT(I140,4)="JK17","KISHTWAR",IF(LEFT(I140,4)="T112","KARGIL","NEW")))))))))))))))</f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7368</v>
      </c>
      <c r="C141" s="47" t="s">
        <v>7369</v>
      </c>
      <c r="D141" s="47" t="s">
        <v>7370</v>
      </c>
      <c r="E141" s="47" t="s">
        <v>7371</v>
      </c>
      <c r="F141" s="47" t="s">
        <v>5</v>
      </c>
      <c r="G141" s="47" t="s">
        <v>200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T102","TEMP",IF(LEFT(I141,4)="JK09","KUPWARA",IF(LEFT(I141,4)="JK15","BANDIPORA",IF(LEFT(I141,4)="JK17","KISHTWAR",IF(LEFT(I141,4)="T112","KARGIL","NEW")))))))))))))))</f>
        <v>PULWAMA</v>
      </c>
      <c r="I141" s="47" t="s">
        <v>7379</v>
      </c>
      <c r="J141" s="48">
        <v>46012</v>
      </c>
      <c r="K141" s="47">
        <v>7780912337</v>
      </c>
      <c r="L141" s="47" t="s">
        <v>6451</v>
      </c>
      <c r="M141" s="49" t="s">
        <v>8241</v>
      </c>
      <c r="N141" s="48">
        <v>46032</v>
      </c>
      <c r="O141" s="47"/>
      <c r="P141" s="50"/>
      <c r="Q141" s="47"/>
      <c r="R141" s="47" t="s">
        <v>7177</v>
      </c>
    </row>
    <row r="142" spans="1:18" x14ac:dyDescent="0.25">
      <c r="A142" s="47">
        <f>ROW()-1</f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T102","TEMP",IF(LEFT(I142,4)="JK09","KUPWARA",IF(LEFT(I142,4)="JK15","BANDIPORA",IF(LEFT(I142,4)="JK17","KISHTWAR",IF(LEFT(I142,4)="T112","KARGIL","NEW")))))))))))))))</f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7971</v>
      </c>
      <c r="C143" s="47" t="s">
        <v>7968</v>
      </c>
      <c r="D143" s="47" t="s">
        <v>7969</v>
      </c>
      <c r="E143" s="47" t="s">
        <v>7970</v>
      </c>
      <c r="F143" s="47" t="s">
        <v>5</v>
      </c>
      <c r="G143" s="47" t="s">
        <v>199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T102","TEMP",IF(LEFT(I143,4)="JK09","KUPWARA",IF(LEFT(I143,4)="JK15","BANDIPORA",IF(LEFT(I143,4)="JK17","KISHTWAR",IF(LEFT(I143,4)="T112","KARGIL","NEW")))))))))))))))</f>
        <v>SHOPIAN</v>
      </c>
      <c r="I143" s="47" t="s">
        <v>7977</v>
      </c>
      <c r="J143" s="48">
        <v>46025</v>
      </c>
      <c r="K143" s="47">
        <v>9103275011</v>
      </c>
      <c r="L143" s="47" t="s">
        <v>6570</v>
      </c>
      <c r="M143" s="49" t="s">
        <v>7295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>ROW()-1</f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T102","TEMP",IF(LEFT(I144,4)="JK09","KUPWARA",IF(LEFT(I144,4)="JK15","BANDIPORA",IF(LEFT(I144,4)="JK17","KISHTWAR",IF(LEFT(I144,4)="T112","KARGIL","NEW")))))))))))))))</f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>ROW()-1</f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T102","TEMP",IF(LEFT(I145,4)="JK09","KUPWARA",IF(LEFT(I145,4)="JK15","BANDIPORA",IF(LEFT(I145,4)="JK17","KISHTWAR",IF(LEFT(I145,4)="T112","KARGIL","NEW")))))))))))))))</f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T102","TEMP",IF(LEFT(I146,4)="JK09","KUPWARA",IF(LEFT(I146,4)="JK15","BANDIPORA",IF(LEFT(I146,4)="JK17","KISHTWAR",IF(LEFT(I146,4)="T112","KARGIL","NEW")))))))))))))))</f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T102","TEMP",IF(LEFT(I147,4)="JK09","KUPWARA",IF(LEFT(I147,4)="JK15","BANDIPORA",IF(LEFT(I147,4)="JK17","KISHTWAR",IF(LEFT(I147,4)="T112","KARGIL","NEW")))))))))))))))</f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>ROW()-1</f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T102","TEMP",IF(LEFT(I148,4)="JK09","KUPWARA",IF(LEFT(I148,4)="JK15","BANDIPORA",IF(LEFT(I148,4)="JK17","KISHTWAR",IF(LEFT(I148,4)="T112","KARGIL","NEW")))))))))))))))</f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T102","TEMP",IF(LEFT(I149,4)="JK09","KUPWARA",IF(LEFT(I149,4)="JK15","BANDIPORA",IF(LEFT(I149,4)="JK17","KISHTWAR",IF(LEFT(I149,4)="T112","KARGIL","NEW")))))))))))))))</f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T102","TEMP",IF(LEFT(I150,4)="JK09","KUPWARA",IF(LEFT(I150,4)="JK15","BANDIPORA",IF(LEFT(I150,4)="JK17","KISHTWAR",IF(LEFT(I150,4)="T112","KARGIL","NEW")))))))))))))))</f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T102","TEMP",IF(LEFT(I151,4)="JK09","KUPWARA",IF(LEFT(I151,4)="JK15","BANDIPORA",IF(LEFT(I151,4)="JK17","KISHTWAR",IF(LEFT(I151,4)="T112","KARGIL","NEW")))))))))))))))</f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T102","TEMP",IF(LEFT(I152,4)="JK09","KUPWARA",IF(LEFT(I152,4)="JK15","BANDIPORA",IF(LEFT(I152,4)="JK17","KISHTWAR",IF(LEFT(I152,4)="T112","KARGIL","NEW")))))))))))))))</f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8191</v>
      </c>
      <c r="C153" s="47" t="s">
        <v>8188</v>
      </c>
      <c r="D153" s="47" t="s">
        <v>8189</v>
      </c>
      <c r="E153" s="47" t="s">
        <v>8190</v>
      </c>
      <c r="F153" s="47" t="s">
        <v>6546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T102","TEMP",IF(LEFT(I153,4)="JK09","KUPWARA",IF(LEFT(I153,4)="JK15","BANDIPORA",IF(LEFT(I153,4)="JK17","KISHTWAR",IF(LEFT(I153,4)="T112","KARGIL","NEW")))))))))))))))</f>
        <v>KULGAM</v>
      </c>
      <c r="I153" s="47" t="s">
        <v>8198</v>
      </c>
      <c r="J153" s="48">
        <v>46030</v>
      </c>
      <c r="K153" s="47">
        <v>9541822070</v>
      </c>
      <c r="L153" s="47" t="s">
        <v>6570</v>
      </c>
      <c r="M153" s="49" t="s">
        <v>8229</v>
      </c>
      <c r="N153" s="48">
        <v>46034</v>
      </c>
      <c r="O153" s="47"/>
      <c r="P153" s="50"/>
      <c r="Q153" s="47"/>
      <c r="R153" s="47" t="s">
        <v>8212</v>
      </c>
    </row>
    <row r="154" spans="1:18" x14ac:dyDescent="0.25">
      <c r="A154" s="47">
        <f>ROW()-1</f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T102","TEMP",IF(LEFT(I154,4)="JK09","KUPWARA",IF(LEFT(I154,4)="JK15","BANDIPORA",IF(LEFT(I154,4)="JK17","KISHTWAR",IF(LEFT(I154,4)="T112","KARGIL","NEW")))))))))))))))</f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>ROW()-1</f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T102","TEMP",IF(LEFT(I155,4)="JK09","KUPWARA",IF(LEFT(I155,4)="JK15","BANDIPORA",IF(LEFT(I155,4)="JK17","KISHTWAR",IF(LEFT(I155,4)="T112","KARGIL","NEW")))))))))))))))</f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>ROW()-1</f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T102","TEMP",IF(LEFT(I156,4)="JK09","KUPWARA",IF(LEFT(I156,4)="JK15","BANDIPORA",IF(LEFT(I156,4)="JK17","KISHTWAR",IF(LEFT(I156,4)="T112","KARGIL","NEW")))))))))))))))</f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>ROW()-1</f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T102","TEMP",IF(LEFT(I157,4)="JK09","KUPWARA",IF(LEFT(I157,4)="JK15","BANDIPORA",IF(LEFT(I157,4)="JK17","KISHTWAR",IF(LEFT(I157,4)="T112","KARGIL","NEW")))))))))))))))</f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T102","TEMP",IF(LEFT(I158,4)="JK09","KUPWARA",IF(LEFT(I158,4)="JK15","BANDIPORA",IF(LEFT(I158,4)="JK17","KISHTWAR",IF(LEFT(I158,4)="T112","KARGIL","NEW")))))))))))))))</f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 t="s">
        <v>8255</v>
      </c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T102","TEMP",IF(LEFT(I159,4)="JK09","KUPWARA",IF(LEFT(I159,4)="JK15","BANDIPORA",IF(LEFT(I159,4)="JK17","KISHTWAR",IF(LEFT(I159,4)="T112","KARGIL","NEW")))))))))))))))</f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T102","TEMP",IF(LEFT(I160,4)="JK09","KUPWARA",IF(LEFT(I160,4)="JK15","BANDIPORA",IF(LEFT(I160,4)="JK17","KISHTWAR",IF(LEFT(I160,4)="T112","KARGIL","NEW")))))))))))))))</f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>ROW()-1</f>
        <v>160</v>
      </c>
      <c r="B161" s="47" t="s">
        <v>8027</v>
      </c>
      <c r="C161" s="47" t="s">
        <v>8028</v>
      </c>
      <c r="D161" s="47" t="s">
        <v>8029</v>
      </c>
      <c r="E161" s="47" t="s">
        <v>8030</v>
      </c>
      <c r="F161" s="47" t="s">
        <v>1686</v>
      </c>
      <c r="G161" s="47" t="s">
        <v>199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T102","TEMP",IF(LEFT(I161,4)="JK09","KUPWARA",IF(LEFT(I161,4)="JK15","BANDIPORA",IF(LEFT(I161,4)="JK17","KISHTWAR",IF(LEFT(I161,4)="T112","KARGIL","NEW")))))))))))))))</f>
        <v>SRINAGAR</v>
      </c>
      <c r="I161" s="47" t="s">
        <v>8032</v>
      </c>
      <c r="J161" s="48">
        <v>46025</v>
      </c>
      <c r="K161" s="47">
        <v>7051417712</v>
      </c>
      <c r="L161" s="47" t="s">
        <v>6451</v>
      </c>
      <c r="M161" s="49" t="s">
        <v>8241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T102","TEMP",IF(LEFT(I162,4)="JK09","KUPWARA",IF(LEFT(I162,4)="JK15","BANDIPORA",IF(LEFT(I162,4)="JK17","KISHTWAR",IF(LEFT(I162,4)="T112","KARGIL","NEW")))))))))))))))</f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>ROW()-1</f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T102","TEMP",IF(LEFT(I163,4)="JK09","KUPWARA",IF(LEFT(I163,4)="JK15","BANDIPORA",IF(LEFT(I163,4)="JK17","KISHTWAR",IF(LEFT(I163,4)="T112","KARGIL","NEW")))))))))))))))</f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>ROW()-1</f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T102","TEMP",IF(LEFT(I164,4)="JK09","KUPWARA",IF(LEFT(I164,4)="JK15","BANDIPORA",IF(LEFT(I164,4)="JK17","KISHTWAR",IF(LEFT(I164,4)="T112","KARGIL","NEW"))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>ROW()-1</f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T102","TEMP",IF(LEFT(I165,4)="JK09","KUPWARA",IF(LEFT(I165,4)="JK15","BANDIPORA",IF(LEFT(I165,4)="JK17","KISHTWAR",IF(LEFT(I165,4)="T112","KARGIL","NEW")))))))))))))))</f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>ROW()-1</f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T102","TEMP",IF(LEFT(I166,4)="JK09","KUPWARA",IF(LEFT(I166,4)="JK15","BANDIPORA",IF(LEFT(I166,4)="JK17","KISHTWAR",IF(LEFT(I166,4)="T112","KARGIL","NEW")))))))))))))))</f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>ROW()-1</f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T102","TEMP",IF(LEFT(I167,4)="JK09","KUPWARA",IF(LEFT(I167,4)="JK15","BANDIPORA",IF(LEFT(I167,4)="JK17","KISHTWAR",IF(LEFT(I167,4)="T112","KARGIL","NEW")))))))))))))))</f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>ROW()-1</f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T102","TEMP",IF(LEFT(I168,4)="JK09","KUPWARA",IF(LEFT(I168,4)="JK15","BANDIPORA",IF(LEFT(I168,4)="JK17","KISHTWAR",IF(LEFT(I168,4)="T112","KARGIL","NEW")))))))))))))))</f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>ROW()-1</f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T102","TEMP",IF(LEFT(I169,4)="JK09","KUPWARA",IF(LEFT(I169,4)="JK15","BANDIPORA",IF(LEFT(I169,4)="JK17","KISHTWAR",IF(LEFT(I169,4)="T112","KARGIL","NEW")))))))))))))))</f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>ROW()-1</f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T102","TEMP",IF(LEFT(I170,4)="JK09","KUPWARA",IF(LEFT(I170,4)="JK15","BANDIPORA",IF(LEFT(I170,4)="JK17","KISHTWAR",IF(LEFT(I170,4)="T112","KARGIL","NEW")))))))))))))))</f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T102","TEMP",IF(LEFT(I171,4)="JK09","KUPWARA",IF(LEFT(I171,4)="JK15","BANDIPORA",IF(LEFT(I171,4)="JK17","KISHTWAR",IF(LEFT(I171,4)="T112","KARGIL","NEW")))))))))))))))</f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T102","TEMP",IF(LEFT(I172,4)="JK09","KUPWARA",IF(LEFT(I172,4)="JK15","BANDIPORA",IF(LEFT(I172,4)="JK17","KISHTWAR",IF(LEFT(I172,4)="T112","KARGIL","NEW")))))))))))))))</f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 t="s">
        <v>8244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T102","TEMP",IF(LEFT(I173,4)="JK09","KUPWARA",IF(LEFT(I173,4)="JK15","BANDIPORA",IF(LEFT(I173,4)="JK17","KISHTWAR",IF(LEFT(I173,4)="T112","KARGIL","NEW")))))))))))))))</f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T102","TEMP",IF(LEFT(I174,4)="JK09","KUPWARA",IF(LEFT(I174,4)="JK15","BANDIPORA",IF(LEFT(I174,4)="JK17","KISHTWAR",IF(LEFT(I174,4)="T112","KARGIL","NEW")))))))))))))))</f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7266</v>
      </c>
      <c r="C175" s="47" t="s">
        <v>7267</v>
      </c>
      <c r="D175" s="47" t="s">
        <v>7268</v>
      </c>
      <c r="E175" s="47" t="s">
        <v>7269</v>
      </c>
      <c r="F175" s="47" t="s">
        <v>119</v>
      </c>
      <c r="G175" s="47" t="s">
        <v>175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T102","TEMP",IF(LEFT(I175,4)="JK09","KUPWARA",IF(LEFT(I175,4)="JK15","BANDIPORA",IF(LEFT(I175,4)="JK17","KISHTWAR",IF(LEFT(I175,4)="T112","KARGIL","NEW")))))))))))))))</f>
        <v>SHOPIAN</v>
      </c>
      <c r="I175" s="47" t="s">
        <v>7270</v>
      </c>
      <c r="J175" s="48">
        <v>46009</v>
      </c>
      <c r="K175" s="47">
        <v>9103369022</v>
      </c>
      <c r="L175" s="47" t="s">
        <v>6570</v>
      </c>
      <c r="M175" s="49" t="s">
        <v>7295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>ROW()-1</f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T102","TEMP",IF(LEFT(I176,4)="JK09","KUPWARA",IF(LEFT(I176,4)="JK15","BANDIPORA",IF(LEFT(I176,4)="JK17","KISHTWAR",IF(LEFT(I176,4)="T112","KARGIL","NEW")))))))))))))))</f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7955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T102","TEMP",IF(LEFT(I177,4)="JK09","KUPWARA",IF(LEFT(I177,4)="JK15","BANDIPORA",IF(LEFT(I177,4)="JK17","KISHTWAR",IF(LEFT(I177,4)="T112","KARGIL","NEW")))))))))))))))</f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T102","TEMP",IF(LEFT(I178,4)="JK09","KUPWARA",IF(LEFT(I178,4)="JK15","BANDIPORA",IF(LEFT(I178,4)="JK17","KISHTWAR",IF(LEFT(I178,4)="T112","KARGIL","NEW")))))))))))))))</f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>ROW()-1</f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T102","TEMP",IF(LEFT(I179,4)="JK09","KUPWARA",IF(LEFT(I179,4)="JK15","BANDIPORA",IF(LEFT(I179,4)="JK17","KISHTWAR",IF(LEFT(I179,4)="T112","KARGIL","NEW")))))))))))))))</f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>ROW()-1</f>
        <v>179</v>
      </c>
      <c r="B180" s="47" t="s">
        <v>6798</v>
      </c>
      <c r="C180" s="47" t="s">
        <v>6799</v>
      </c>
      <c r="D180" s="47" t="s">
        <v>6800</v>
      </c>
      <c r="E180" s="47" t="s">
        <v>6801</v>
      </c>
      <c r="F180" s="47" t="s">
        <v>31</v>
      </c>
      <c r="G180" s="47" t="s">
        <v>200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T102","TEMP",IF(LEFT(I180,4)="JK09","KUPWARA",IF(LEFT(I180,4)="JK15","BANDIPORA",IF(LEFT(I180,4)="JK17","KISHTWAR",IF(LEFT(I180,4)="T112","KARGIL","NEW")))))))))))))))</f>
        <v>SHOPIAN</v>
      </c>
      <c r="I180" s="47" t="s">
        <v>6820</v>
      </c>
      <c r="J180" s="48">
        <v>45996</v>
      </c>
      <c r="K180" s="47">
        <v>9596254341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T102","TEMP",IF(LEFT(I181,4)="JK09","KUPWARA",IF(LEFT(I181,4)="JK15","BANDIPORA",IF(LEFT(I181,4)="JK17","KISHTWAR",IF(LEFT(I181,4)="T112","KARGIL","NEW")))))))))))))))</f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>ROW()-1</f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T102","TEMP",IF(LEFT(I182,4)="JK09","KUPWARA",IF(LEFT(I182,4)="JK15","BANDIPORA",IF(LEFT(I182,4)="JK17","KISHTWAR",IF(LEFT(I182,4)="T112","KARGIL","NEW")))))))))))))))</f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 t="s">
        <v>8254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T102","TEMP",IF(LEFT(I183,4)="JK09","KUPWARA",IF(LEFT(I183,4)="JK15","BANDIPORA",IF(LEFT(I183,4)="JK17","KISHTWAR",IF(LEFT(I183,4)="T112","KARGIL","NEW")))))))))))))))</f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T102","TEMP",IF(LEFT(I184,4)="JK09","KUPWARA",IF(LEFT(I184,4)="JK15","BANDIPORA",IF(LEFT(I184,4)="JK17","KISHTWAR",IF(LEFT(I184,4)="T112","KARGIL","NEW")))))))))))))))</f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>ROW()-1</f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T102","TEMP",IF(LEFT(I185,4)="JK09","KUPWARA",IF(LEFT(I185,4)="JK15","BANDIPORA",IF(LEFT(I185,4)="JK17","KISHTWAR",IF(LEFT(I185,4)="T112","KARGIL","NEW")))))))))))))))</f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>ROW()-1</f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T102","TEMP",IF(LEFT(I186,4)="JK09","KUPWARA",IF(LEFT(I186,4)="JK15","BANDIPORA",IF(LEFT(I186,4)="JK17","KISHTWAR",IF(LEFT(I186,4)="T112","KARGIL","NEW")))))))))))))))</f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T102","TEMP",IF(LEFT(I187,4)="JK09","KUPWARA",IF(LEFT(I187,4)="JK15","BANDIPORA",IF(LEFT(I187,4)="JK17","KISHTWAR",IF(LEFT(I187,4)="T112","KARGIL","NEW")))))))))))))))</f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>ROW()-1</f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T102","TEMP",IF(LEFT(I188,4)="JK09","KUPWARA",IF(LEFT(I188,4)="JK15","BANDIPORA",IF(LEFT(I188,4)="JK17","KISHTWAR",IF(LEFT(I188,4)="T112","KARGIL","NEW")))))))))))))))</f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 t="s">
        <v>8256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>ROW()-1</f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T102","TEMP",IF(LEFT(I189,4)="JK09","KUPWARA",IF(LEFT(I189,4)="JK15","BANDIPORA",IF(LEFT(I189,4)="JK17","KISHTWAR",IF(LEFT(I189,4)="T112","KARGIL","NEW")))))))))))))))</f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T102","TEMP",IF(LEFT(I190,4)="JK09","KUPWARA",IF(LEFT(I190,4)="JK15","BANDIPORA",IF(LEFT(I190,4)="JK17","KISHTWAR",IF(LEFT(I190,4)="T112","KARGIL","NEW")))))))))))))))</f>
        <v>NEW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T102","TEMP",IF(LEFT(I191,4)="JK09","KUPWARA",IF(LEFT(I191,4)="JK15","BANDIPORA",IF(LEFT(I191,4)="JK17","KISHTWAR",IF(LEFT(I191,4)="T112","KARGIL","NEW")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T102","TEMP",IF(LEFT(I192,4)="JK09","KUPWARA",IF(LEFT(I192,4)="JK15","BANDIPORA",IF(LEFT(I192,4)="JK17","KISHTWAR",IF(LEFT(I192,4)="T112","KARGIL","NEW"))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T102","TEMP",IF(LEFT(I193,4)="JK09","KUPWARA",IF(LEFT(I193,4)="JK15","BANDIPORA",IF(LEFT(I193,4)="JK17","KISHTWAR",IF(LEFT(I193,4)="T112","KARGIL","NEW"))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T102","TEMP",IF(LEFT(I194,4)="JK09","KUPWARA",IF(LEFT(I194,4)="JK15","BANDIPORA",IF(LEFT(I194,4)="JK17","KISHTWAR",IF(LEFT(I194,4)="T112","KARGIL","NEW"))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T102","TEMP",IF(LEFT(I195,4)="JK09","KUPWARA",IF(LEFT(I195,4)="JK15","BANDIPORA",IF(LEFT(I195,4)="JK17","KISHTWAR",IF(LEFT(I195,4)="T112","KARGIL","NEW"))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T102","TEMP",IF(LEFT(I196,4)="JK09","KUPWARA",IF(LEFT(I196,4)="JK15","BANDIPORA",IF(LEFT(I196,4)="JK17","KISHTWAR",IF(LEFT(I196,4)="T112","KARGIL","NEW")))))))))))))))</f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T102","TEMP",IF(LEFT(I197,4)="JK09","KUPWARA",IF(LEFT(I197,4)="JK15","BANDIPORA",IF(LEFT(I197,4)="JK17","KISHTWAR",IF(LEFT(I197,4)="T112","KARGIL","NEW")))))))))))))))</f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>ROW()-1</f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T102","TEMP",IF(LEFT(I198,4)="JK09","KUPWARA",IF(LEFT(I198,4)="JK15","BANDIPORA",IF(LEFT(I198,4)="JK17","KISHTWAR",IF(LEFT(I198,4)="T112","KARGIL","NEW")))))))))))))))</f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T102","TEMP",IF(LEFT(I199,4)="JK09","KUPWARA",IF(LEFT(I199,4)="JK15","BANDIPORA",IF(LEFT(I199,4)="JK17","KISHTWAR",IF(LEFT(I199,4)="T112","KARGIL","NEW")))))))))))))))</f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8112</v>
      </c>
      <c r="C200" s="47" t="s">
        <v>8113</v>
      </c>
      <c r="D200" s="47" t="s">
        <v>8114</v>
      </c>
      <c r="E200" s="47" t="s">
        <v>8115</v>
      </c>
      <c r="F200" s="47" t="s">
        <v>102</v>
      </c>
      <c r="G200" s="47" t="s">
        <v>199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T102","TEMP",IF(LEFT(I200,4)="JK09","KUPWARA",IF(LEFT(I200,4)="JK15","BANDIPORA",IF(LEFT(I200,4)="JK17","KISHTWAR",IF(LEFT(I200,4)="T112","KARGIL","NEW")))))))))))))))</f>
        <v>PULWAMA</v>
      </c>
      <c r="I200" s="47" t="s">
        <v>8116</v>
      </c>
      <c r="J200" s="48">
        <v>46028</v>
      </c>
      <c r="K200" s="47">
        <v>7889385453</v>
      </c>
      <c r="L200" s="47" t="s">
        <v>6451</v>
      </c>
      <c r="M200" s="49" t="s">
        <v>8241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>ROW()-1</f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T102","TEMP",IF(LEFT(I201,4)="JK09","KUPWARA",IF(LEFT(I201,4)="JK15","BANDIPORA",IF(LEFT(I201,4)="JK17","KISHTWAR",IF(LEFT(I201,4)="T112","KARGIL","NEW")))))))))))))))</f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>ROW()-1</f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T102","TEMP",IF(LEFT(I202,4)="JK09","KUPWARA",IF(LEFT(I202,4)="JK15","BANDIPORA",IF(LEFT(I202,4)="JK17","KISHTWAR",IF(LEFT(I202,4)="T112","KARGIL","NEW")))))))))))))))</f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T102","TEMP",IF(LEFT(I203,4)="JK09","KUPWARA",IF(LEFT(I203,4)="JK15","BANDIPORA",IF(LEFT(I203,4)="JK17","KISHTWAR",IF(LEFT(I203,4)="T112","KARGIL","NEW")))))))))))))))</f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T102","TEMP",IF(LEFT(I204,4)="JK09","KUPWARA",IF(LEFT(I204,4)="JK15","BANDIPORA",IF(LEFT(I204,4)="JK17","KISHTWAR",IF(LEFT(I204,4)="T112","KARGIL","NEW")))))))))))))))</f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>ROW()-1</f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T102","TEMP",IF(LEFT(I205,4)="JK09","KUPWARA",IF(LEFT(I205,4)="JK15","BANDIPORA",IF(LEFT(I205,4)="JK17","KISHTWAR",IF(LEFT(I205,4)="T112","KARGIL","NEW")))))))))))))))</f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>ROW()-1</f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T102","TEMP",IF(LEFT(I206,4)="JK09","KUPWARA",IF(LEFT(I206,4)="JK15","BANDIPORA",IF(LEFT(I206,4)="JK17","KISHTWAR",IF(LEFT(I206,4)="T112","KARGIL","NEW")))))))))))))))</f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T102","TEMP",IF(LEFT(I207,4)="JK09","KUPWARA",IF(LEFT(I207,4)="JK15","BANDIPORA",IF(LEFT(I207,4)="JK17","KISHTWAR",IF(LEFT(I207,4)="T112","KARGIL","NEW")))))))))))))))</f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T102","TEMP",IF(LEFT(I208,4)="JK09","KUPWARA",IF(LEFT(I208,4)="JK15","BANDIPORA",IF(LEFT(I208,4)="JK17","KISHTWAR",IF(LEFT(I208,4)="T112","KARGIL","NEW")))))))))))))))</f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T102","TEMP",IF(LEFT(I209,4)="JK09","KUPWARA",IF(LEFT(I209,4)="JK15","BANDIPORA",IF(LEFT(I209,4)="JK17","KISHTWAR",IF(LEFT(I209,4)="T112","KARGIL","NEW")))))))))))))))</f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T102","TEMP",IF(LEFT(I210,4)="JK09","KUPWARA",IF(LEFT(I210,4)="JK15","BANDIPORA",IF(LEFT(I210,4)="JK17","KISHTWAR",IF(LEFT(I210,4)="T112","KARGIL","NEW")))))))))))))))</f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T102","TEMP",IF(LEFT(I211,4)="JK09","KUPWARA",IF(LEFT(I211,4)="JK15","BANDIPORA",IF(LEFT(I211,4)="JK17","KISHTWAR",IF(LEFT(I211,4)="T112","KARGIL","NEW")))))))))))))))</f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T102","TEMP",IF(LEFT(I212,4)="JK09","KUPWARA",IF(LEFT(I212,4)="JK15","BANDIPORA",IF(LEFT(I212,4)="JK17","KISHTWAR",IF(LEFT(I212,4)="T112","KARGIL","NEW")))))))))))))))</f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T102","TEMP",IF(LEFT(I213,4)="JK09","KUPWARA",IF(LEFT(I213,4)="JK15","BANDIPORA",IF(LEFT(I213,4)="JK17","KISHTWAR",IF(LEFT(I213,4)="T112","KARGIL","NEW")))))))))))))))</f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T102","TEMP",IF(LEFT(I214,4)="JK09","KUPWARA",IF(LEFT(I214,4)="JK15","BANDIPORA",IF(LEFT(I214,4)="JK17","KISHTWAR",IF(LEFT(I214,4)="T112","KARGIL","NEW")))))))))))))))</f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>ROW()-1</f>
        <v>214</v>
      </c>
      <c r="B215" s="47" t="s">
        <v>6855</v>
      </c>
      <c r="C215" s="47" t="s">
        <v>6852</v>
      </c>
      <c r="D215" s="47" t="s">
        <v>6853</v>
      </c>
      <c r="E215" s="47" t="s">
        <v>6854</v>
      </c>
      <c r="F215" s="47" t="s">
        <v>5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T102","TEMP",IF(LEFT(I215,4)="JK09","KUPWARA",IF(LEFT(I215,4)="JK15","BANDIPORA",IF(LEFT(I215,4)="JK17","KISHTWAR",IF(LEFT(I215,4)="T112","KARGIL","NEW")))))))))))))))</f>
        <v>SHOPIAN</v>
      </c>
      <c r="I215" s="47" t="s">
        <v>6874</v>
      </c>
      <c r="J215" s="48">
        <v>45999</v>
      </c>
      <c r="K215" s="47">
        <v>9858319554</v>
      </c>
      <c r="L215" s="47" t="s">
        <v>6570</v>
      </c>
      <c r="M215" s="49" t="s">
        <v>7152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6993</v>
      </c>
      <c r="C216" s="47" t="s">
        <v>6994</v>
      </c>
      <c r="D216" s="47" t="s">
        <v>6996</v>
      </c>
      <c r="E216" s="47" t="s">
        <v>6995</v>
      </c>
      <c r="F216" s="47" t="s">
        <v>5</v>
      </c>
      <c r="G216" s="47" t="s">
        <v>200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T102","TEMP",IF(LEFT(I216,4)="JK09","KUPWARA",IF(LEFT(I216,4)="JK15","BANDIPORA",IF(LEFT(I216,4)="JK17","KISHTWAR",IF(LEFT(I216,4)="T112","KARGIL","NEW")))))))))))))))</f>
        <v>SHOPIAN</v>
      </c>
      <c r="I216" s="47" t="s">
        <v>7020</v>
      </c>
      <c r="J216" s="48">
        <v>46002</v>
      </c>
      <c r="K216" s="47">
        <v>9906277021</v>
      </c>
      <c r="L216" s="47" t="s">
        <v>6570</v>
      </c>
      <c r="M216" s="49" t="s">
        <v>7152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T102","TEMP",IF(LEFT(I217,4)="JK09","KUPWARA",IF(LEFT(I217,4)="JK15","BANDIPORA",IF(LEFT(I217,4)="JK17","KISHTWAR",IF(LEFT(I217,4)="T112","KARGIL","NEW")))))))))))))))</f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>ROW()-1</f>
        <v>217</v>
      </c>
      <c r="B218" s="47" t="s">
        <v>7019</v>
      </c>
      <c r="C218" s="47" t="s">
        <v>7016</v>
      </c>
      <c r="D218" s="47" t="s">
        <v>7017</v>
      </c>
      <c r="E218" s="47" t="s">
        <v>7018</v>
      </c>
      <c r="F218" s="47" t="s">
        <v>31</v>
      </c>
      <c r="G218" s="47" t="s">
        <v>221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T102","TEMP",IF(LEFT(I218,4)="JK09","KUPWARA",IF(LEFT(I218,4)="JK15","BANDIPORA",IF(LEFT(I218,4)="JK17","KISHTWAR",IF(LEFT(I218,4)="T112","KARGIL","NEW")))))))))))))))</f>
        <v>PULWAMA</v>
      </c>
      <c r="I218" s="47" t="s">
        <v>7021</v>
      </c>
      <c r="J218" s="48">
        <v>46002</v>
      </c>
      <c r="K218" s="47">
        <v>7889910978</v>
      </c>
      <c r="L218" s="47" t="s">
        <v>6570</v>
      </c>
      <c r="M218" s="49" t="s">
        <v>7152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T102","TEMP",IF(LEFT(I219,4)="JK09","KUPWARA",IF(LEFT(I219,4)="JK15","BANDIPORA",IF(LEFT(I219,4)="JK17","KISHTWAR",IF(LEFT(I219,4)="T112","KARGIL","NEW")))))))))))))))</f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>ROW()-1</f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T102","TEMP",IF(LEFT(I220,4)="JK09","KUPWARA",IF(LEFT(I220,4)="JK15","BANDIPORA",IF(LEFT(I220,4)="JK17","KISHTWAR",IF(LEFT(I220,4)="T112","KARGIL","NEW")))))))))))))))</f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T102","TEMP",IF(LEFT(I221,4)="JK09","KUPWARA",IF(LEFT(I221,4)="JK15","BANDIPORA",IF(LEFT(I221,4)="JK17","KISHTWAR",IF(LEFT(I221,4)="T112","KARGIL","NEW")))))))))))))))</f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>ROW()-1</f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T102","TEMP",IF(LEFT(I222,4)="JK09","KUPWARA",IF(LEFT(I222,4)="JK15","BANDIPORA",IF(LEFT(I222,4)="JK17","KISHTWAR",IF(LEFT(I222,4)="T112","KARGIL","NEW")))))))))))))))</f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>ROW()-1</f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T102","TEMP",IF(LEFT(I223,4)="JK09","KUPWARA",IF(LEFT(I223,4)="JK15","BANDIPORA",IF(LEFT(I223,4)="JK17","KISHTWAR",IF(LEFT(I223,4)="T112","KARGIL","NEW"))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>ROW()-1</f>
        <v>223</v>
      </c>
      <c r="B224" s="47" t="s">
        <v>8192</v>
      </c>
      <c r="C224" s="47" t="s">
        <v>8195</v>
      </c>
      <c r="D224" s="47" t="s">
        <v>8196</v>
      </c>
      <c r="E224" s="47" t="s">
        <v>8197</v>
      </c>
      <c r="F224" s="47" t="s">
        <v>5</v>
      </c>
      <c r="G224" s="47" t="s">
        <v>181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T102","TEMP",IF(LEFT(I224,4)="JK09","KUPWARA",IF(LEFT(I224,4)="JK15","BANDIPORA",IF(LEFT(I224,4)="JK17","KISHTWAR",IF(LEFT(I224,4)="T112","KARGIL","NEW")))))))))))))))</f>
        <v>SHOPIAN</v>
      </c>
      <c r="I224" s="47" t="s">
        <v>8207</v>
      </c>
      <c r="J224" s="48">
        <v>46030</v>
      </c>
      <c r="K224" s="47">
        <v>9906656754</v>
      </c>
      <c r="L224" s="47" t="s">
        <v>6451</v>
      </c>
      <c r="M224" s="49" t="s">
        <v>8241</v>
      </c>
      <c r="N224" s="48">
        <v>46032</v>
      </c>
      <c r="O224" s="47"/>
      <c r="P224" s="50"/>
      <c r="Q224" s="47"/>
      <c r="R224" s="47" t="s">
        <v>7177</v>
      </c>
    </row>
    <row r="225" spans="1:18" x14ac:dyDescent="0.25">
      <c r="A225" s="47">
        <f>ROW()-1</f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T102","TEMP",IF(LEFT(I225,4)="JK09","KUPWARA",IF(LEFT(I225,4)="JK15","BANDIPORA",IF(LEFT(I225,4)="JK17","KISHTWAR",IF(LEFT(I225,4)="T112","KARGIL","NEW")))))))))))))))</f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T102","TEMP",IF(LEFT(I226,4)="JK09","KUPWARA",IF(LEFT(I226,4)="JK15","BANDIPORA",IF(LEFT(I226,4)="JK17","KISHTWAR",IF(LEFT(I226,4)="T112","KARGIL","NEW")))))))))))))))</f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T102","TEMP",IF(LEFT(I227,4)="JK09","KUPWARA",IF(LEFT(I227,4)="JK15","BANDIPORA",IF(LEFT(I227,4)="JK17","KISHTWAR",IF(LEFT(I227,4)="T112","KARGIL","NEW")))))))))))))))</f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>ROW()-1</f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T102","TEMP",IF(LEFT(I228,4)="JK09","KUPWARA",IF(LEFT(I228,4)="JK15","BANDIPORA",IF(LEFT(I228,4)="JK17","KISHTWAR",IF(LEFT(I228,4)="T112","KARGIL","NEW")))))))))))))))</f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T102","TEMP",IF(LEFT(I229,4)="JK09","KUPWARA",IF(LEFT(I229,4)="JK15","BANDIPORA",IF(LEFT(I229,4)="JK17","KISHTWAR",IF(LEFT(I229,4)="T112","KARGIL","NEW")))))))))))))))</f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T102","TEMP",IF(LEFT(I230,4)="JK09","KUPWARA",IF(LEFT(I230,4)="JK15","BANDIPORA",IF(LEFT(I230,4)="JK17","KISHTWAR",IF(LEFT(I230,4)="T112","KARGIL","NEW")))))))))))))))</f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T102","TEMP",IF(LEFT(I231,4)="JK09","KUPWARA",IF(LEFT(I231,4)="JK15","BANDIPORA",IF(LEFT(I231,4)="JK17","KISHTWAR",IF(LEFT(I231,4)="T112","KARGIL","NEW")))))))))))))))</f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 t="s">
        <v>8257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>ROW()-1</f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T102","TEMP",IF(LEFT(I232,4)="JK09","KUPWARA",IF(LEFT(I232,4)="JK15","BANDIPORA",IF(LEFT(I232,4)="JK17","KISHTWAR",IF(LEFT(I232,4)="T112","KARGIL","NEW")))))))))))))))</f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T102","TEMP",IF(LEFT(I233,4)="JK09","KUPWARA",IF(LEFT(I233,4)="JK15","BANDIPORA",IF(LEFT(I233,4)="JK17","KISHTWAR",IF(LEFT(I233,4)="T112","KARGIL","NEW"))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 t="s">
        <v>8258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T102","TEMP",IF(LEFT(I234,4)="JK09","KUPWARA",IF(LEFT(I234,4)="JK15","BANDIPORA",IF(LEFT(I234,4)="JK17","KISHTWAR",IF(LEFT(I234,4)="T112","KARGIL","NEW")))))))))))))))</f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 t="s">
        <v>8259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T102","TEMP",IF(LEFT(I235,4)="JK09","KUPWARA",IF(LEFT(I235,4)="JK15","BANDIPORA",IF(LEFT(I235,4)="JK17","KISHTWAR",IF(LEFT(I235,4)="T112","KARGIL","NEW")))))))))))))))</f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T102","TEMP",IF(LEFT(I236,4)="JK09","KUPWARA",IF(LEFT(I236,4)="JK15","BANDIPORA",IF(LEFT(I236,4)="JK17","KISHTWAR",IF(LEFT(I236,4)="T112","KARGIL","NEW")))))))))))))))</f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6928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>ROW()-1</f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T102","TEMP",IF(LEFT(I237,4)="JK09","KUPWARA",IF(LEFT(I237,4)="JK15","BANDIPORA",IF(LEFT(I237,4)="JK17","KISHTWAR",IF(LEFT(I237,4)="T112","KARGIL","NEW")))))))))))))))</f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T102","TEMP",IF(LEFT(I238,4)="JK09","KUPWARA",IF(LEFT(I238,4)="JK15","BANDIPORA",IF(LEFT(I238,4)="JK17","KISHTWAR",IF(LEFT(I238,4)="T112","KARGIL","NEW")))))))))))))))</f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>ROW()-1</f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T102","TEMP",IF(LEFT(I239,4)="JK09","KUPWARA",IF(LEFT(I239,4)="JK15","BANDIPORA",IF(LEFT(I239,4)="JK17","KISHTWAR",IF(LEFT(I239,4)="T112","KARGIL","NEW")))))))))))))))</f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T102","TEMP",IF(LEFT(I240,4)="JK09","KUPWARA",IF(LEFT(I240,4)="JK15","BANDIPORA",IF(LEFT(I240,4)="JK17","KISHTWAR",IF(LEFT(I240,4)="T112","KARGIL","NEW")))))))))))))))</f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>ROW()-1</f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T102","TEMP",IF(LEFT(I241,4)="JK09","KUPWARA",IF(LEFT(I241,4)="JK15","BANDIPORA",IF(LEFT(I241,4)="JK17","KISHTWAR",IF(LEFT(I241,4)="T112","KARGIL","NEW")))))))))))))))</f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 t="s">
        <v>8254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T102","TEMP",IF(LEFT(I242,4)="JK09","KUPWARA",IF(LEFT(I242,4)="JK15","BANDIPORA",IF(LEFT(I242,4)="JK17","KISHTWAR",IF(LEFT(I242,4)="T112","KARGIL","NEW")))))))))))))))</f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>ROW()-1</f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T102","TEMP",IF(LEFT(I243,4)="JK09","KUPWARA",IF(LEFT(I243,4)="JK15","BANDIPORA",IF(LEFT(I243,4)="JK17","KISHTWAR",IF(LEFT(I243,4)="T112","KARGIL","NEW")))))))))))))))</f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T102","TEMP",IF(LEFT(I244,4)="JK09","KUPWARA",IF(LEFT(I244,4)="JK15","BANDIPORA",IF(LEFT(I244,4)="JK17","KISHTWAR",IF(LEFT(I244,4)="T112","KARGIL","NEW")))))))))))))))</f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 t="s">
        <v>8260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>ROW()-1</f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T102","TEMP",IF(LEFT(I245,4)="JK09","KUPWARA",IF(LEFT(I245,4)="JK15","BANDIPORA",IF(LEFT(I245,4)="JK17","KISHTWAR",IF(LEFT(I245,4)="T112","KARGIL","NEW")))))))))))))))</f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T102","TEMP",IF(LEFT(I246,4)="JK09","KUPWARA",IF(LEFT(I246,4)="JK15","BANDIPORA",IF(LEFT(I246,4)="JK17","KISHTWAR",IF(LEFT(I246,4)="T112","KARGIL","NEW")))))))))))))))</f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T102","TEMP",IF(LEFT(I247,4)="JK09","KUPWARA",IF(LEFT(I247,4)="JK15","BANDIPORA",IF(LEFT(I247,4)="JK17","KISHTWAR",IF(LEFT(I247,4)="T112","KARGIL","NEW")))))))))))))))</f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T102","TEMP",IF(LEFT(I248,4)="JK09","KUPWARA",IF(LEFT(I248,4)="JK15","BANDIPORA",IF(LEFT(I248,4)="JK17","KISHTWAR",IF(LEFT(I248,4)="T112","KARGIL","NEW")))))))))))))))</f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T102","TEMP",IF(LEFT(I249,4)="JK09","KUPWARA",IF(LEFT(I249,4)="JK15","BANDIPORA",IF(LEFT(I249,4)="JK17","KISHTWAR",IF(LEFT(I249,4)="T112","KARGIL","NEW")))))))))))))))</f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>ROW()-1</f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T102","TEMP",IF(LEFT(I250,4)="JK09","KUPWARA",IF(LEFT(I250,4)="JK15","BANDIPORA",IF(LEFT(I250,4)="JK17","KISHTWAR",IF(LEFT(I250,4)="T112","KARGIL","NEW")))))))))))))))</f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>ROW()-1</f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T102","TEMP",IF(LEFT(I251,4)="JK09","KUPWARA",IF(LEFT(I251,4)="JK15","BANDIPORA",IF(LEFT(I251,4)="JK17","KISHTWAR",IF(LEFT(I251,4)="T112","KARGIL","NEW")))))))))))))))</f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T102","TEMP",IF(LEFT(I252,4)="JK09","KUPWARA",IF(LEFT(I252,4)="JK15","BANDIPORA",IF(LEFT(I252,4)="JK17","KISHTWAR",IF(LEFT(I252,4)="T112","KARGIL","NEW")))))))))))))))</f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T102","TEMP",IF(LEFT(I253,4)="JK09","KUPWARA",IF(LEFT(I253,4)="JK15","BANDIPORA",IF(LEFT(I253,4)="JK17","KISHTWAR",IF(LEFT(I253,4)="T112","KARGIL","NEW")))))))))))))))</f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>ROW()-1</f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T102","TEMP",IF(LEFT(I254,4)="JK09","KUPWARA",IF(LEFT(I254,4)="JK15","BANDIPORA",IF(LEFT(I254,4)="JK17","KISHTWAR",IF(LEFT(I254,4)="T112","KARGIL","NEW")))))))))))))))</f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>ROW()-1</f>
        <v>254</v>
      </c>
      <c r="B255" s="47" t="s">
        <v>7243</v>
      </c>
      <c r="C255" s="47" t="s">
        <v>7240</v>
      </c>
      <c r="D255" s="47" t="s">
        <v>7241</v>
      </c>
      <c r="E255" s="47" t="s">
        <v>7242</v>
      </c>
      <c r="F255" s="47" t="s">
        <v>119</v>
      </c>
      <c r="G255" s="47" t="s">
        <v>200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T102","TEMP",IF(LEFT(I255,4)="JK09","KUPWARA",IF(LEFT(I255,4)="JK15","BANDIPORA",IF(LEFT(I255,4)="JK17","KISHTWAR",IF(LEFT(I255,4)="T112","KARGIL","NEW")))))))))))))))</f>
        <v>PULWAMA</v>
      </c>
      <c r="I255" s="47" t="s">
        <v>7260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>ROW()-1</f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T102","TEMP",IF(LEFT(I256,4)="JK09","KUPWARA",IF(LEFT(I256,4)="JK15","BANDIPORA",IF(LEFT(I256,4)="JK17","KISHTWAR",IF(LEFT(I256,4)="T112","KARGIL","NEW")))))))))))))))</f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T102","TEMP",IF(LEFT(I257,4)="JK09","KUPWARA",IF(LEFT(I257,4)="JK15","BANDIPORA",IF(LEFT(I257,4)="JK17","KISHTWAR",IF(LEFT(I257,4)="T112","KARGIL","NEW")))))))))))))))</f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T102","TEMP",IF(LEFT(I258,4)="JK09","KUPWARA",IF(LEFT(I258,4)="JK15","BANDIPORA",IF(LEFT(I258,4)="JK17","KISHTWAR",IF(LEFT(I258,4)="T112","KARGIL","NEW")))))))))))))))</f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>ROW()-1</f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T102","TEMP",IF(LEFT(I259,4)="JK09","KUPWARA",IF(LEFT(I259,4)="JK15","BANDIPORA",IF(LEFT(I259,4)="JK17","KISHTWAR",IF(LEFT(I259,4)="T112","KARGIL","NEW")))))))))))))))</f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 t="s">
        <v>8261</v>
      </c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T102","TEMP",IF(LEFT(I260,4)="JK09","KUPWARA",IF(LEFT(I260,4)="JK15","BANDIPORA",IF(LEFT(I260,4)="JK17","KISHTWAR",IF(LEFT(I260,4)="T112","KARGIL","NEW")))))))))))))))</f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T102","TEMP",IF(LEFT(I261,4)="JK09","KUPWARA",IF(LEFT(I261,4)="JK15","BANDIPORA",IF(LEFT(I261,4)="JK17","KISHTWAR",IF(LEFT(I261,4)="T112","KARGIL","NEW")))))))))))))))</f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7154</v>
      </c>
      <c r="C262" s="47" t="s">
        <v>7155</v>
      </c>
      <c r="D262" s="47" t="s">
        <v>7156</v>
      </c>
      <c r="E262" s="47" t="s">
        <v>3493</v>
      </c>
      <c r="F262" s="47" t="s">
        <v>119</v>
      </c>
      <c r="G262" s="47" t="s">
        <v>174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T102","TEMP",IF(LEFT(I262,4)="JK09","KUPWARA",IF(LEFT(I262,4)="JK15","BANDIPORA",IF(LEFT(I262,4)="JK17","KISHTWAR",IF(LEFT(I262,4)="T112","KARGIL","NEW")))))))))))))))</f>
        <v>PULWAMA</v>
      </c>
      <c r="I262" s="47" t="s">
        <v>7172</v>
      </c>
      <c r="J262" s="48">
        <v>46007</v>
      </c>
      <c r="K262" s="47">
        <v>8492997838</v>
      </c>
      <c r="L262" s="47" t="s">
        <v>6451</v>
      </c>
      <c r="M262" s="49"/>
      <c r="N262" s="48" t="s">
        <v>8262</v>
      </c>
      <c r="O262" s="47"/>
      <c r="P262" s="50"/>
      <c r="Q262" s="47"/>
      <c r="R262" s="47" t="s">
        <v>7177</v>
      </c>
    </row>
    <row r="263" spans="1:18" x14ac:dyDescent="0.25">
      <c r="A263" s="47">
        <f>ROW()-1</f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T102","TEMP",IF(LEFT(I263,4)="JK09","KUPWARA",IF(LEFT(I263,4)="JK15","BANDIPORA",IF(LEFT(I263,4)="JK17","KISHTWAR",IF(LEFT(I263,4)="T112","KARGIL","NEW")))))))))))))))</f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T102","TEMP",IF(LEFT(I264,4)="JK09","KUPWARA",IF(LEFT(I264,4)="JK15","BANDIPORA",IF(LEFT(I264,4)="JK17","KISHTWAR",IF(LEFT(I264,4)="T112","KARGIL","NEW")))))))))))))))</f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>ROW()-1</f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T102","TEMP",IF(LEFT(I265,4)="JK09","KUPWARA",IF(LEFT(I265,4)="JK15","BANDIPORA",IF(LEFT(I265,4)="JK17","KISHTWAR",IF(LEFT(I265,4)="T112","KARGIL","NEW")))))))))))))))</f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 t="s">
        <v>8254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T102","TEMP",IF(LEFT(I266,4)="JK09","KUPWARA",IF(LEFT(I266,4)="JK15","BANDIPORA",IF(LEFT(I266,4)="JK17","KISHTWAR",IF(LEFT(I266,4)="T112","KARGIL","NEW")))))))))))))))</f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>ROW()-1</f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T102","TEMP",IF(LEFT(I267,4)="JK09","KUPWARA",IF(LEFT(I267,4)="JK15","BANDIPORA",IF(LEFT(I267,4)="JK17","KISHTWAR",IF(LEFT(I267,4)="T112","KARGIL","NEW")))))))))))))))</f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>ROW()-1</f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T102","TEMP",IF(LEFT(I268,4)="JK09","KUPWARA",IF(LEFT(I268,4)="JK15","BANDIPORA",IF(LEFT(I268,4)="JK17","KISHTWAR",IF(LEFT(I268,4)="T112","KARGIL","NEW")))))))))))))))</f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>ROW()-1</f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T102","TEMP",IF(LEFT(I269,4)="JK09","KUPWARA",IF(LEFT(I269,4)="JK15","BANDIPORA",IF(LEFT(I269,4)="JK17","KISHTWAR",IF(LEFT(I269,4)="T112","KARGIL","NEW")))))))))))))))</f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T102","TEMP",IF(LEFT(I270,4)="JK09","KUPWARA",IF(LEFT(I270,4)="JK15","BANDIPORA",IF(LEFT(I270,4)="JK17","KISHTWAR",IF(LEFT(I270,4)="T112","KARGIL","NEW")))))))))))))))</f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T102","TEMP",IF(LEFT(I271,4)="JK09","KUPWARA",IF(LEFT(I271,4)="JK15","BANDIPORA",IF(LEFT(I271,4)="JK17","KISHTWAR",IF(LEFT(I271,4)="T112","KARGIL","NEW")))))))))))))))</f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 t="s">
        <v>7617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T102","TEMP",IF(LEFT(I272,4)="JK09","KUPWARA",IF(LEFT(I272,4)="JK15","BANDIPORA",IF(LEFT(I272,4)="JK17","KISHTWAR",IF(LEFT(I272,4)="T112","KARGIL","NEW")))))))))))))))</f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T102","TEMP",IF(LEFT(I273,4)="JK09","KUPWARA",IF(LEFT(I273,4)="JK15","BANDIPORA",IF(LEFT(I273,4)="JK17","KISHTWAR",IF(LEFT(I273,4)="T112","KARGIL","NEW")))))))))))))))</f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T102","TEMP",IF(LEFT(I274,4)="JK09","KUPWARA",IF(LEFT(I274,4)="JK15","BANDIPORA",IF(LEFT(I274,4)="JK17","KISHTWAR",IF(LEFT(I274,4)="T112","KARGIL","NEW")))))))))))))))</f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T102","TEMP",IF(LEFT(I275,4)="JK09","KUPWARA",IF(LEFT(I275,4)="JK15","BANDIPORA",IF(LEFT(I275,4)="JK17","KISHTWAR",IF(LEFT(I275,4)="T112","KARGIL","NEW")))))))))))))))</f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T102","TEMP",IF(LEFT(I276,4)="JK09","KUPWARA",IF(LEFT(I276,4)="JK15","BANDIPORA",IF(LEFT(I276,4)="JK17","KISHTWAR",IF(LEFT(I276,4)="T112","KARGIL","NEW")))))))))))))))</f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 t="s">
        <v>8263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>ROW()-1</f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T102","TEMP",IF(LEFT(I277,4)="JK09","KUPWARA",IF(LEFT(I277,4)="JK15","BANDIPORA",IF(LEFT(I277,4)="JK17","KISHTWAR",IF(LEFT(I277,4)="T112","KARGIL","NEW")))))))))))))))</f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T102","TEMP",IF(LEFT(I278,4)="JK09","KUPWARA",IF(LEFT(I278,4)="JK15","BANDIPORA",IF(LEFT(I278,4)="JK17","KISHTWAR",IF(LEFT(I278,4)="T112","KARGIL","NEW")))))))))))))))</f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T102","TEMP",IF(LEFT(I279,4)="JK09","KUPWARA",IF(LEFT(I279,4)="JK15","BANDIPORA",IF(LEFT(I279,4)="JK17","KISHTWAR",IF(LEFT(I279,4)="T112","KARGIL","NEW")))))))))))))))</f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T102","TEMP",IF(LEFT(I280,4)="JK09","KUPWARA",IF(LEFT(I280,4)="JK15","BANDIPORA",IF(LEFT(I280,4)="JK17","KISHTWAR",IF(LEFT(I280,4)="T112","KARGIL","NEW")))))))))))))))</f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>ROW()-1</f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T102","TEMP",IF(LEFT(I281,4)="JK09","KUPWARA",IF(LEFT(I281,4)="JK15","BANDIPORA",IF(LEFT(I281,4)="JK17","KISHTWAR",IF(LEFT(I281,4)="T112","KARGIL","NEW")))))))))))))))</f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>ROW()-1</f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T102","TEMP",IF(LEFT(I282,4)="JK09","KUPWARA",IF(LEFT(I282,4)="JK15","BANDIPORA",IF(LEFT(I282,4)="JK17","KISHTWAR",IF(LEFT(I282,4)="T112","KARGIL","NEW")))))))))))))))</f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>ROW()-1</f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T102","TEMP",IF(LEFT(I283,4)="JK09","KUPWARA",IF(LEFT(I283,4)="JK15","BANDIPORA",IF(LEFT(I283,4)="JK17","KISHTWAR",IF(LEFT(I283,4)="T112","KARGIL","NEW")))))))))))))))</f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7384</v>
      </c>
      <c r="C284" s="47" t="s">
        <v>7381</v>
      </c>
      <c r="D284" s="47" t="s">
        <v>7382</v>
      </c>
      <c r="E284" s="47" t="s">
        <v>7383</v>
      </c>
      <c r="F284" s="47" t="s">
        <v>12</v>
      </c>
      <c r="G284" s="47" t="s">
        <v>181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T102","TEMP",IF(LEFT(I284,4)="JK09","KUPWARA",IF(LEFT(I284,4)="JK15","BANDIPORA",IF(LEFT(I284,4)="JK17","KISHTWAR",IF(LEFT(I284,4)="T112","KARGIL","NEW")))))))))))))))</f>
        <v>PULWAMA</v>
      </c>
      <c r="I284" s="47" t="s">
        <v>7385</v>
      </c>
      <c r="J284" s="48">
        <v>46012</v>
      </c>
      <c r="K284" s="47">
        <v>9622838656</v>
      </c>
      <c r="L284" s="47" t="s">
        <v>6451</v>
      </c>
      <c r="M284" s="49"/>
      <c r="N284" s="48" t="s">
        <v>8264</v>
      </c>
      <c r="O284" s="47"/>
      <c r="P284" s="50"/>
      <c r="Q284" s="47"/>
      <c r="R284" s="47" t="s">
        <v>7177</v>
      </c>
    </row>
    <row r="285" spans="1:18" x14ac:dyDescent="0.25">
      <c r="A285" s="47">
        <f>ROW()-1</f>
        <v>284</v>
      </c>
      <c r="B285" s="47" t="s">
        <v>7244</v>
      </c>
      <c r="C285" s="47" t="s">
        <v>7245</v>
      </c>
      <c r="D285" s="47" t="s">
        <v>7246</v>
      </c>
      <c r="E285" s="47" t="s">
        <v>7247</v>
      </c>
      <c r="F285" s="47" t="s">
        <v>31</v>
      </c>
      <c r="G285" s="47" t="s">
        <v>175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T102","TEMP",IF(LEFT(I285,4)="JK09","KUPWARA",IF(LEFT(I285,4)="JK15","BANDIPORA",IF(LEFT(I285,4)="JK17","KISHTWAR",IF(LEFT(I285,4)="T112","KARGIL","NEW")))))))))))))))</f>
        <v>SHOPIAN</v>
      </c>
      <c r="I285" s="47" t="s">
        <v>7261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T102","TEMP",IF(LEFT(I286,4)="JK09","KUPWARA",IF(LEFT(I286,4)="JK15","BANDIPORA",IF(LEFT(I286,4)="JK17","KISHTWAR",IF(LEFT(I286,4)="T112","KARGIL","NEW")))))))))))))))</f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>ROW()-1</f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T102","TEMP",IF(LEFT(I287,4)="JK09","KUPWARA",IF(LEFT(I287,4)="JK15","BANDIPORA",IF(LEFT(I287,4)="JK17","KISHTWAR",IF(LEFT(I287,4)="T112","KARGIL","NEW"))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T102","TEMP",IF(LEFT(I288,4)="JK09","KUPWARA",IF(LEFT(I288,4)="JK15","BANDIPORA",IF(LEFT(I288,4)="JK17","KISHTWAR",IF(LEFT(I288,4)="T112","KARGIL","NEW"))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 t="s">
        <v>7295</v>
      </c>
      <c r="N288" s="48">
        <v>46035</v>
      </c>
      <c r="O288" s="47"/>
      <c r="P288" s="50"/>
      <c r="Q288" s="47"/>
      <c r="R288" s="47" t="s">
        <v>7732</v>
      </c>
    </row>
    <row r="289" spans="1:18" x14ac:dyDescent="0.25">
      <c r="A289" s="47">
        <f>ROW()-1</f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T102","TEMP",IF(LEFT(I289,4)="JK09","KUPWARA",IF(LEFT(I289,4)="JK15","BANDIPORA",IF(LEFT(I289,4)="JK17","KISHTWAR",IF(LEFT(I289,4)="T112","KARGIL","NEW")))))))))))))))</f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 t="s">
        <v>7617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>ROW()-1</f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T102","TEMP",IF(LEFT(I290,4)="JK09","KUPWARA",IF(LEFT(I290,4)="JK15","BANDIPORA",IF(LEFT(I290,4)="JK17","KISHTWAR",IF(LEFT(I290,4)="T112","KARGIL","NEW")))))))))))))))</f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>ROW()-1</f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T102","TEMP",IF(LEFT(I291,4)="JK09","KUPWARA",IF(LEFT(I291,4)="JK15","BANDIPORA",IF(LEFT(I291,4)="JK17","KISHTWAR",IF(LEFT(I291,4)="T112","KARGIL","NEW")))))))))))))))</f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>ROW()-1</f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T102","TEMP",IF(LEFT(I292,4)="JK09","KUPWARA",IF(LEFT(I292,4)="JK15","BANDIPORA",IF(LEFT(I292,4)="JK17","KISHTWAR",IF(LEFT(I292,4)="T112","KARGIL","NEW")))))))))))))))</f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>ROW()-1</f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T102","TEMP",IF(LEFT(I293,4)="JK09","KUPWARA",IF(LEFT(I293,4)="JK15","BANDIPORA",IF(LEFT(I293,4)="JK17","KISHTWAR",IF(LEFT(I293,4)="T112","KARGIL","NEW")))))))))))))))</f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T102","TEMP",IF(LEFT(I294,4)="JK09","KUPWARA",IF(LEFT(I294,4)="JK15","BANDIPORA",IF(LEFT(I294,4)="JK17","KISHTWAR",IF(LEFT(I294,4)="T112","KARGIL","NEW")))))))))))))))</f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T102","TEMP",IF(LEFT(I295,4)="JK09","KUPWARA",IF(LEFT(I295,4)="JK15","BANDIPORA",IF(LEFT(I295,4)="JK17","KISHTWAR",IF(LEFT(I295,4)="T112","KARGIL","NEW")))))))))))))))</f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>ROW()-1</f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T102","TEMP",IF(LEFT(I296,4)="JK09","KUPWARA",IF(LEFT(I296,4)="JK15","BANDIPORA",IF(LEFT(I296,4)="JK17","KISHTWAR",IF(LEFT(I296,4)="T112","KARGIL","NEW")))))))))))))))</f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 t="s">
        <v>8246</v>
      </c>
      <c r="O296" s="47"/>
      <c r="P296" s="50"/>
      <c r="Q296" s="47"/>
      <c r="R296" s="47"/>
    </row>
    <row r="297" spans="1:18" x14ac:dyDescent="0.25">
      <c r="A297" s="47">
        <f>ROW()-1</f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T102","TEMP",IF(LEFT(I297,4)="JK09","KUPWARA",IF(LEFT(I297,4)="JK15","BANDIPORA",IF(LEFT(I297,4)="JK17","KISHTWAR",IF(LEFT(I297,4)="T112","KARGIL","NEW"))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>ROW()-1</f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T102","TEMP",IF(LEFT(I298,4)="JK09","KUPWARA",IF(LEFT(I298,4)="JK15","BANDIPORA",IF(LEFT(I298,4)="JK17","KISHTWAR",IF(LEFT(I298,4)="T112","KARGIL","NEW")))))))))))))))</f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T102","TEMP",IF(LEFT(I299,4)="JK09","KUPWARA",IF(LEFT(I299,4)="JK15","BANDIPORA",IF(LEFT(I299,4)="JK17","KISHTWAR",IF(LEFT(I299,4)="T112","KARGIL","NEW")))))))))))))))</f>
        <v>NEW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T102","TEMP",IF(LEFT(I300,4)="JK09","KUPWARA",IF(LEFT(I300,4)="JK15","BANDIPORA",IF(LEFT(I300,4)="JK17","KISHTWAR",IF(LEFT(I300,4)="T112","KARGIL","NEW"))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>ROW()-1</f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T102","TEMP",IF(LEFT(I301,4)="JK09","KUPWARA",IF(LEFT(I301,4)="JK15","BANDIPORA",IF(LEFT(I301,4)="JK17","KISHTWAR",IF(LEFT(I301,4)="T112","KARGIL","NEW")))))))))))))))</f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>
        <v>45972</v>
      </c>
      <c r="O301" s="47"/>
      <c r="P301" s="50"/>
      <c r="Q301" s="47"/>
      <c r="R301" s="47" t="s">
        <v>7522</v>
      </c>
    </row>
    <row r="302" spans="1:18" x14ac:dyDescent="0.25">
      <c r="A302" s="47">
        <f>ROW()-1</f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T102","TEMP",IF(LEFT(I302,4)="JK09","KUPWARA",IF(LEFT(I302,4)="JK15","BANDIPORA",IF(LEFT(I302,4)="JK17","KISHTWAR",IF(LEFT(I302,4)="T112","KARGIL","NEW")))))))))))))))</f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T102","TEMP",IF(LEFT(I303,4)="JK09","KUPWARA",IF(LEFT(I303,4)="JK15","BANDIPORA",IF(LEFT(I303,4)="JK17","KISHTWAR",IF(LEFT(I303,4)="T112","KARGIL","NEW")))))))))))))))</f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T102","TEMP",IF(LEFT(I304,4)="JK09","KUPWARA",IF(LEFT(I304,4)="JK15","BANDIPORA",IF(LEFT(I304,4)="JK17","KISHTWAR",IF(LEFT(I304,4)="T112","KARGIL","NEW")))))))))))))))</f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>ROW()-1</f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T102","TEMP",IF(LEFT(I305,4)="JK09","KUPWARA",IF(LEFT(I305,4)="JK15","BANDIPORA",IF(LEFT(I305,4)="JK17","KISHTWAR",IF(LEFT(I305,4)="T112","KARGIL","NEW")))))))))))))))</f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T102","TEMP",IF(LEFT(I306,4)="JK09","KUPWARA",IF(LEFT(I306,4)="JK15","BANDIPORA",IF(LEFT(I306,4)="JK17","KISHTWAR",IF(LEFT(I306,4)="T112","KARGIL","NEW")))))))))))))))</f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>ROW()-1</f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T102","TEMP",IF(LEFT(I307,4)="JK09","KUPWARA",IF(LEFT(I307,4)="JK15","BANDIPORA",IF(LEFT(I307,4)="JK17","KISHTWAR",IF(LEFT(I307,4)="T112","KARGIL","NEW")))))))))))))))</f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T102","TEMP",IF(LEFT(I308,4)="JK09","KUPWARA",IF(LEFT(I308,4)="JK15","BANDIPORA",IF(LEFT(I308,4)="JK17","KISHTWAR",IF(LEFT(I308,4)="T112","KARGIL","NEW")))))))))))))))</f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>ROW()-1</f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T102","TEMP",IF(LEFT(I309,4)="JK09","KUPWARA",IF(LEFT(I309,4)="JK15","BANDIPORA",IF(LEFT(I309,4)="JK17","KISHTWAR",IF(LEFT(I309,4)="T112","KARGIL","NEW")))))))))))))))</f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T102","TEMP",IF(LEFT(I310,4)="JK09","KUPWARA",IF(LEFT(I310,4)="JK15","BANDIPORA",IF(LEFT(I310,4)="JK17","KISHTWAR",IF(LEFT(I310,4)="T112","KARGIL","NEW")))))))))))))))</f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>ROW()-1</f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T102","TEMP",IF(LEFT(I311,4)="JK09","KUPWARA",IF(LEFT(I311,4)="JK15","BANDIPORA",IF(LEFT(I311,4)="JK17","KISHTWAR",IF(LEFT(I311,4)="T112","KARGIL","NEW")))))))))))))))</f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>ROW()-1</f>
        <v>311</v>
      </c>
      <c r="B312" s="47" t="s">
        <v>7315</v>
      </c>
      <c r="C312" s="47" t="s">
        <v>7316</v>
      </c>
      <c r="D312" s="47" t="s">
        <v>7317</v>
      </c>
      <c r="E312" s="47" t="s">
        <v>7318</v>
      </c>
      <c r="F312" s="47" t="s">
        <v>119</v>
      </c>
      <c r="G312" s="47" t="s">
        <v>221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T102","TEMP",IF(LEFT(I312,4)="JK09","KUPWARA",IF(LEFT(I312,4)="JK15","BANDIPORA",IF(LEFT(I312,4)="JK17","KISHTWAR",IF(LEFT(I312,4)="T112","KARGIL","NEW")))))))))))))))</f>
        <v>SHOPIAN</v>
      </c>
      <c r="I312" s="47" t="s">
        <v>7320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7386</v>
      </c>
    </row>
    <row r="313" spans="1:18" x14ac:dyDescent="0.25">
      <c r="A313" s="47">
        <f>ROW()-1</f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T102","TEMP",IF(LEFT(I313,4)="JK09","KUPWARA",IF(LEFT(I313,4)="JK15","BANDIPORA",IF(LEFT(I313,4)="JK17","KISHTWAR",IF(LEFT(I313,4)="T112","KARGIL","NEW")))))))))))))))</f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>ROW()-1</f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T102","TEMP",IF(LEFT(I314,4)="JK09","KUPWARA",IF(LEFT(I314,4)="JK15","BANDIPORA",IF(LEFT(I314,4)="JK17","KISHTWAR",IF(LEFT(I314,4)="T112","KARGIL","NEW")))))))))))))))</f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T102","TEMP",IF(LEFT(I315,4)="JK09","KUPWARA",IF(LEFT(I315,4)="JK15","BANDIPORA",IF(LEFT(I315,4)="JK17","KISHTWAR",IF(LEFT(I315,4)="T112","KARGIL","NEW")))))))))))))))</f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>ROW()-1</f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T102","TEMP",IF(LEFT(I316,4)="JK09","KUPWARA",IF(LEFT(I316,4)="JK15","BANDIPORA",IF(LEFT(I316,4)="JK17","KISHTWAR",IF(LEFT(I316,4)="T112","KARGIL","NEW")))))))))))))))</f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>ROW()-1</f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T102","TEMP",IF(LEFT(I317,4)="JK09","KUPWARA",IF(LEFT(I317,4)="JK15","BANDIPORA",IF(LEFT(I317,4)="JK17","KISHTWAR",IF(LEFT(I317,4)="T112","KARGIL","NEW")))))))))))))))</f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T102","TEMP",IF(LEFT(I318,4)="JK09","KUPWARA",IF(LEFT(I318,4)="JK15","BANDIPORA",IF(LEFT(I318,4)="JK17","KISHTWAR",IF(LEFT(I318,4)="T112","KARGIL","NEW"))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>ROW()-1</f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T102","TEMP",IF(LEFT(I319,4)="JK09","KUPWARA",IF(LEFT(I319,4)="JK15","BANDIPORA",IF(LEFT(I319,4)="JK17","KISHTWAR",IF(LEFT(I319,4)="T112","KARGIL","NEW")))))))))))))))</f>
        <v>SRINAGAR</v>
      </c>
      <c r="I319" s="47" t="s">
        <v>7892</v>
      </c>
      <c r="J319" s="48">
        <v>46023</v>
      </c>
      <c r="K319" s="47">
        <v>7889588496</v>
      </c>
      <c r="L319" s="47" t="s">
        <v>8243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>ROW()-1</f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T102","TEMP",IF(LEFT(I320,4)="JK09","KUPWARA",IF(LEFT(I320,4)="JK15","BANDIPORA",IF(LEFT(I320,4)="JK17","KISHTWAR",IF(LEFT(I320,4)="T112","KARGIL","NEW")))))))))))))))</f>
        <v>SRINAGAR</v>
      </c>
      <c r="I320" s="47" t="s">
        <v>7893</v>
      </c>
      <c r="J320" s="48">
        <v>46023</v>
      </c>
      <c r="K320" s="47">
        <v>7006759527</v>
      </c>
      <c r="L320" s="47" t="s">
        <v>8242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>ROW()-1</f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T102","TEMP",IF(LEFT(I321,4)="JK09","KUPWARA",IF(LEFT(I321,4)="JK15","BANDIPORA",IF(LEFT(I321,4)="JK17","KISHTWAR",IF(LEFT(I321,4)="T112","KARGIL","NEW")))))))))))))))</f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>ROW()-1</f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T102","TEMP",IF(LEFT(I322,4)="JK09","KUPWARA",IF(LEFT(I322,4)="JK15","BANDIPORA",IF(LEFT(I322,4)="JK17","KISHTWAR",IF(LEFT(I322,4)="T112","KARGIL","NEW")))))))))))))))</f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 t="s">
        <v>7717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T102","TEMP",IF(LEFT(I323,4)="JK09","KUPWARA",IF(LEFT(I323,4)="JK15","BANDIPORA",IF(LEFT(I323,4)="JK17","KISHTWAR",IF(LEFT(I323,4)="T112","KARGIL","NEW")))))))))))))))</f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>ROW()-1</f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T102","TEMP",IF(LEFT(I324,4)="JK09","KUPWARA",IF(LEFT(I324,4)="JK15","BANDIPORA",IF(LEFT(I324,4)="JK17","KISHTWAR",IF(LEFT(I324,4)="T112","KARGIL","NEW")))))))))))))))</f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T102","TEMP",IF(LEFT(I325,4)="JK09","KUPWARA",IF(LEFT(I325,4)="JK15","BANDIPORA",IF(LEFT(I325,4)="JK17","KISHTWAR",IF(LEFT(I325,4)="T112","KARGIL","NEW")))))))))))))))</f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 t="s">
        <v>8225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T102","TEMP",IF(LEFT(I326,4)="JK09","KUPWARA",IF(LEFT(I326,4)="JK15","BANDIPORA",IF(LEFT(I326,4)="JK17","KISHTWAR",IF(LEFT(I326,4)="T112","KARGIL","NEW"))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7481</v>
      </c>
      <c r="C327" s="47" t="s">
        <v>7473</v>
      </c>
      <c r="D327" s="47" t="s">
        <v>7523</v>
      </c>
      <c r="E327" s="47" t="s">
        <v>7465</v>
      </c>
      <c r="F327" s="47" t="s">
        <v>67</v>
      </c>
      <c r="G327" s="47" t="s">
        <v>199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T102","TEMP",IF(LEFT(I327,4)="JK09","KUPWARA",IF(LEFT(I327,4)="JK15","BANDIPORA",IF(LEFT(I327,4)="JK17","KISHTWAR",IF(LEFT(I327,4)="T112","KARGIL","NEW")))))))))))))))</f>
        <v>SHOPIAN</v>
      </c>
      <c r="I327" s="47" t="s">
        <v>7491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T102","TEMP",IF(LEFT(I328,4)="JK09","KUPWARA",IF(LEFT(I328,4)="JK15","BANDIPORA",IF(LEFT(I328,4)="JK17","KISHTWAR",IF(LEFT(I328,4)="T112","KARGIL","NEW")))))))))))))))</f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T102","TEMP",IF(LEFT(I329,4)="JK09","KUPWARA",IF(LEFT(I329,4)="JK15","BANDIPORA",IF(LEFT(I329,4)="JK17","KISHTWAR",IF(LEFT(I329,4)="T112","KARGIL","NEW")))))))))))))))</f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T102","TEMP",IF(LEFT(I330,4)="JK09","KUPWARA",IF(LEFT(I330,4)="JK15","BANDIPORA",IF(LEFT(I330,4)="JK17","KISHTWAR",IF(LEFT(I330,4)="T112","KARGIL","NEW")))))))))))))))</f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T102","TEMP",IF(LEFT(I331,4)="JK09","KUPWARA",IF(LEFT(I331,4)="JK15","BANDIPORA",IF(LEFT(I331,4)="JK17","KISHTWAR",IF(LEFT(I331,4)="T112","KARGIL","NEW")))))))))))))))</f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T102","TEMP",IF(LEFT(I332,4)="JK09","KUPWARA",IF(LEFT(I332,4)="JK15","BANDIPORA",IF(LEFT(I332,4)="JK17","KISHTWAR",IF(LEFT(I332,4)="T112","KARGIL","NEW"))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 t="s">
        <v>8238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>ROW()-1</f>
        <v>332</v>
      </c>
      <c r="B333" s="47" t="s">
        <v>7839</v>
      </c>
      <c r="C333" s="47" t="s">
        <v>7840</v>
      </c>
      <c r="D333" s="47" t="s">
        <v>7841</v>
      </c>
      <c r="E333" s="47" t="s">
        <v>7842</v>
      </c>
      <c r="F333" s="47" t="s">
        <v>31</v>
      </c>
      <c r="G333" s="47" t="s">
        <v>200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T102","TEMP",IF(LEFT(I333,4)="JK09","KUPWARA",IF(LEFT(I333,4)="JK15","BANDIPORA",IF(LEFT(I333,4)="JK17","KISHTWAR",IF(LEFT(I333,4)="T112","KARGIL","NEW")))))))))))))))</f>
        <v>KULGAM</v>
      </c>
      <c r="I333" s="55" t="s">
        <v>7860</v>
      </c>
      <c r="J333" s="48">
        <v>46023</v>
      </c>
      <c r="K333" s="47">
        <v>7006176206</v>
      </c>
      <c r="L333" s="47" t="s">
        <v>6570</v>
      </c>
      <c r="M333" s="49" t="s">
        <v>7295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T102","TEMP",IF(LEFT(I334,4)="JK09","KUPWARA",IF(LEFT(I334,4)="JK15","BANDIPORA",IF(LEFT(I334,4)="JK17","KISHTWAR",IF(LEFT(I334,4)="T112","KARGIL","NEW")))))))))))))))</f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 t="s">
        <v>7295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>ROW()-1</f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T102","TEMP",IF(LEFT(I335,4)="JK09","KUPWARA",IF(LEFT(I335,4)="JK15","BANDIPORA",IF(LEFT(I335,4)="JK17","KISHTWAR",IF(LEFT(I335,4)="T112","KARGIL","NEW")))))))))))))))</f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>ROW()-1</f>
        <v>335</v>
      </c>
      <c r="B336" s="47" t="s">
        <v>7912</v>
      </c>
      <c r="C336" s="47" t="s">
        <v>7913</v>
      </c>
      <c r="D336" s="47" t="s">
        <v>7914</v>
      </c>
      <c r="E336" s="47" t="s">
        <v>7915</v>
      </c>
      <c r="F336" s="47" t="s">
        <v>486</v>
      </c>
      <c r="G336" s="47" t="s">
        <v>199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T102","TEMP",IF(LEFT(I336,4)="JK09","KUPWARA",IF(LEFT(I336,4)="JK15","BANDIPORA",IF(LEFT(I336,4)="JK17","KISHTWAR",IF(LEFT(I336,4)="T112","KARGIL","NEW")))))))))))))))</f>
        <v>SHOPIAN</v>
      </c>
      <c r="I336" s="47" t="s">
        <v>7956</v>
      </c>
      <c r="J336" s="48">
        <v>46024</v>
      </c>
      <c r="K336" s="47">
        <v>7780943149</v>
      </c>
      <c r="L336" s="47" t="s">
        <v>6570</v>
      </c>
      <c r="M336" s="49" t="s">
        <v>7295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>ROW()-1</f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T102","TEMP",IF(LEFT(I337,4)="JK09","KUPWARA",IF(LEFT(I337,4)="JK15","BANDIPORA",IF(LEFT(I337,4)="JK17","KISHTWAR",IF(LEFT(I337,4)="T112","KARGIL","NEW")))))))))))))))</f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T102","TEMP",IF(LEFT(I338,4)="JK09","KUPWARA",IF(LEFT(I338,4)="JK15","BANDIPORA",IF(LEFT(I338,4)="JK17","KISHTWAR",IF(LEFT(I338,4)="T112","KARGIL","NEW")))))))))))))))</f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>ROW()-1</f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T102","TEMP",IF(LEFT(I339,4)="JK09","KUPWARA",IF(LEFT(I339,4)="JK15","BANDIPORA",IF(LEFT(I339,4)="JK17","KISHTWAR",IF(LEFT(I339,4)="T112","KARGIL","NEW")))))))))))))))</f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T102","TEMP",IF(LEFT(I340,4)="JK09","KUPWARA",IF(LEFT(I340,4)="JK15","BANDIPORA",IF(LEFT(I340,4)="JK17","KISHTWAR",IF(LEFT(I340,4)="T112","KARGIL","NEW")))))))))))))))</f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T102","TEMP",IF(LEFT(I341,4)="JK09","KUPWARA",IF(LEFT(I341,4)="JK15","BANDIPORA",IF(LEFT(I341,4)="JK17","KISHTWAR",IF(LEFT(I341,4)="T112","KARGIL","NEW")))))))))))))))</f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T102","TEMP",IF(LEFT(I342,4)="JK09","KUPWARA",IF(LEFT(I342,4)="JK15","BANDIPORA",IF(LEFT(I342,4)="JK17","KISHTWAR",IF(LEFT(I342,4)="T112","KARGIL","NEW")))))))))))))))</f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 t="s">
        <v>7776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T102","TEMP",IF(LEFT(I343,4)="JK09","KUPWARA",IF(LEFT(I343,4)="JK15","BANDIPORA",IF(LEFT(I343,4)="JK17","KISHTWAR",IF(LEFT(I343,4)="T112","KARGIL","NEW")))))))))))))))</f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>ROW()-1</f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T102","TEMP",IF(LEFT(I344,4)="JK09","KUPWARA",IF(LEFT(I344,4)="JK15","BANDIPORA",IF(LEFT(I344,4)="JK17","KISHTWAR",IF(LEFT(I344,4)="T112","KARGIL","NEW")))))))))))))))</f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>ROW()-1</f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T102","TEMP",IF(LEFT(I345,4)="JK09","KUPWARA",IF(LEFT(I345,4)="JK15","BANDIPORA",IF(LEFT(I345,4)="JK17","KISHTWAR",IF(LEFT(I345,4)="T112","KARGIL","NEW")))))))))))))))</f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 t="s">
        <v>7617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T102","TEMP",IF(LEFT(I346,4)="JK09","KUPWARA",IF(LEFT(I346,4)="JK15","BANDIPORA",IF(LEFT(I346,4)="JK17","KISHTWAR",IF(LEFT(I346,4)="T112","KARGIL","NEW")))))))))))))))</f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7482</v>
      </c>
      <c r="C347" s="47" t="s">
        <v>7474</v>
      </c>
      <c r="D347" s="47" t="s">
        <v>7497</v>
      </c>
      <c r="E347" s="47" t="s">
        <v>7466</v>
      </c>
      <c r="F347" s="47" t="s">
        <v>7486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T102","TEMP",IF(LEFT(I347,4)="JK09","KUPWARA",IF(LEFT(I347,4)="JK15","BANDIPORA",IF(LEFT(I347,4)="JK17","KISHTWAR",IF(LEFT(I347,4)="T112","KARGIL","NEW")))))))))))))))</f>
        <v>SRINAGAR</v>
      </c>
      <c r="I347" s="47" t="s">
        <v>7492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T102","TEMP",IF(LEFT(I348,4)="JK09","KUPWARA",IF(LEFT(I348,4)="JK15","BANDIPORA",IF(LEFT(I348,4)="JK17","KISHTWAR",IF(LEFT(I348,4)="T112","KARGIL","NEW")))))))))))))))</f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T102","TEMP",IF(LEFT(I349,4)="JK09","KUPWARA",IF(LEFT(I349,4)="JK15","BANDIPORA",IF(LEFT(I349,4)="JK17","KISHTWAR",IF(LEFT(I349,4)="T112","KARGIL","NEW")))))))))))))))</f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T102","TEMP",IF(LEFT(I350,4)="JK09","KUPWARA",IF(LEFT(I350,4)="JK15","BANDIPORA",IF(LEFT(I350,4)="JK17","KISHTWAR",IF(LEFT(I350,4)="T112","KARGIL","NEW")))))))))))))))</f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8093</v>
      </c>
    </row>
    <row r="351" spans="1:18" x14ac:dyDescent="0.25">
      <c r="A351" s="47">
        <f>ROW()-1</f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T102","TEMP",IF(LEFT(I351,4)="JK09","KUPWARA",IF(LEFT(I351,4)="JK15","BANDIPORA",IF(LEFT(I351,4)="JK17","KISHTWAR",IF(LEFT(I351,4)="T112","KARGIL","NEW")))))))))))))))</f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T102","TEMP",IF(LEFT(I352,4)="JK09","KUPWARA",IF(LEFT(I352,4)="JK15","BANDIPORA",IF(LEFT(I352,4)="JK17","KISHTWAR",IF(LEFT(I352,4)="T112","KARGIL","NEW")))))))))))))))</f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>ROW()-1</f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T102","TEMP",IF(LEFT(I353,4)="JK09","KUPWARA",IF(LEFT(I353,4)="JK15","BANDIPORA",IF(LEFT(I353,4)="JK17","KISHTWAR",IF(LEFT(I353,4)="T112","KARGIL","NEW")))))))))))))))</f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>ROW()-1</f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T102","TEMP",IF(LEFT(I354,4)="JK09","KUPWARA",IF(LEFT(I354,4)="JK15","BANDIPORA",IF(LEFT(I354,4)="JK17","KISHTWAR",IF(LEFT(I354,4)="T112","KARGIL","NEW")))))))))))))))</f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>ROW()-1</f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T102","TEMP",IF(LEFT(I355,4)="JK09","KUPWARA",IF(LEFT(I355,4)="JK15","BANDIPORA",IF(LEFT(I355,4)="JK17","KISHTWAR",IF(LEFT(I355,4)="T112","KARGIL","NEW")))))))))))))))</f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>ROW()-1</f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T102","TEMP",IF(LEFT(I356,4)="JK09","KUPWARA",IF(LEFT(I356,4)="JK15","BANDIPORA",IF(LEFT(I356,4)="JK17","KISHTWAR",IF(LEFT(I356,4)="T112","KARGIL","NEW")))))))))))))))</f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 t="s">
        <v>7617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>ROW()-1</f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T102","TEMP",IF(LEFT(I357,4)="JK09","KUPWARA",IF(LEFT(I357,4)="JK15","BANDIPORA",IF(LEFT(I357,4)="JK17","KISHTWAR",IF(LEFT(I357,4)="T112","KARGIL","NEW")))))))))))))))</f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T102","TEMP",IF(LEFT(I358,4)="JK09","KUPWARA",IF(LEFT(I358,4)="JK15","BANDIPORA",IF(LEFT(I358,4)="JK17","KISHTWAR",IF(LEFT(I358,4)="T112","KARGIL","NEW")))))))))))))))</f>
        <v>KISHTWAR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>ROW()-1</f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T102","TEMP",IF(LEFT(I359,4)="JK09","KUPWARA",IF(LEFT(I359,4)="JK15","BANDIPORA",IF(LEFT(I359,4)="JK17","KISHTWAR",IF(LEFT(I359,4)="T112","KARGIL","NEW")))))))))))))))</f>
        <v>BHARAT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 t="s">
        <v>8265</v>
      </c>
      <c r="O359" s="47"/>
      <c r="P359" s="50"/>
      <c r="Q359" s="47"/>
      <c r="R359" s="47"/>
    </row>
    <row r="360" spans="1:18" x14ac:dyDescent="0.25">
      <c r="A360" s="47">
        <f>ROW()-1</f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T102","TEMP",IF(LEFT(I360,4)="JK09","KUPWARA",IF(LEFT(I360,4)="JK15","BANDIPORA",IF(LEFT(I360,4)="JK17","KISHTWAR",IF(LEFT(I360,4)="T112","KARGIL","NEW"))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>ROW()-1</f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T102","TEMP",IF(LEFT(I361,4)="JK09","KUPWARA",IF(LEFT(I361,4)="JK15","BANDIPORA",IF(LEFT(I361,4)="JK17","KISHTWAR",IF(LEFT(I361,4)="T112","KARGIL","NEW")))))))))))))))</f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T102","TEMP",IF(LEFT(I362,4)="JK09","KUPWARA",IF(LEFT(I362,4)="JK15","BANDIPORA",IF(LEFT(I362,4)="JK17","KISHTWAR",IF(LEFT(I362,4)="T112","KARGIL","NEW")))))))))))))))</f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>ROW()-1</f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T102","TEMP",IF(LEFT(I363,4)="JK09","KUPWARA",IF(LEFT(I363,4)="JK15","BANDIPORA",IF(LEFT(I363,4)="JK17","KISHTWAR",IF(LEFT(I363,4)="T112","KARGIL","NEW")))))))))))))))</f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>ROW()-1</f>
        <v>363</v>
      </c>
      <c r="B364" s="47" t="s">
        <v>7508</v>
      </c>
      <c r="C364" s="47" t="s">
        <v>7509</v>
      </c>
      <c r="D364" s="47" t="s">
        <v>7510</v>
      </c>
      <c r="E364" s="47" t="s">
        <v>7511</v>
      </c>
      <c r="F364" s="47" t="s">
        <v>12</v>
      </c>
      <c r="G364" s="47" t="s">
        <v>181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T102","TEMP",IF(LEFT(I364,4)="JK09","KUPWARA",IF(LEFT(I364,4)="JK15","BANDIPORA",IF(LEFT(I364,4)="JK17","KISHTWAR",IF(LEFT(I364,4)="T112","KARGIL","NEW")))))))))))))))</f>
        <v>SHOPIAN</v>
      </c>
      <c r="I364" s="47" t="s">
        <v>7519</v>
      </c>
      <c r="J364" s="48">
        <v>46016</v>
      </c>
      <c r="K364" s="47">
        <v>7889339504</v>
      </c>
      <c r="L364" s="47" t="s">
        <v>6451</v>
      </c>
      <c r="M364" s="49"/>
      <c r="N364" s="48" t="s">
        <v>8262</v>
      </c>
      <c r="O364" s="47"/>
      <c r="P364" s="50"/>
      <c r="Q364" s="47"/>
      <c r="R364" s="47"/>
    </row>
    <row r="365" spans="1:18" x14ac:dyDescent="0.25">
      <c r="A365" s="47">
        <f>ROW()-1</f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T102","TEMP",IF(LEFT(I365,4)="JK09","KUPWARA",IF(LEFT(I365,4)="JK15","BANDIPORA",IF(LEFT(I365,4)="JK17","KISHTWAR",IF(LEFT(I365,4)="T112","KARGIL","NEW")))))))))))))))</f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 t="s">
        <v>7895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T102","TEMP",IF(LEFT(I366,4)="JK09","KUPWARA",IF(LEFT(I366,4)="JK15","BANDIPORA",IF(LEFT(I366,4)="JK17","KISHTWAR",IF(LEFT(I366,4)="T112","KARGIL","NEW")))))))))))))))</f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>ROW()-1</f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T102","TEMP",IF(LEFT(I367,4)="JK09","KUPWARA",IF(LEFT(I367,4)="JK15","BANDIPORA",IF(LEFT(I367,4)="JK17","KISHTWAR",IF(LEFT(I367,4)="T112","KARGIL","NEW")))))))))))))))</f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 t="s">
        <v>8238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>ROW()-1</f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T102","TEMP",IF(LEFT(I368,4)="JK09","KUPWARA",IF(LEFT(I368,4)="JK15","BANDIPORA",IF(LEFT(I368,4)="JK17","KISHTWAR",IF(LEFT(I368,4)="T112","KARGIL","NEW")))))))))))))))</f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T102","TEMP",IF(LEFT(I369,4)="JK09","KUPWARA",IF(LEFT(I369,4)="JK15","BANDIPORA",IF(LEFT(I369,4)="JK17","KISHTWAR",IF(LEFT(I369,4)="T112","KARGIL","NEW")))))))))))))))</f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 t="s">
        <v>7776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>ROW()-1</f>
        <v>369</v>
      </c>
      <c r="B370" s="47" t="s">
        <v>7951</v>
      </c>
      <c r="C370" s="47" t="s">
        <v>7952</v>
      </c>
      <c r="D370" s="47" t="s">
        <v>7953</v>
      </c>
      <c r="E370" s="47" t="s">
        <v>7954</v>
      </c>
      <c r="F370" s="47" t="s">
        <v>5</v>
      </c>
      <c r="G370" s="47" t="s">
        <v>199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T102","TEMP",IF(LEFT(I370,4)="JK09","KUPWARA",IF(LEFT(I370,4)="JK15","BANDIPORA",IF(LEFT(I370,4)="JK17","KISHTWAR",IF(LEFT(I370,4)="T112","KARGIL","NEW")))))))))))))))</f>
        <v>SHOPIAN</v>
      </c>
      <c r="I370" s="48" t="s">
        <v>8014</v>
      </c>
      <c r="J370" s="48">
        <v>46025</v>
      </c>
      <c r="K370" s="47">
        <v>7006820710</v>
      </c>
      <c r="L370" s="47" t="s">
        <v>6570</v>
      </c>
      <c r="M370" s="49" t="s">
        <v>7295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28:A371" si="6">ROW()-1</f>
        <v>370</v>
      </c>
      <c r="B371" s="47" t="s">
        <v>7667</v>
      </c>
      <c r="C371" s="47" t="s">
        <v>7663</v>
      </c>
      <c r="D371" s="47" t="s">
        <v>7664</v>
      </c>
      <c r="E371" s="47" t="s">
        <v>7666</v>
      </c>
      <c r="F371" s="47" t="s">
        <v>31</v>
      </c>
      <c r="G371" s="47" t="s">
        <v>175</v>
      </c>
      <c r="H371" s="47" t="str">
        <f t="shared" ref="H328:H371" si="7"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T102","TEMP",IF(LEFT(I371,4)="JK09","KUPWARA",IF(LEFT(I371,4)="JK15","BANDIPORA",IF(LEFT(I371,4)="JK17","KISHTWAR",IF(LEFT(I371,4)="T112","KARGIL","NEW")))))))))))))))</f>
        <v>PULWAMA</v>
      </c>
      <c r="I371" s="47" t="s">
        <v>7665</v>
      </c>
      <c r="J371" s="48">
        <v>46018</v>
      </c>
      <c r="K371" s="47">
        <v>8715028576</v>
      </c>
      <c r="L371" s="47" t="s">
        <v>6451</v>
      </c>
      <c r="M371" s="49"/>
      <c r="N371" s="48" t="s">
        <v>8263</v>
      </c>
      <c r="O371" s="47"/>
      <c r="P371" s="50"/>
      <c r="Q371" s="47"/>
      <c r="R371" s="47"/>
    </row>
    <row r="372" spans="1:18" x14ac:dyDescent="0.25">
      <c r="A372" s="47">
        <f t="shared" ref="A372:A388" si="8">ROW()-1</f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ref="H372:H386" si="9"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T102","TEMP",IF(LEFT(I372,4)="JK09","KUPWARA",IF(LEFT(I372,4)="JK15","BANDIPORA",IF(LEFT(I372,4)="JK17","KISHTWAR",IF(LEFT(I372,4)="T112","KARGIL","NEW")))))))))))))))</f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8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9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8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9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8"/>
        <v>374</v>
      </c>
      <c r="B375" s="47" t="s">
        <v>8236</v>
      </c>
      <c r="C375" s="47" t="s">
        <v>8234</v>
      </c>
      <c r="D375" s="47" t="s">
        <v>8235</v>
      </c>
      <c r="E375" s="47" t="s">
        <v>3775</v>
      </c>
      <c r="F375" s="47" t="s">
        <v>31</v>
      </c>
      <c r="G375" s="47" t="s">
        <v>200</v>
      </c>
      <c r="H375" s="47" t="str">
        <f t="shared" si="9"/>
        <v>PULWAMA</v>
      </c>
      <c r="I375" s="47" t="s">
        <v>8237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8240</v>
      </c>
    </row>
    <row r="376" spans="1:18" x14ac:dyDescent="0.25">
      <c r="A376" s="47">
        <f t="shared" si="8"/>
        <v>375</v>
      </c>
      <c r="B376" s="47"/>
      <c r="C376" s="47"/>
      <c r="D376" s="47"/>
      <c r="E376" s="47"/>
      <c r="F376" s="47"/>
      <c r="G376" s="47"/>
      <c r="H376" s="47" t="str">
        <f t="shared" si="9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8"/>
        <v>376</v>
      </c>
      <c r="B377" s="47"/>
      <c r="C377" s="47"/>
      <c r="D377" s="47"/>
      <c r="E377" s="47"/>
      <c r="F377" s="47"/>
      <c r="G377" s="47"/>
      <c r="H377" s="47" t="str">
        <f t="shared" si="9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8"/>
        <v>377</v>
      </c>
      <c r="B378" s="47"/>
      <c r="C378" s="47"/>
      <c r="D378" s="47"/>
      <c r="E378" s="47"/>
      <c r="F378" s="47"/>
      <c r="G378" s="47"/>
      <c r="H378" s="47" t="str">
        <f t="shared" si="9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8"/>
        <v>378</v>
      </c>
      <c r="B379" s="47"/>
      <c r="C379" s="47"/>
      <c r="D379" s="47"/>
      <c r="E379" s="47"/>
      <c r="F379" s="47"/>
      <c r="G379" s="47"/>
      <c r="H379" s="47" t="str">
        <f t="shared" si="9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8"/>
        <v>379</v>
      </c>
      <c r="B380" s="47"/>
      <c r="C380" s="47"/>
      <c r="D380" s="47"/>
      <c r="E380" s="47"/>
      <c r="F380" s="47"/>
      <c r="G380" s="47"/>
      <c r="H380" s="47" t="str">
        <f t="shared" si="9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8"/>
        <v>380</v>
      </c>
      <c r="B381" s="47"/>
      <c r="C381" s="47"/>
      <c r="D381" s="47"/>
      <c r="E381" s="47"/>
      <c r="F381" s="47"/>
      <c r="G381" s="47"/>
      <c r="H381" s="47" t="str">
        <f t="shared" si="9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8"/>
        <v>381</v>
      </c>
      <c r="B382" s="47"/>
      <c r="C382" s="47"/>
      <c r="D382" s="47"/>
      <c r="E382" s="47"/>
      <c r="F382" s="47"/>
      <c r="G382" s="47"/>
      <c r="H382" s="47" t="str">
        <f t="shared" si="9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8"/>
        <v>382</v>
      </c>
      <c r="B383" s="47"/>
      <c r="C383" s="47"/>
      <c r="D383" s="47"/>
      <c r="E383" s="47"/>
      <c r="F383" s="47"/>
      <c r="G383" s="47"/>
      <c r="H383" s="47" t="str">
        <f t="shared" si="9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8"/>
        <v>383</v>
      </c>
      <c r="B384" s="47"/>
      <c r="C384" s="47"/>
      <c r="D384" s="47"/>
      <c r="E384" s="47"/>
      <c r="F384" s="47"/>
      <c r="G384" s="47"/>
      <c r="H384" s="47" t="str">
        <f t="shared" si="9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8"/>
        <v>384</v>
      </c>
      <c r="B385" s="47"/>
      <c r="C385" s="47"/>
      <c r="D385" s="47"/>
      <c r="E385" s="47"/>
      <c r="F385" s="47"/>
      <c r="G385" s="47"/>
      <c r="H385" s="47" t="str">
        <f t="shared" si="9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8"/>
        <v>385</v>
      </c>
      <c r="B386" s="47"/>
      <c r="C386" s="47"/>
      <c r="D386" s="47"/>
      <c r="E386" s="47"/>
      <c r="F386" s="47"/>
      <c r="G386" s="47"/>
      <c r="H386" s="47" t="str">
        <f t="shared" si="9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8"/>
        <v>386</v>
      </c>
      <c r="B387" s="47"/>
      <c r="C387" s="47"/>
      <c r="D387" s="47"/>
      <c r="E387" s="47"/>
      <c r="F387" s="47"/>
      <c r="G387" s="47"/>
      <c r="H387" s="47" t="str">
        <f t="shared" ref="H387:H388" si="10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T102","TEMP",IF(LEFT(I387,4)="JK09","KUPWARA",IF(LEFT(I387,4)="JK15","BANDIPORA",IF(LEFT(I387,4)="JK17","KISHTWAR",IF(LEFT(I387,4)="T112","KARGIL","NEW"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8"/>
        <v>387</v>
      </c>
      <c r="B388" s="47"/>
      <c r="C388" s="47"/>
      <c r="D388" s="47"/>
      <c r="E388" s="47"/>
      <c r="F388" s="47"/>
      <c r="G388" s="47"/>
      <c r="H388" s="47" t="str">
        <f t="shared" si="10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J329:J333 I331:J332 I334:J360 I357:I368 J361:J368 I369:J375 I376:R388 A380:G388 B389:G389 I389 K389:K478 K326:R375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2"/>
  <sheetViews>
    <sheetView topLeftCell="A152" zoomScale="85" zoomScaleNormal="85" workbookViewId="0">
      <selection activeCell="D155" sqref="D15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57" t="s">
        <v>7806</v>
      </c>
      <c r="C4" s="57">
        <v>7889324122</v>
      </c>
      <c r="D4" s="57" t="s">
        <v>7815</v>
      </c>
      <c r="E4" s="57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>ROW()-2</f>
        <v>3</v>
      </c>
      <c r="B5" s="57" t="s">
        <v>7820</v>
      </c>
      <c r="C5" s="57">
        <v>7006000499</v>
      </c>
      <c r="D5" s="57" t="s">
        <v>8153</v>
      </c>
      <c r="E5" s="57" t="s">
        <v>7847</v>
      </c>
      <c r="F5" s="21"/>
      <c r="G5" s="21"/>
      <c r="H5" s="19"/>
    </row>
    <row r="6" spans="1:8" ht="15.75" x14ac:dyDescent="0.25">
      <c r="A6" s="19">
        <f>ROW()-2</f>
        <v>4</v>
      </c>
      <c r="B6" s="57" t="s">
        <v>8154</v>
      </c>
      <c r="C6" s="57">
        <v>7006582052</v>
      </c>
      <c r="D6" s="57" t="s">
        <v>8155</v>
      </c>
      <c r="E6" s="57" t="s">
        <v>7850</v>
      </c>
      <c r="F6" s="21"/>
      <c r="G6" s="21"/>
      <c r="H6" s="19"/>
    </row>
    <row r="7" spans="1:8" ht="15.75" x14ac:dyDescent="0.25">
      <c r="A7" s="19">
        <f>ROW()-2</f>
        <v>5</v>
      </c>
      <c r="B7" s="57" t="s">
        <v>7886</v>
      </c>
      <c r="C7" s="57">
        <v>8082623899</v>
      </c>
      <c r="D7" s="57" t="s">
        <v>8156</v>
      </c>
      <c r="E7" s="57" t="s">
        <v>7879</v>
      </c>
      <c r="F7" s="21"/>
      <c r="G7" s="21"/>
      <c r="H7" s="19"/>
    </row>
    <row r="8" spans="1:8" ht="15.75" x14ac:dyDescent="0.25">
      <c r="A8" s="19">
        <f>ROW()-2</f>
        <v>6</v>
      </c>
      <c r="B8" s="57" t="s">
        <v>7793</v>
      </c>
      <c r="C8" s="57">
        <v>7780996739</v>
      </c>
      <c r="D8" s="57" t="s">
        <v>8157</v>
      </c>
      <c r="E8" s="57" t="s">
        <v>7848</v>
      </c>
      <c r="F8" s="21"/>
      <c r="G8" s="21"/>
      <c r="H8" s="19"/>
    </row>
    <row r="9" spans="1:8" ht="15.75" x14ac:dyDescent="0.25">
      <c r="A9" s="19">
        <f>ROW()-2</f>
        <v>7</v>
      </c>
      <c r="B9" s="57" t="s">
        <v>7878</v>
      </c>
      <c r="C9" s="57">
        <v>7889588496</v>
      </c>
      <c r="D9" s="57" t="s">
        <v>7938</v>
      </c>
      <c r="E9" s="57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>ROW()-2</f>
        <v>8</v>
      </c>
      <c r="B10" s="57" t="s">
        <v>7933</v>
      </c>
      <c r="C10" s="57">
        <v>7006197341</v>
      </c>
      <c r="D10" s="57" t="s">
        <v>8158</v>
      </c>
      <c r="E10" s="57" t="s">
        <v>7934</v>
      </c>
      <c r="F10" s="21"/>
      <c r="G10" s="21"/>
      <c r="H10" s="19"/>
    </row>
    <row r="11" spans="1:8" ht="15.75" x14ac:dyDescent="0.25">
      <c r="A11" s="19">
        <f>ROW()-2</f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>ROW()-2</f>
        <v>10</v>
      </c>
      <c r="B12" s="57" t="s">
        <v>7907</v>
      </c>
      <c r="C12" s="57">
        <v>9906473272</v>
      </c>
      <c r="D12" s="57" t="s">
        <v>8150</v>
      </c>
      <c r="E12" s="57" t="s">
        <v>7926</v>
      </c>
      <c r="F12" s="21"/>
      <c r="G12" s="21"/>
      <c r="H12" s="19"/>
    </row>
    <row r="13" spans="1:8" ht="15.75" x14ac:dyDescent="0.25">
      <c r="A13" s="19">
        <f>ROW()-2</f>
        <v>11</v>
      </c>
      <c r="B13" s="57" t="s">
        <v>8160</v>
      </c>
      <c r="C13" s="57">
        <v>9906786675</v>
      </c>
      <c r="D13" s="57" t="s">
        <v>8161</v>
      </c>
      <c r="E13" s="57" t="s">
        <v>7925</v>
      </c>
      <c r="F13" s="21"/>
      <c r="G13" s="21"/>
      <c r="H13" s="19"/>
    </row>
    <row r="14" spans="1:8" ht="15.75" x14ac:dyDescent="0.25">
      <c r="A14" s="19">
        <f>ROW()-2</f>
        <v>12</v>
      </c>
      <c r="B14" s="57" t="s">
        <v>7855</v>
      </c>
      <c r="C14" s="57">
        <v>9622459354</v>
      </c>
      <c r="D14" s="57" t="s">
        <v>8162</v>
      </c>
      <c r="E14" s="57" t="s">
        <v>7861</v>
      </c>
      <c r="F14" s="21"/>
      <c r="G14" s="21"/>
      <c r="H14" s="19"/>
    </row>
    <row r="15" spans="1:8" ht="15.75" x14ac:dyDescent="0.25">
      <c r="A15" s="19">
        <f>ROW()-2</f>
        <v>13</v>
      </c>
      <c r="B15" s="57" t="s">
        <v>7891</v>
      </c>
      <c r="C15" s="57">
        <v>7006616090</v>
      </c>
      <c r="D15" s="57" t="s">
        <v>8122</v>
      </c>
      <c r="E15" s="57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>ROW()-2</f>
        <v>14</v>
      </c>
      <c r="B16" s="57" t="s">
        <v>8151</v>
      </c>
      <c r="C16" s="57">
        <v>9906730950</v>
      </c>
      <c r="D16" s="57" t="s">
        <v>8152</v>
      </c>
      <c r="E16" s="57" t="s">
        <v>7999</v>
      </c>
      <c r="F16" s="21"/>
      <c r="G16" s="21"/>
      <c r="H16" s="19"/>
    </row>
    <row r="17" spans="1:13" ht="15.75" x14ac:dyDescent="0.25">
      <c r="A17" s="19">
        <f>ROW()-2</f>
        <v>15</v>
      </c>
      <c r="B17" s="57" t="s">
        <v>8163</v>
      </c>
      <c r="C17" s="57">
        <v>7006441266</v>
      </c>
      <c r="D17" s="57" t="s">
        <v>8164</v>
      </c>
      <c r="E17" s="57" t="s">
        <v>8013</v>
      </c>
      <c r="F17" s="21"/>
      <c r="G17" s="21"/>
      <c r="H17" s="19"/>
    </row>
    <row r="18" spans="1:13" ht="15.75" x14ac:dyDescent="0.25">
      <c r="A18" s="19">
        <f>ROW()-2</f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>ROW()-2</f>
        <v>17</v>
      </c>
      <c r="B19" s="57" t="s">
        <v>6676</v>
      </c>
      <c r="C19" s="57">
        <v>9149776065</v>
      </c>
      <c r="D19" s="57" t="s">
        <v>6666</v>
      </c>
      <c r="E19" s="57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>ROW()-2</f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>ROW()-2</f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>ROW()-2</f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>ROW()-2</f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>ROW()-2</f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>ROW()-2</f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>ROW()-2</f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>ROW()-2</f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>ROW()-2</f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>ROW()-2</f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>ROW()-2</f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>ROW()-2</f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>ROW()-2</f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>ROW()-2</f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>ROW()-2</f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>ROW()-2</f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>ROW()-2</f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>ROW()-2</f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>ROW()-2</f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>ROW()-2</f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>ROW()-2</f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>ROW()-2</f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>ROW()-2</f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>ROW()-2</f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>ROW()-2</f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8270</v>
      </c>
    </row>
    <row r="46" spans="1:14" ht="15.75" x14ac:dyDescent="0.25">
      <c r="A46" s="19">
        <f>ROW()-2</f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>ROW()-2</f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>ROW()-2</f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>ROW()-2</f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>ROW()-2</f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>ROW()-2</f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>ROW()-2</f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>ROW()-2</f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>ROW()-2</f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>ROW()-2</f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>ROW()-2</f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>ROW()-2</f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>ROW()-2</f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>ROW()-2</f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>ROW()-2</f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>ROW()-2</f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>ROW()-2</f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>ROW()-2</f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>ROW()-2</f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>ROW()-2</f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>ROW()-2</f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>ROW()-2</f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>ROW()-2</f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>ROW()-2</f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>ROW()-2</f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>ROW()-2</f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>ROW()-2</f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>ROW()-2</f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>ROW()-2</f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>ROW()-2</f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>ROW()-2</f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>ROW()-2</f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>ROW()-2</f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>ROW()-2</f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>ROW()-2</f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>ROW()-2</f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>ROW()-2</f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>ROW()-2</f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>ROW()-2</f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>ROW()-2</f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>ROW()-2</f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>ROW()-2</f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>ROW()-2</f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>ROW()-2</f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>ROW()-2</f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>ROW()-2</f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>ROW()-2</f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>ROW()-2</f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>ROW()-2</f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>ROW()-2</f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>ROW()-2</f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>ROW()-2</f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>ROW()-2</f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>ROW()-2</f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>ROW()-2</f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>ROW()-2</f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>ROW()-2</f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>ROW()-2</f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>ROW()-2</f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>ROW()-2</f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>ROW()-2</f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>ROW()-2</f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>ROW()-2</f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>ROW()-2</f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>ROW()-2</f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>ROW()-2</f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>ROW()-2</f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>ROW()-2</f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>ROW()-2</f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>ROW()-2</f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>ROW()-2</f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>ROW()-2</f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>ROW()-2</f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>ROW()-2</f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>ROW()-2</f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>ROW()-2</f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>ROW()-2</f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>ROW()-2</f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>ROW()-2</f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>ROW()-2</f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>ROW()-2</f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>ROW()-2</f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>ROW()-2</f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>ROW()-2</f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>ROW()-2</f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>ROW()-2</f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>ROW()-2</f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>ROW()-2</f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>ROW()-2</f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>ROW()-2</f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>ROW()-2</f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>ROW()-2</f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>ROW()-2</f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>ROW()-2</f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>ROW()-2</f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>ROW()-2</f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>ROW()-2</f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>ROW()-2</f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>ROW()-2</f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>ROW()-2</f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>ROW()-2</f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>ROW()-2</f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>ROW()-2</f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>ROW()-2</f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>ROW()-2</f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>ROW()-2</f>
        <v>154</v>
      </c>
      <c r="B156" s="57" t="s">
        <v>8141</v>
      </c>
      <c r="C156" s="57">
        <v>7780804850</v>
      </c>
      <c r="D156" s="57" t="s">
        <v>8142</v>
      </c>
      <c r="E156" s="57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>ROW()-2</f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>ROW()-2</f>
        <v>156</v>
      </c>
      <c r="B158" s="57" t="s">
        <v>2915</v>
      </c>
      <c r="C158" s="57">
        <v>9596187640</v>
      </c>
      <c r="D158" s="57" t="s">
        <v>8146</v>
      </c>
      <c r="E158" s="57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>ROW()-2</f>
        <v>157</v>
      </c>
      <c r="B159" s="57" t="s">
        <v>8133</v>
      </c>
      <c r="C159" s="57">
        <v>7889666298</v>
      </c>
      <c r="D159" s="57" t="s">
        <v>8134</v>
      </c>
      <c r="E159" s="57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>ROW()-2</f>
        <v>158</v>
      </c>
      <c r="B160" s="57" t="s">
        <v>8045</v>
      </c>
      <c r="C160" s="57">
        <v>9906284454</v>
      </c>
      <c r="D160" s="57" t="s">
        <v>8135</v>
      </c>
      <c r="E160" s="57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>ROW()-2</f>
        <v>159</v>
      </c>
      <c r="B161" s="57" t="s">
        <v>6773</v>
      </c>
      <c r="C161" s="57">
        <v>7006274587</v>
      </c>
      <c r="D161" s="57" t="s">
        <v>8175</v>
      </c>
      <c r="E161" s="57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>ROW()-2</f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>ROW()-2</f>
        <v>161</v>
      </c>
      <c r="B163" s="57" t="s">
        <v>2303</v>
      </c>
      <c r="C163" s="57">
        <v>9797443009</v>
      </c>
      <c r="D163" s="57" t="s">
        <v>8211</v>
      </c>
      <c r="E163" s="57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>ROW()-2</f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>ROW()-2</f>
        <v>163</v>
      </c>
      <c r="B165" s="57" t="s">
        <v>8108</v>
      </c>
      <c r="C165" s="57">
        <v>8899110779</v>
      </c>
      <c r="D165" s="57" t="s">
        <v>8213</v>
      </c>
      <c r="E165" s="57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>ROW()-2</f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>ROW()-2</f>
        <v>165</v>
      </c>
      <c r="B167" s="57" t="s">
        <v>8220</v>
      </c>
      <c r="C167" s="57">
        <v>6006052436</v>
      </c>
      <c r="D167" s="57" t="s">
        <v>8221</v>
      </c>
      <c r="E167" s="57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>ROW()-2</f>
        <v>166</v>
      </c>
      <c r="B168" s="19" t="s">
        <v>8217</v>
      </c>
      <c r="C168" s="19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>ROW()-2</f>
        <v>167</v>
      </c>
      <c r="B169" s="57" t="s">
        <v>8182</v>
      </c>
      <c r="C169" s="57">
        <v>9906409906</v>
      </c>
      <c r="D169" s="57" t="s">
        <v>8226</v>
      </c>
      <c r="E169" s="57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>ROW()-2</f>
        <v>168</v>
      </c>
      <c r="B170" s="57" t="s">
        <v>8202</v>
      </c>
      <c r="C170" s="57">
        <v>8491882203</v>
      </c>
      <c r="D170" s="57" t="s">
        <v>8228</v>
      </c>
      <c r="E170" s="57" t="s">
        <v>8209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>ROW()-2</f>
        <v>169</v>
      </c>
      <c r="B171" s="57" t="s">
        <v>8205</v>
      </c>
      <c r="C171" s="57">
        <v>7780867070</v>
      </c>
      <c r="D171" s="57" t="s">
        <v>8232</v>
      </c>
      <c r="E171" s="57" t="s">
        <v>8208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>ROW()-2</f>
        <v>170</v>
      </c>
      <c r="B172" s="57" t="s">
        <v>8103</v>
      </c>
      <c r="C172" s="57">
        <v>9622595048</v>
      </c>
      <c r="D172" s="57" t="s">
        <v>8233</v>
      </c>
      <c r="E172" s="57" t="s">
        <v>8118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>ROW()-2</f>
        <v>171</v>
      </c>
      <c r="B173" s="57" t="s">
        <v>5986</v>
      </c>
      <c r="C173" s="57">
        <v>9149483760</v>
      </c>
      <c r="D173" s="57" t="s">
        <v>8239</v>
      </c>
      <c r="E173" s="57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>ROW()-2</f>
        <v>172</v>
      </c>
      <c r="B174" s="57" t="s">
        <v>8266</v>
      </c>
      <c r="C174" s="57">
        <v>9797723564</v>
      </c>
      <c r="D174" s="57" t="s">
        <v>8267</v>
      </c>
      <c r="E174" s="57" t="s">
        <v>8268</v>
      </c>
      <c r="F174" s="21">
        <v>46034</v>
      </c>
      <c r="G174" s="21" t="s">
        <v>8269</v>
      </c>
      <c r="H174" s="19" t="s">
        <v>6665</v>
      </c>
    </row>
    <row r="175" spans="1:8" ht="15.75" x14ac:dyDescent="0.25">
      <c r="A175" s="19">
        <f>ROW()-2</f>
        <v>173</v>
      </c>
      <c r="B175" s="19"/>
      <c r="C175" s="19"/>
      <c r="D175" s="19" t="s">
        <v>8275</v>
      </c>
      <c r="E175" s="19"/>
      <c r="F175" s="21"/>
      <c r="G175" s="21" t="s">
        <v>342</v>
      </c>
      <c r="H175" s="19"/>
    </row>
    <row r="176" spans="1:8" ht="15.75" x14ac:dyDescent="0.25">
      <c r="A176" s="19">
        <f>ROW()-2</f>
        <v>174</v>
      </c>
      <c r="B176" s="19"/>
      <c r="C176" s="19"/>
      <c r="D176" s="19" t="s">
        <v>8276</v>
      </c>
      <c r="E176" s="19"/>
      <c r="F176" s="21"/>
      <c r="G176" s="21" t="s">
        <v>342</v>
      </c>
      <c r="H176" s="19"/>
    </row>
    <row r="177" spans="1:8" ht="15.75" x14ac:dyDescent="0.25">
      <c r="A177" s="19">
        <f>ROW()-2</f>
        <v>175</v>
      </c>
      <c r="B177" s="19"/>
      <c r="C177" s="19"/>
      <c r="D177" s="19" t="s">
        <v>8277</v>
      </c>
      <c r="E177" s="19"/>
      <c r="F177" s="21"/>
      <c r="G177" s="21" t="s">
        <v>342</v>
      </c>
      <c r="H177" s="19"/>
    </row>
    <row r="178" spans="1:8" ht="15.75" x14ac:dyDescent="0.25">
      <c r="A178" s="19">
        <f>ROW()-2</f>
        <v>176</v>
      </c>
      <c r="B178" s="19"/>
      <c r="C178" s="19"/>
      <c r="D178" s="19" t="s">
        <v>8278</v>
      </c>
      <c r="E178" s="19"/>
      <c r="F178" s="21"/>
      <c r="G178" s="21" t="s">
        <v>342</v>
      </c>
      <c r="H178" s="19"/>
    </row>
    <row r="179" spans="1:8" ht="15.75" x14ac:dyDescent="0.25">
      <c r="A179" s="19">
        <f>ROW()-2</f>
        <v>177</v>
      </c>
      <c r="B179" s="19"/>
      <c r="C179" s="19"/>
      <c r="D179" s="19" t="s">
        <v>8279</v>
      </c>
      <c r="E179" s="19"/>
      <c r="F179" s="21"/>
      <c r="G179" s="21" t="s">
        <v>342</v>
      </c>
      <c r="H179" s="19"/>
    </row>
    <row r="180" spans="1:8" ht="15.75" x14ac:dyDescent="0.25">
      <c r="A180" s="19">
        <f>ROW()-2</f>
        <v>178</v>
      </c>
      <c r="B180" s="19"/>
      <c r="C180" s="19"/>
      <c r="D180" s="19" t="s">
        <v>8280</v>
      </c>
      <c r="E180" s="19"/>
      <c r="F180" s="21"/>
      <c r="G180" s="21" t="s">
        <v>342</v>
      </c>
      <c r="H180" s="19"/>
    </row>
    <row r="181" spans="1:8" ht="15.75" x14ac:dyDescent="0.25">
      <c r="A181" s="19">
        <f>ROW()-2</f>
        <v>179</v>
      </c>
      <c r="B181" s="19"/>
      <c r="C181" s="19"/>
      <c r="D181" s="19" t="s">
        <v>8281</v>
      </c>
      <c r="E181" s="19"/>
      <c r="F181" s="21"/>
      <c r="G181" s="21" t="s">
        <v>342</v>
      </c>
      <c r="H181" s="19"/>
    </row>
    <row r="182" spans="1:8" ht="15.75" x14ac:dyDescent="0.25">
      <c r="A182" s="19">
        <f>ROW()-2</f>
        <v>180</v>
      </c>
      <c r="B182" s="57" t="s">
        <v>8271</v>
      </c>
      <c r="C182" s="57">
        <v>9596935377</v>
      </c>
      <c r="D182" s="57" t="s">
        <v>8272</v>
      </c>
      <c r="E182" s="57" t="s">
        <v>8273</v>
      </c>
      <c r="F182" s="21">
        <v>46035</v>
      </c>
      <c r="G182" s="21" t="s">
        <v>8274</v>
      </c>
      <c r="H182" s="19" t="s">
        <v>6665</v>
      </c>
    </row>
    <row r="183" spans="1:8" ht="15.75" x14ac:dyDescent="0.25">
      <c r="A183" s="19">
        <f>ROW()-2</f>
        <v>181</v>
      </c>
      <c r="B183" s="57" t="s">
        <v>7950</v>
      </c>
      <c r="C183" s="57">
        <v>9419004025</v>
      </c>
      <c r="D183" s="57" t="s">
        <v>8149</v>
      </c>
      <c r="E183" s="57" t="s">
        <v>8016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>ROW()-2</f>
        <v>182</v>
      </c>
      <c r="B184" s="57" t="s">
        <v>8007</v>
      </c>
      <c r="C184" s="57">
        <v>7889441591</v>
      </c>
      <c r="D184" s="57" t="s">
        <v>8143</v>
      </c>
      <c r="E184" s="57" t="s">
        <v>8008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>ROW()-2</f>
        <v>183</v>
      </c>
      <c r="B185" s="57" t="s">
        <v>2841</v>
      </c>
      <c r="C185" s="57">
        <v>7006960324</v>
      </c>
      <c r="D185" s="57" t="s">
        <v>8140</v>
      </c>
      <c r="E185" s="57" t="s">
        <v>7867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>ROW()-2</f>
        <v>184</v>
      </c>
      <c r="B186" s="57" t="s">
        <v>7866</v>
      </c>
      <c r="C186" s="57">
        <v>9906759399</v>
      </c>
      <c r="D186" s="57" t="s">
        <v>8139</v>
      </c>
      <c r="E186" s="57" t="s">
        <v>7868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>ROW()-2</f>
        <v>185</v>
      </c>
      <c r="B187" s="57" t="s">
        <v>7974</v>
      </c>
      <c r="C187" s="57">
        <v>9149592772</v>
      </c>
      <c r="D187" s="57" t="s">
        <v>8138</v>
      </c>
      <c r="E187" s="57" t="s">
        <v>7976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>ROW()-2</f>
        <v>186</v>
      </c>
      <c r="B188" s="57" t="s">
        <v>7990</v>
      </c>
      <c r="C188" s="57">
        <v>9596382727</v>
      </c>
      <c r="D188" s="57" t="s">
        <v>8137</v>
      </c>
      <c r="E188" s="57" t="s">
        <v>7992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>ROW()-2</f>
        <v>187</v>
      </c>
      <c r="B189" s="57" t="s">
        <v>4284</v>
      </c>
      <c r="C189" s="57">
        <v>8899926488</v>
      </c>
      <c r="D189" s="57" t="s">
        <v>8136</v>
      </c>
      <c r="E189" s="57" t="s">
        <v>7987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>ROW()-2</f>
        <v>188</v>
      </c>
      <c r="B190" s="19"/>
      <c r="C190" s="19"/>
      <c r="D190" s="19"/>
      <c r="E190" s="19"/>
      <c r="F190" s="21"/>
      <c r="G190" s="21"/>
      <c r="H190" s="19"/>
    </row>
    <row r="191" spans="1:8" ht="15.75" x14ac:dyDescent="0.25">
      <c r="A191" s="19">
        <f>ROW()-2</f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</sheetData>
  <mergeCells count="1">
    <mergeCell ref="A1:H1"/>
  </mergeCells>
  <phoneticPr fontId="31" type="noConversion"/>
  <conditionalFormatting sqref="B103 E103 B121:E154 B169:E192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2026-01-13T11:12:14Z</dcterms:modified>
</cp:coreProperties>
</file>