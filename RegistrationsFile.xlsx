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8553639-9864-46FF-BD06-B9E4349243E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9" i="7" l="1"/>
  <c r="A400" i="7"/>
  <c r="A401" i="7"/>
  <c r="H647" i="4"/>
  <c r="H648" i="4"/>
  <c r="H649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647" i="4"/>
  <c r="A648" i="4"/>
  <c r="A649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H640" i="4"/>
  <c r="H641" i="4"/>
  <c r="H642" i="4"/>
  <c r="H643" i="4"/>
  <c r="H644" i="4"/>
  <c r="H645" i="4"/>
  <c r="H646" i="4"/>
  <c r="H650" i="4"/>
  <c r="A640" i="4"/>
  <c r="A641" i="4"/>
  <c r="A642" i="4"/>
  <c r="A643" i="4"/>
  <c r="A644" i="4"/>
  <c r="A645" i="4"/>
  <c r="A646" i="4"/>
  <c r="A650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<sst xmlns="http://schemas.openxmlformats.org/spreadsheetml/2006/main" count="25090" uniqueCount="10028">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</sst>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1" fillId="37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68" totalsRowShown="0" headerRowDxfId="87" dataDxfId="86">
  <autoFilter ref="A1:R66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01" totalsRowShown="0" headerRowDxfId="42" dataDxfId="41">
  <autoFilter ref="A2:H40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36"/>
  <sheetViews>
    <sheetView tabSelected="1" topLeftCell="A637" zoomScaleNormal="100" workbookViewId="0">
      <selection activeCell="C656" sqref="C65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 t="s">
        <v>7607</v>
      </c>
      <c r="N595" s="28">
        <v>46123</v>
      </c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 t="s">
        <v>23</v>
      </c>
      <c r="P614" s="30">
        <v>46123</v>
      </c>
      <c r="Q614" s="27" t="s">
        <v>6454</v>
      </c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 t="s">
        <v>8215</v>
      </c>
      <c r="N633" s="28">
        <v>46125</v>
      </c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 t="s">
        <v>8215</v>
      </c>
      <c r="N635" s="28">
        <v>46125</v>
      </c>
      <c r="O635" s="27"/>
      <c r="P635" s="30"/>
      <c r="Q635" s="27"/>
      <c r="R635" s="27"/>
    </row>
    <row r="636" spans="1:18" x14ac:dyDescent="0.25">
      <c r="A636" s="27">
        <f t="shared" ref="A636:A668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27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 t="s">
        <v>8215</v>
      </c>
      <c r="N637" s="28">
        <v>46125</v>
      </c>
      <c r="O637" s="27" t="s">
        <v>23</v>
      </c>
      <c r="P637" s="30">
        <v>46123</v>
      </c>
      <c r="Q637" s="27" t="s">
        <v>6454</v>
      </c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 t="s">
        <v>8081</v>
      </c>
      <c r="N638" s="28">
        <v>46127</v>
      </c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27" t="str">
        <f t="shared" ref="H640:H646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28">
        <v>46122</v>
      </c>
      <c r="K640" s="27">
        <v>9103105509</v>
      </c>
      <c r="L640" s="27" t="s">
        <v>1513</v>
      </c>
      <c r="M640" s="29"/>
      <c r="N640" s="28"/>
      <c r="O640" s="27" t="s">
        <v>23</v>
      </c>
      <c r="P640" s="30">
        <v>46122</v>
      </c>
      <c r="Q640" s="27" t="s">
        <v>6454</v>
      </c>
      <c r="R640" s="27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27" t="str">
        <f t="shared" si="24"/>
        <v>BUDGAM</v>
      </c>
      <c r="I641" s="27" t="s">
        <v>9933</v>
      </c>
      <c r="J641" s="28">
        <v>46122</v>
      </c>
      <c r="K641" s="27">
        <v>9797737824</v>
      </c>
      <c r="L641" s="27" t="s">
        <v>8592</v>
      </c>
      <c r="M641" s="29" t="s">
        <v>10002</v>
      </c>
      <c r="N641" s="28">
        <v>46125</v>
      </c>
      <c r="O641" s="27"/>
      <c r="P641" s="30"/>
      <c r="Q641" s="27"/>
      <c r="R641" s="27"/>
    </row>
    <row r="642" spans="1:18" x14ac:dyDescent="0.25">
      <c r="A642" s="27">
        <f t="shared" si="22"/>
        <v>641</v>
      </c>
      <c r="B642" s="27" t="s">
        <v>9937</v>
      </c>
      <c r="C642" s="27" t="s">
        <v>9938</v>
      </c>
      <c r="D642" s="27" t="s">
        <v>9939</v>
      </c>
      <c r="E642" s="27" t="s">
        <v>9940</v>
      </c>
      <c r="F642" s="27" t="s">
        <v>65</v>
      </c>
      <c r="G642" s="27" t="s">
        <v>223</v>
      </c>
      <c r="H642" s="27" t="str">
        <f t="shared" si="24"/>
        <v>PULWAMA</v>
      </c>
      <c r="I642" s="27" t="s">
        <v>9942</v>
      </c>
      <c r="J642" s="28">
        <v>46123</v>
      </c>
      <c r="K642" s="27">
        <v>8825056800</v>
      </c>
      <c r="L642" s="27" t="s">
        <v>9941</v>
      </c>
      <c r="M642" s="29"/>
      <c r="N642" s="28"/>
      <c r="O642" s="27" t="s">
        <v>23</v>
      </c>
      <c r="P642" s="30">
        <v>46123</v>
      </c>
      <c r="Q642" s="27" t="s">
        <v>6454</v>
      </c>
      <c r="R642" s="27"/>
    </row>
    <row r="643" spans="1:18" x14ac:dyDescent="0.25">
      <c r="A643" s="27">
        <f t="shared" si="22"/>
        <v>642</v>
      </c>
      <c r="B643" s="27" t="s">
        <v>9943</v>
      </c>
      <c r="C643" s="27" t="s">
        <v>9945</v>
      </c>
      <c r="D643" s="27" t="s">
        <v>9946</v>
      </c>
      <c r="E643" s="27" t="s">
        <v>9944</v>
      </c>
      <c r="F643" s="27" t="s">
        <v>277</v>
      </c>
      <c r="G643" s="27" t="s">
        <v>196</v>
      </c>
      <c r="H643" s="27" t="str">
        <f t="shared" si="24"/>
        <v>KUPWARA</v>
      </c>
      <c r="I643" s="27" t="s">
        <v>9952</v>
      </c>
      <c r="J643" s="28">
        <v>46123</v>
      </c>
      <c r="K643" s="27">
        <v>7051986605</v>
      </c>
      <c r="L643" s="27" t="s">
        <v>18</v>
      </c>
      <c r="M643" s="29" t="s">
        <v>7765</v>
      </c>
      <c r="N643" s="28">
        <v>46123</v>
      </c>
      <c r="O643" s="27" t="s">
        <v>23</v>
      </c>
      <c r="P643" s="30">
        <v>46123</v>
      </c>
      <c r="Q643" s="27" t="s">
        <v>6454</v>
      </c>
      <c r="R643" s="27"/>
    </row>
    <row r="644" spans="1:18" x14ac:dyDescent="0.25">
      <c r="A644" s="27">
        <f t="shared" si="22"/>
        <v>643</v>
      </c>
      <c r="B644" s="27" t="s">
        <v>9947</v>
      </c>
      <c r="C644" s="27" t="s">
        <v>9948</v>
      </c>
      <c r="D644" s="27" t="s">
        <v>9949</v>
      </c>
      <c r="E644" s="27" t="s">
        <v>9950</v>
      </c>
      <c r="F644" s="27" t="s">
        <v>31</v>
      </c>
      <c r="G644" s="27" t="s">
        <v>172</v>
      </c>
      <c r="H644" s="27" t="str">
        <f t="shared" si="24"/>
        <v>SRINAGAR</v>
      </c>
      <c r="I644" s="27" t="s">
        <v>9951</v>
      </c>
      <c r="J644" s="28">
        <v>46123</v>
      </c>
      <c r="K644" s="27">
        <v>7006765311</v>
      </c>
      <c r="L644" s="27" t="s">
        <v>68</v>
      </c>
      <c r="M644" s="29" t="s">
        <v>8152</v>
      </c>
      <c r="N644" s="28">
        <v>46126</v>
      </c>
      <c r="O644" s="27"/>
      <c r="P644" s="30"/>
      <c r="Q644" s="27"/>
      <c r="R644" s="27"/>
    </row>
    <row r="645" spans="1:18" x14ac:dyDescent="0.25">
      <c r="A645" s="27">
        <f t="shared" si="22"/>
        <v>644</v>
      </c>
      <c r="B645" s="27" t="s">
        <v>9953</v>
      </c>
      <c r="C645" s="27" t="s">
        <v>9954</v>
      </c>
      <c r="D645" s="27" t="s">
        <v>9955</v>
      </c>
      <c r="E645" s="27" t="s">
        <v>9956</v>
      </c>
      <c r="F645" s="27" t="s">
        <v>116</v>
      </c>
      <c r="G645" s="27" t="s">
        <v>172</v>
      </c>
      <c r="H645" s="27" t="str">
        <f t="shared" si="24"/>
        <v>BUDGAM</v>
      </c>
      <c r="I645" s="27" t="s">
        <v>9961</v>
      </c>
      <c r="J645" s="28">
        <v>46123</v>
      </c>
      <c r="K645" s="27">
        <v>7889614481</v>
      </c>
      <c r="L645" s="27" t="s">
        <v>68</v>
      </c>
      <c r="M645" s="29"/>
      <c r="N645" s="28"/>
      <c r="O645" s="27" t="s">
        <v>23</v>
      </c>
      <c r="P645" s="30">
        <v>46123</v>
      </c>
      <c r="Q645" s="27" t="s">
        <v>6454</v>
      </c>
      <c r="R645" s="27"/>
    </row>
    <row r="646" spans="1:18" x14ac:dyDescent="0.25">
      <c r="A646" s="27">
        <f t="shared" si="22"/>
        <v>645</v>
      </c>
      <c r="B646" s="27" t="s">
        <v>9957</v>
      </c>
      <c r="C646" s="27" t="s">
        <v>9958</v>
      </c>
      <c r="D646" s="27" t="s">
        <v>9959</v>
      </c>
      <c r="E646" s="27" t="s">
        <v>9960</v>
      </c>
      <c r="F646" s="27" t="s">
        <v>116</v>
      </c>
      <c r="G646" s="27" t="s">
        <v>197</v>
      </c>
      <c r="H646" s="27" t="str">
        <f t="shared" si="24"/>
        <v>SHOPIAN</v>
      </c>
      <c r="I646" s="27" t="s">
        <v>9962</v>
      </c>
      <c r="J646" s="28">
        <v>46123</v>
      </c>
      <c r="K646" s="27">
        <v>9541124924</v>
      </c>
      <c r="L646" s="27" t="s">
        <v>6564</v>
      </c>
      <c r="M646" s="29"/>
      <c r="N646" s="28"/>
      <c r="O646" s="27"/>
      <c r="P646" s="30"/>
      <c r="Q646" s="27"/>
      <c r="R646" s="27"/>
    </row>
    <row r="647" spans="1:18" x14ac:dyDescent="0.25">
      <c r="A647" s="27">
        <f t="shared" si="22"/>
        <v>646</v>
      </c>
      <c r="B647" s="27" t="s">
        <v>9973</v>
      </c>
      <c r="C647" s="27" t="s">
        <v>9974</v>
      </c>
      <c r="D647" s="27" t="s">
        <v>9975</v>
      </c>
      <c r="E647" s="27" t="s">
        <v>104</v>
      </c>
      <c r="F647" s="27" t="s">
        <v>31</v>
      </c>
      <c r="G647" s="27" t="s">
        <v>196</v>
      </c>
      <c r="H647" s="27" t="str">
        <f t="shared" ref="H647:H668" si="25">IF(LEFT(I647,4)="JK13","PULWAMA",IF(LEFT(I647,4)="JK01","SRINAGAR",IF(LEFT(I647,4)="JK04","BUDGAM",IF(LEFT(I647,4)="JK03","ANANTNAG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</f>
        <v>SRINAGAR</v>
      </c>
      <c r="I647" s="27" t="s">
        <v>9982</v>
      </c>
      <c r="J647" s="28">
        <v>46125</v>
      </c>
      <c r="K647" s="27">
        <v>9622292911</v>
      </c>
      <c r="L647" s="27" t="s">
        <v>26</v>
      </c>
      <c r="M647" s="29"/>
      <c r="N647" s="28"/>
      <c r="O647" s="27" t="s">
        <v>23</v>
      </c>
      <c r="P647" s="30">
        <v>46125</v>
      </c>
      <c r="Q647" s="27" t="s">
        <v>6454</v>
      </c>
      <c r="R647" s="27"/>
    </row>
    <row r="648" spans="1:18" x14ac:dyDescent="0.25">
      <c r="A648" s="27">
        <f t="shared" si="22"/>
        <v>647</v>
      </c>
      <c r="B648" s="27" t="s">
        <v>9977</v>
      </c>
      <c r="C648" s="27" t="s">
        <v>9978</v>
      </c>
      <c r="D648" s="27" t="s">
        <v>9979</v>
      </c>
      <c r="E648" s="27" t="s">
        <v>9980</v>
      </c>
      <c r="F648" s="27" t="s">
        <v>9701</v>
      </c>
      <c r="G648" s="27" t="s">
        <v>178</v>
      </c>
      <c r="H648" s="27" t="str">
        <f t="shared" si="25"/>
        <v>KULGAM</v>
      </c>
      <c r="I648" s="27" t="s">
        <v>9981</v>
      </c>
      <c r="J648" s="28">
        <v>46125</v>
      </c>
      <c r="K648" s="27">
        <v>9697037304</v>
      </c>
      <c r="L648" s="27" t="s">
        <v>163</v>
      </c>
      <c r="M648" s="29"/>
      <c r="N648" s="28"/>
      <c r="O648" s="27" t="s">
        <v>23</v>
      </c>
      <c r="P648" s="30">
        <v>46125</v>
      </c>
      <c r="Q648" s="27" t="s">
        <v>6454</v>
      </c>
      <c r="R648" s="27"/>
    </row>
    <row r="649" spans="1:18" x14ac:dyDescent="0.25">
      <c r="A649" s="27">
        <f t="shared" si="22"/>
        <v>648</v>
      </c>
      <c r="B649" s="27" t="s">
        <v>9983</v>
      </c>
      <c r="C649" s="27" t="s">
        <v>9984</v>
      </c>
      <c r="D649" s="27" t="s">
        <v>9985</v>
      </c>
      <c r="E649" s="27" t="s">
        <v>9986</v>
      </c>
      <c r="F649" s="27" t="s">
        <v>98</v>
      </c>
      <c r="G649" s="27" t="s">
        <v>171</v>
      </c>
      <c r="H649" s="27" t="str">
        <f t="shared" si="25"/>
        <v>BUDGAM</v>
      </c>
      <c r="I649" s="27" t="s">
        <v>9987</v>
      </c>
      <c r="J649" s="28">
        <v>46125</v>
      </c>
      <c r="K649" s="27">
        <v>7006558308</v>
      </c>
      <c r="L649" s="27" t="s">
        <v>2168</v>
      </c>
      <c r="M649" s="29" t="s">
        <v>7706</v>
      </c>
      <c r="N649" s="28">
        <v>46125</v>
      </c>
      <c r="O649" s="27" t="s">
        <v>23</v>
      </c>
      <c r="P649" s="30">
        <v>46125</v>
      </c>
      <c r="Q649" s="27" t="s">
        <v>6454</v>
      </c>
      <c r="R649" s="27"/>
    </row>
    <row r="650" spans="1:18" x14ac:dyDescent="0.25">
      <c r="A650" s="27">
        <f t="shared" si="22"/>
        <v>649</v>
      </c>
      <c r="B650" s="27" t="s">
        <v>9968</v>
      </c>
      <c r="C650" s="27" t="s">
        <v>9969</v>
      </c>
      <c r="D650" s="27" t="s">
        <v>9970</v>
      </c>
      <c r="E650" s="27" t="s">
        <v>9971</v>
      </c>
      <c r="F650" s="27" t="s">
        <v>31</v>
      </c>
      <c r="G650" s="27" t="s">
        <v>196</v>
      </c>
      <c r="H650" s="27" t="str">
        <f>IF(LEFT(I650,4)="JK13","PULWAMA",IF(LEFT(I650,4)="JK01","SRINAGAR",IF(LEFT(I650,4)="JK04","BUDGAM",IF(LEFT(I650,4)="JK03","ANANTNAG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</f>
        <v>PULWAMA</v>
      </c>
      <c r="I650" s="27" t="s">
        <v>9988</v>
      </c>
      <c r="J650" s="28">
        <v>46125</v>
      </c>
      <c r="K650" s="27">
        <v>9797896325</v>
      </c>
      <c r="L650" s="27" t="s">
        <v>9976</v>
      </c>
      <c r="M650" s="29"/>
      <c r="N650" s="28"/>
      <c r="O650" s="27"/>
      <c r="P650" s="30"/>
      <c r="Q650" s="27"/>
      <c r="R650" s="27"/>
    </row>
    <row r="651" spans="1:18" x14ac:dyDescent="0.25">
      <c r="A651" s="27">
        <f t="shared" si="22"/>
        <v>650</v>
      </c>
      <c r="B651" s="27" t="s">
        <v>9989</v>
      </c>
      <c r="C651" s="27" t="s">
        <v>9990</v>
      </c>
      <c r="D651" s="27" t="s">
        <v>9991</v>
      </c>
      <c r="E651" s="27" t="s">
        <v>9992</v>
      </c>
      <c r="F651" s="27" t="s">
        <v>12</v>
      </c>
      <c r="G651" s="27" t="s">
        <v>178</v>
      </c>
      <c r="H651" s="27" t="str">
        <f t="shared" si="25"/>
        <v>PULWAMA</v>
      </c>
      <c r="I651" s="27" t="s">
        <v>10005</v>
      </c>
      <c r="J651" s="28">
        <v>46125</v>
      </c>
      <c r="K651" s="27">
        <v>8491830269</v>
      </c>
      <c r="L651" s="27" t="s">
        <v>68</v>
      </c>
      <c r="M651" s="29"/>
      <c r="N651" s="28"/>
      <c r="O651" s="27" t="s">
        <v>23</v>
      </c>
      <c r="P651" s="30">
        <v>46126</v>
      </c>
      <c r="Q651" s="27" t="s">
        <v>6454</v>
      </c>
      <c r="R651" s="27"/>
    </row>
    <row r="652" spans="1:18" x14ac:dyDescent="0.25">
      <c r="A652" s="27">
        <f t="shared" si="22"/>
        <v>651</v>
      </c>
      <c r="B652" s="27" t="s">
        <v>9993</v>
      </c>
      <c r="C652" s="27" t="s">
        <v>9995</v>
      </c>
      <c r="D652" s="27" t="s">
        <v>9996</v>
      </c>
      <c r="E652" s="27" t="s">
        <v>9994</v>
      </c>
      <c r="F652" s="27" t="s">
        <v>8402</v>
      </c>
      <c r="G652" s="27" t="s">
        <v>9997</v>
      </c>
      <c r="H652" s="27" t="str">
        <f t="shared" si="25"/>
        <v>SRINAGAR</v>
      </c>
      <c r="I652" s="27" t="s">
        <v>10004</v>
      </c>
      <c r="J652" s="28">
        <v>46125</v>
      </c>
      <c r="K652" s="27">
        <v>9906614866</v>
      </c>
      <c r="L652" s="27" t="s">
        <v>547</v>
      </c>
      <c r="M652" s="29"/>
      <c r="N652" s="28"/>
      <c r="O652" s="27" t="s">
        <v>23</v>
      </c>
      <c r="P652" s="30">
        <v>46125</v>
      </c>
      <c r="Q652" s="27" t="s">
        <v>6454</v>
      </c>
      <c r="R652" s="27"/>
    </row>
    <row r="653" spans="1:18" x14ac:dyDescent="0.25">
      <c r="A653" s="27">
        <f t="shared" si="22"/>
        <v>652</v>
      </c>
      <c r="B653" s="27" t="s">
        <v>9998</v>
      </c>
      <c r="C653" s="27" t="s">
        <v>9999</v>
      </c>
      <c r="D653" s="27" t="s">
        <v>10000</v>
      </c>
      <c r="E653" s="27" t="s">
        <v>10001</v>
      </c>
      <c r="F653" s="27" t="s">
        <v>12</v>
      </c>
      <c r="G653" s="27" t="s">
        <v>197</v>
      </c>
      <c r="H653" s="27" t="str">
        <f t="shared" si="25"/>
        <v>BUDGAM</v>
      </c>
      <c r="I653" s="27" t="s">
        <v>10003</v>
      </c>
      <c r="J653" s="28">
        <v>46125</v>
      </c>
      <c r="K653" s="27">
        <v>9419006471</v>
      </c>
      <c r="L653" s="27" t="s">
        <v>26</v>
      </c>
      <c r="M653" s="29"/>
      <c r="N653" s="28"/>
      <c r="O653" s="27" t="s">
        <v>23</v>
      </c>
      <c r="P653" s="30">
        <v>46125</v>
      </c>
      <c r="Q653" s="27" t="s">
        <v>6454</v>
      </c>
      <c r="R653" s="27"/>
    </row>
    <row r="654" spans="1:18" x14ac:dyDescent="0.25">
      <c r="A654" s="27">
        <f t="shared" si="22"/>
        <v>653</v>
      </c>
      <c r="B654" s="27" t="s">
        <v>10012</v>
      </c>
      <c r="C654" s="27" t="s">
        <v>10013</v>
      </c>
      <c r="D654" s="27" t="s">
        <v>10019</v>
      </c>
      <c r="E654" s="27" t="s">
        <v>10014</v>
      </c>
      <c r="F654" s="27" t="s">
        <v>116</v>
      </c>
      <c r="G654" s="27" t="s">
        <v>172</v>
      </c>
      <c r="H654" s="27" t="str">
        <f t="shared" si="25"/>
        <v>SRINAGAR</v>
      </c>
      <c r="I654" s="27" t="s">
        <v>10021</v>
      </c>
      <c r="J654" s="28">
        <v>46126</v>
      </c>
      <c r="K654" s="27">
        <v>6005377352</v>
      </c>
      <c r="L654" s="27" t="s">
        <v>2244</v>
      </c>
      <c r="M654" s="29"/>
      <c r="N654" s="28"/>
      <c r="O654" s="27"/>
      <c r="P654" s="30"/>
      <c r="Q654" s="27"/>
      <c r="R654" s="27"/>
    </row>
    <row r="655" spans="1:18" x14ac:dyDescent="0.25">
      <c r="A655" s="27">
        <f t="shared" si="22"/>
        <v>654</v>
      </c>
      <c r="B655" s="27" t="s">
        <v>10015</v>
      </c>
      <c r="C655" s="27" t="s">
        <v>10016</v>
      </c>
      <c r="D655" s="27" t="s">
        <v>10020</v>
      </c>
      <c r="E655" s="27" t="s">
        <v>10018</v>
      </c>
      <c r="F655" s="27" t="s">
        <v>10017</v>
      </c>
      <c r="G655" s="27" t="s">
        <v>178</v>
      </c>
      <c r="H655" s="27" t="str">
        <f t="shared" si="25"/>
        <v>SRINAGAR</v>
      </c>
      <c r="I655" s="27" t="s">
        <v>10022</v>
      </c>
      <c r="J655" s="28">
        <v>46126</v>
      </c>
      <c r="K655" s="27">
        <v>7006763104</v>
      </c>
      <c r="L655" s="27" t="s">
        <v>303</v>
      </c>
      <c r="M655" s="29"/>
      <c r="N655" s="28"/>
      <c r="O655" s="27"/>
      <c r="P655" s="30"/>
      <c r="Q655" s="27"/>
      <c r="R655" s="27"/>
    </row>
    <row r="656" spans="1:18" x14ac:dyDescent="0.25">
      <c r="A656" s="27">
        <f t="shared" si="22"/>
        <v>655</v>
      </c>
      <c r="B656" s="27" t="s">
        <v>10023</v>
      </c>
      <c r="C656" s="27" t="s">
        <v>10025</v>
      </c>
      <c r="D656" s="27" t="s">
        <v>10026</v>
      </c>
      <c r="E656" s="27" t="s">
        <v>10024</v>
      </c>
      <c r="F656" s="27" t="s">
        <v>234</v>
      </c>
      <c r="G656" s="27" t="s">
        <v>197</v>
      </c>
      <c r="H656" s="27" t="str">
        <f t="shared" si="25"/>
        <v>NEW</v>
      </c>
      <c r="I656" s="27"/>
      <c r="J656" s="28">
        <v>46126</v>
      </c>
      <c r="K656" s="27">
        <v>8492067254</v>
      </c>
      <c r="L656" s="27" t="s">
        <v>480</v>
      </c>
      <c r="M656" s="29"/>
      <c r="N656" s="28"/>
      <c r="O656" s="27"/>
      <c r="P656" s="30"/>
      <c r="Q656" s="27"/>
      <c r="R656" s="27"/>
    </row>
    <row r="657" spans="1:18" x14ac:dyDescent="0.25">
      <c r="A657" s="27">
        <f t="shared" si="22"/>
        <v>656</v>
      </c>
      <c r="B657" s="27"/>
      <c r="C657" s="27"/>
      <c r="D657" s="27"/>
      <c r="E657" s="27"/>
      <c r="F657" s="27"/>
      <c r="G657" s="27"/>
      <c r="H657" s="27" t="str">
        <f t="shared" si="25"/>
        <v>NEW</v>
      </c>
      <c r="I657" s="27"/>
      <c r="J657" s="28"/>
      <c r="K657" s="27"/>
      <c r="L657" s="27"/>
      <c r="M657" s="29"/>
      <c r="N657" s="28"/>
      <c r="O657" s="27"/>
      <c r="P657" s="30"/>
      <c r="Q657" s="27"/>
      <c r="R657" s="27"/>
    </row>
    <row r="658" spans="1:18" x14ac:dyDescent="0.25">
      <c r="A658" s="27">
        <f t="shared" si="22"/>
        <v>657</v>
      </c>
      <c r="B658" s="27"/>
      <c r="C658" s="27"/>
      <c r="D658" s="27"/>
      <c r="E658" s="27"/>
      <c r="F658" s="27"/>
      <c r="G658" s="27"/>
      <c r="H658" s="27" t="str">
        <f t="shared" si="25"/>
        <v>NEW</v>
      </c>
      <c r="I658" s="27"/>
      <c r="J658" s="28"/>
      <c r="K658" s="27"/>
      <c r="L658" s="27"/>
      <c r="M658" s="29"/>
      <c r="N658" s="28"/>
      <c r="O658" s="27"/>
      <c r="P658" s="30"/>
      <c r="Q658" s="27"/>
      <c r="R658" s="27"/>
    </row>
    <row r="659" spans="1:18" x14ac:dyDescent="0.25">
      <c r="A659" s="27">
        <f t="shared" si="22"/>
        <v>658</v>
      </c>
      <c r="B659" s="27"/>
      <c r="C659" s="27"/>
      <c r="D659" s="27"/>
      <c r="E659" s="27"/>
      <c r="F659" s="27"/>
      <c r="G659" s="27"/>
      <c r="H659" s="27" t="str">
        <f t="shared" si="25"/>
        <v>NEW</v>
      </c>
      <c r="I659" s="27"/>
      <c r="J659" s="28"/>
      <c r="K659" s="27"/>
      <c r="L659" s="27"/>
      <c r="M659" s="29"/>
      <c r="N659" s="28"/>
      <c r="O659" s="27"/>
      <c r="P659" s="30"/>
      <c r="Q659" s="27"/>
      <c r="R659" s="27"/>
    </row>
    <row r="660" spans="1:18" x14ac:dyDescent="0.25">
      <c r="A660" s="27">
        <f t="shared" si="22"/>
        <v>659</v>
      </c>
      <c r="B660" s="27"/>
      <c r="C660" s="27"/>
      <c r="D660" s="27"/>
      <c r="E660" s="27"/>
      <c r="F660" s="27"/>
      <c r="G660" s="27"/>
      <c r="H660" s="27" t="str">
        <f t="shared" si="25"/>
        <v>NEW</v>
      </c>
      <c r="I660" s="27"/>
      <c r="J660" s="28"/>
      <c r="K660" s="27"/>
      <c r="L660" s="27"/>
      <c r="M660" s="29"/>
      <c r="N660" s="28"/>
      <c r="O660" s="27"/>
      <c r="P660" s="30"/>
      <c r="Q660" s="27"/>
      <c r="R660" s="27"/>
    </row>
    <row r="661" spans="1:18" x14ac:dyDescent="0.25">
      <c r="A661" s="27">
        <f t="shared" si="22"/>
        <v>660</v>
      </c>
      <c r="B661" s="27"/>
      <c r="C661" s="27"/>
      <c r="D661" s="27"/>
      <c r="E661" s="27"/>
      <c r="F661" s="27"/>
      <c r="G661" s="27"/>
      <c r="H661" s="27" t="str">
        <f t="shared" si="25"/>
        <v>NEW</v>
      </c>
      <c r="I661" s="27"/>
      <c r="J661" s="28"/>
      <c r="K661" s="27"/>
      <c r="L661" s="27"/>
      <c r="M661" s="29"/>
      <c r="N661" s="28"/>
      <c r="O661" s="27"/>
      <c r="P661" s="30"/>
      <c r="Q661" s="27"/>
      <c r="R661" s="27"/>
    </row>
    <row r="662" spans="1:18" x14ac:dyDescent="0.25">
      <c r="A662" s="27">
        <f t="shared" si="22"/>
        <v>661</v>
      </c>
      <c r="B662" s="27"/>
      <c r="C662" s="27"/>
      <c r="D662" s="27"/>
      <c r="E662" s="27"/>
      <c r="F662" s="27"/>
      <c r="G662" s="27"/>
      <c r="H662" s="27" t="str">
        <f t="shared" si="25"/>
        <v>NEW</v>
      </c>
      <c r="I662" s="27"/>
      <c r="J662" s="28"/>
      <c r="K662" s="27"/>
      <c r="L662" s="27"/>
      <c r="M662" s="29"/>
      <c r="N662" s="28"/>
      <c r="O662" s="27"/>
      <c r="P662" s="30"/>
      <c r="Q662" s="27"/>
      <c r="R662" s="27"/>
    </row>
    <row r="663" spans="1:18" x14ac:dyDescent="0.25">
      <c r="A663" s="27">
        <f t="shared" si="22"/>
        <v>662</v>
      </c>
      <c r="B663" s="27"/>
      <c r="C663" s="27"/>
      <c r="D663" s="27"/>
      <c r="E663" s="27"/>
      <c r="F663" s="27"/>
      <c r="G663" s="27"/>
      <c r="H663" s="27" t="str">
        <f t="shared" si="25"/>
        <v>NEW</v>
      </c>
      <c r="I663" s="27"/>
      <c r="J663" s="28"/>
      <c r="K663" s="27"/>
      <c r="L663" s="27"/>
      <c r="M663" s="29"/>
      <c r="N663" s="28"/>
      <c r="O663" s="27"/>
      <c r="P663" s="30"/>
      <c r="Q663" s="27"/>
      <c r="R663" s="27"/>
    </row>
    <row r="664" spans="1:18" x14ac:dyDescent="0.25">
      <c r="A664" s="27">
        <f t="shared" si="22"/>
        <v>663</v>
      </c>
      <c r="B664" s="27"/>
      <c r="C664" s="27"/>
      <c r="D664" s="27"/>
      <c r="E664" s="27"/>
      <c r="F664" s="27"/>
      <c r="G664" s="27"/>
      <c r="H664" s="27" t="str">
        <f t="shared" si="25"/>
        <v>NEW</v>
      </c>
      <c r="I664" s="27"/>
      <c r="J664" s="28"/>
      <c r="K664" s="27"/>
      <c r="L664" s="27"/>
      <c r="M664" s="29"/>
      <c r="N664" s="28"/>
      <c r="O664" s="27"/>
      <c r="P664" s="30"/>
      <c r="Q664" s="27"/>
      <c r="R664" s="27"/>
    </row>
    <row r="665" spans="1:18" x14ac:dyDescent="0.25">
      <c r="A665" s="27">
        <f t="shared" si="22"/>
        <v>664</v>
      </c>
      <c r="B665" s="27"/>
      <c r="C665" s="27"/>
      <c r="D665" s="27"/>
      <c r="E665" s="27"/>
      <c r="F665" s="27"/>
      <c r="G665" s="27"/>
      <c r="H665" s="27" t="str">
        <f t="shared" si="25"/>
        <v>NEW</v>
      </c>
      <c r="I665" s="27"/>
      <c r="J665" s="28"/>
      <c r="K665" s="27"/>
      <c r="L665" s="27"/>
      <c r="M665" s="29"/>
      <c r="N665" s="28"/>
      <c r="O665" s="27"/>
      <c r="P665" s="30"/>
      <c r="Q665" s="27"/>
      <c r="R665" s="27"/>
    </row>
    <row r="666" spans="1:18" x14ac:dyDescent="0.25">
      <c r="A666" s="27">
        <f t="shared" si="22"/>
        <v>665</v>
      </c>
      <c r="B666" s="27"/>
      <c r="C666" s="27"/>
      <c r="D666" s="27"/>
      <c r="E666" s="27"/>
      <c r="F666" s="27"/>
      <c r="G666" s="27"/>
      <c r="H666" s="27" t="str">
        <f t="shared" si="25"/>
        <v>NEW</v>
      </c>
      <c r="I666" s="27"/>
      <c r="J666" s="28"/>
      <c r="K666" s="27"/>
      <c r="L666" s="27"/>
      <c r="M666" s="29"/>
      <c r="N666" s="28"/>
      <c r="O666" s="27"/>
      <c r="P666" s="30"/>
      <c r="Q666" s="27"/>
      <c r="R666" s="27"/>
    </row>
    <row r="667" spans="1:18" x14ac:dyDescent="0.25">
      <c r="A667" s="27">
        <f t="shared" si="22"/>
        <v>666</v>
      </c>
      <c r="B667" s="27"/>
      <c r="C667" s="27"/>
      <c r="D667" s="27"/>
      <c r="E667" s="27"/>
      <c r="F667" s="27"/>
      <c r="G667" s="27"/>
      <c r="H667" s="27" t="str">
        <f t="shared" si="25"/>
        <v>NEW</v>
      </c>
      <c r="I667" s="27"/>
      <c r="J667" s="28"/>
      <c r="K667" s="27"/>
      <c r="L667" s="27"/>
      <c r="M667" s="29"/>
      <c r="N667" s="28"/>
      <c r="O667" s="27"/>
      <c r="P667" s="30"/>
      <c r="Q667" s="27"/>
      <c r="R667" s="27"/>
    </row>
    <row r="668" spans="1:18" x14ac:dyDescent="0.25">
      <c r="A668" s="27">
        <f t="shared" si="22"/>
        <v>667</v>
      </c>
      <c r="B668" s="27"/>
      <c r="C668" s="27"/>
      <c r="D668" s="27"/>
      <c r="E668" s="27"/>
      <c r="F668" s="27"/>
      <c r="G668" s="27"/>
      <c r="H668" s="27" t="str">
        <f t="shared" si="25"/>
        <v>NEW</v>
      </c>
      <c r="I668" s="27"/>
      <c r="J668" s="28"/>
      <c r="K668" s="27"/>
      <c r="L668" s="27"/>
      <c r="M668" s="29"/>
      <c r="N668" s="28"/>
      <c r="O668" s="27"/>
      <c r="P668" s="30"/>
      <c r="Q668" s="27"/>
      <c r="R668" s="27"/>
    </row>
    <row r="669" spans="1:18" ht="15.75" x14ac:dyDescent="0.25">
      <c r="A669" s="27"/>
      <c r="B669" s="27"/>
      <c r="C669" s="27"/>
      <c r="D669" s="27"/>
      <c r="E669" s="27"/>
      <c r="F669" s="27"/>
      <c r="G669" s="27"/>
      <c r="H669" s="1"/>
      <c r="I669" s="27"/>
      <c r="J669" s="13"/>
      <c r="K669" s="27"/>
      <c r="L669" s="27"/>
      <c r="M669" t="s">
        <v>43</v>
      </c>
    </row>
    <row r="670" spans="1:18" ht="15.75" x14ac:dyDescent="0.25">
      <c r="A670" s="27"/>
      <c r="B670" s="27"/>
      <c r="C670" s="27"/>
      <c r="D670" s="27"/>
      <c r="E670" s="27"/>
      <c r="F670" s="27"/>
      <c r="G670" s="27"/>
      <c r="H670" s="1"/>
      <c r="I670" s="14"/>
      <c r="K670" s="27"/>
    </row>
    <row r="671" spans="1:18" x14ac:dyDescent="0.25">
      <c r="K671" s="27"/>
    </row>
    <row r="672" spans="1:18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x14ac:dyDescent="0.25">
      <c r="K728" s="27"/>
    </row>
    <row r="729" spans="11:11" x14ac:dyDescent="0.25">
      <c r="K729" s="27"/>
    </row>
    <row r="730" spans="11:11" x14ac:dyDescent="0.25">
      <c r="K730" s="27"/>
    </row>
    <row r="731" spans="11:11" x14ac:dyDescent="0.25">
      <c r="K731" s="27"/>
    </row>
    <row r="732" spans="11:11" x14ac:dyDescent="0.25">
      <c r="K732" s="27"/>
    </row>
    <row r="733" spans="11:11" x14ac:dyDescent="0.25">
      <c r="K733" s="27"/>
    </row>
    <row r="734" spans="11:11" x14ac:dyDescent="0.25">
      <c r="K734" s="27"/>
    </row>
    <row r="735" spans="11:11" x14ac:dyDescent="0.25">
      <c r="K735" s="27"/>
    </row>
    <row r="736" spans="11:11" x14ac:dyDescent="0.25">
      <c r="K736" s="27"/>
    </row>
    <row r="737" spans="11:11" x14ac:dyDescent="0.25">
      <c r="K737" s="27"/>
    </row>
    <row r="738" spans="11:11" x14ac:dyDescent="0.25">
      <c r="K738" s="27"/>
    </row>
    <row r="739" spans="11:11" x14ac:dyDescent="0.25">
      <c r="K739" s="27"/>
    </row>
    <row r="740" spans="11:11" x14ac:dyDescent="0.25">
      <c r="K740" s="27"/>
    </row>
    <row r="741" spans="11:11" x14ac:dyDescent="0.25">
      <c r="K741" s="27"/>
    </row>
    <row r="742" spans="11:11" x14ac:dyDescent="0.25">
      <c r="K742" s="27"/>
    </row>
    <row r="743" spans="11:11" x14ac:dyDescent="0.25">
      <c r="K743" s="27"/>
    </row>
    <row r="744" spans="11:11" x14ac:dyDescent="0.25">
      <c r="K744" s="27"/>
    </row>
    <row r="745" spans="11:11" x14ac:dyDescent="0.25">
      <c r="K745" s="27"/>
    </row>
    <row r="746" spans="11:11" x14ac:dyDescent="0.25">
      <c r="K746" s="27"/>
    </row>
    <row r="747" spans="11:11" x14ac:dyDescent="0.25">
      <c r="K747" s="27"/>
    </row>
    <row r="748" spans="11:11" x14ac:dyDescent="0.25">
      <c r="K748" s="27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ht="15.75" x14ac:dyDescent="0.25">
      <c r="K777" s="13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x14ac:dyDescent="0.25">
      <c r="K798" s="26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  <row r="816" spans="11:11" ht="15.75" x14ac:dyDescent="0.25">
      <c r="K816" s="13"/>
    </row>
    <row r="817" spans="11:11" ht="15.75" x14ac:dyDescent="0.25">
      <c r="K817" s="13"/>
    </row>
    <row r="818" spans="11:11" ht="15.75" x14ac:dyDescent="0.25">
      <c r="K818" s="13"/>
    </row>
    <row r="819" spans="11:11" ht="15.75" x14ac:dyDescent="0.25">
      <c r="K819" s="13"/>
    </row>
    <row r="820" spans="11:11" ht="15.75" x14ac:dyDescent="0.25">
      <c r="K820" s="13"/>
    </row>
    <row r="821" spans="11:11" ht="15.75" x14ac:dyDescent="0.25">
      <c r="K821" s="13"/>
    </row>
    <row r="822" spans="11:11" ht="15.75" x14ac:dyDescent="0.25">
      <c r="K822" s="13"/>
    </row>
    <row r="823" spans="11:11" ht="15.75" x14ac:dyDescent="0.25">
      <c r="K823" s="13"/>
    </row>
    <row r="824" spans="11:11" ht="15.75" x14ac:dyDescent="0.25">
      <c r="K824" s="13"/>
    </row>
    <row r="825" spans="11:11" ht="15.75" x14ac:dyDescent="0.25">
      <c r="K825" s="13"/>
    </row>
    <row r="826" spans="11:11" ht="15.75" x14ac:dyDescent="0.25">
      <c r="K826" s="13"/>
    </row>
    <row r="827" spans="11:11" ht="15.75" x14ac:dyDescent="0.25">
      <c r="K827" s="13"/>
    </row>
    <row r="828" spans="11:11" ht="15.75" x14ac:dyDescent="0.25">
      <c r="K828" s="13"/>
    </row>
    <row r="829" spans="11:11" ht="15.75" x14ac:dyDescent="0.25">
      <c r="K829" s="13"/>
    </row>
    <row r="830" spans="11:11" ht="15.75" x14ac:dyDescent="0.25">
      <c r="K830" s="13"/>
    </row>
    <row r="831" spans="11:11" ht="15.75" x14ac:dyDescent="0.25">
      <c r="K831" s="13"/>
    </row>
    <row r="832" spans="11:11" ht="15.75" x14ac:dyDescent="0.25">
      <c r="K832" s="13"/>
    </row>
    <row r="833" spans="11:11" ht="15.75" x14ac:dyDescent="0.25">
      <c r="K833" s="13"/>
    </row>
    <row r="834" spans="11:11" ht="15.75" x14ac:dyDescent="0.25">
      <c r="K834" s="13"/>
    </row>
    <row r="835" spans="11:11" ht="15.75" x14ac:dyDescent="0.25">
      <c r="K835" s="13"/>
    </row>
    <row r="836" spans="11:11" ht="15.75" x14ac:dyDescent="0.25">
      <c r="K836" s="13"/>
    </row>
  </sheetData>
  <conditionalFormatting sqref="A647:F647">
    <cfRule type="expression" dxfId="21" priority="1">
      <formula>CELL("row")=ROW()</formula>
    </cfRule>
  </conditionalFormatting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56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L636:R656 H638:K638 J639:K639 H639:I641 J640:J642 H642 H643:J643 K643:L646 G644:J644 J645:J646 G645:H650 J647:K655 E649:G653 B649:D655 J650:L650 H651:H652 F653:H653 B653:G657 E654:H655 K655:K657 G656:H656 J656 A657:R668 I669 K669:L669 A669:G670 K669:K748">
    <cfRule type="expression" dxfId="20" priority="15">
      <formula>CELL("row")=ROW()</formula>
    </cfRule>
  </conditionalFormatting>
  <conditionalFormatting sqref="B257:G290 B291:B300 C291:G301">
    <cfRule type="expression" dxfId="19" priority="13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69:O669 L670:O670">
    <cfRule type="expression" dxfId="12" priority="24">
      <formula>ROW(N93)=HighlightRow</formula>
    </cfRule>
  </conditionalFormatting>
  <conditionalFormatting sqref="P669:Q670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02"/>
  <sheetViews>
    <sheetView topLeftCell="A383" zoomScaleNormal="100" workbookViewId="0">
      <selection activeCell="B396" sqref="B396:E40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4" t="s">
        <v>6648</v>
      </c>
      <c r="B1" s="44"/>
      <c r="C1" s="44"/>
      <c r="D1" s="44"/>
      <c r="E1" s="44"/>
      <c r="F1" s="44"/>
      <c r="G1" s="44"/>
      <c r="H1" s="44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27" t="s">
        <v>9944</v>
      </c>
      <c r="C390" s="27">
        <v>7051986605</v>
      </c>
      <c r="D390" s="27" t="s">
        <v>9963</v>
      </c>
      <c r="E390" s="27" t="s">
        <v>9952</v>
      </c>
      <c r="F390" s="15">
        <v>46123</v>
      </c>
      <c r="G390" s="15" t="s">
        <v>337</v>
      </c>
      <c r="H390" s="13" t="s">
        <v>6659</v>
      </c>
    </row>
    <row r="391" spans="1:8" ht="15.75" x14ac:dyDescent="0.25">
      <c r="A391" s="13">
        <f t="shared" ref="A391:A401" si="6">ROW()-2</f>
        <v>389</v>
      </c>
      <c r="B391" s="27" t="s">
        <v>9766</v>
      </c>
      <c r="C391" s="27">
        <v>9596989763</v>
      </c>
      <c r="D391" s="27" t="s">
        <v>9964</v>
      </c>
      <c r="E391" s="27" t="s">
        <v>9781</v>
      </c>
      <c r="F391" s="15">
        <v>46123</v>
      </c>
      <c r="G391" s="15" t="s">
        <v>337</v>
      </c>
      <c r="H391" s="13" t="s">
        <v>6659</v>
      </c>
    </row>
    <row r="392" spans="1:8" ht="15.75" x14ac:dyDescent="0.25">
      <c r="A392" s="13">
        <f t="shared" si="6"/>
        <v>390</v>
      </c>
      <c r="B392" s="27" t="s">
        <v>9903</v>
      </c>
      <c r="C392" s="27">
        <v>7006088212</v>
      </c>
      <c r="D392" s="27" t="s">
        <v>9965</v>
      </c>
      <c r="E392" s="27" t="s">
        <v>9907</v>
      </c>
      <c r="F392" s="15">
        <v>46123</v>
      </c>
      <c r="G392" s="15" t="s">
        <v>337</v>
      </c>
      <c r="H392" s="13" t="s">
        <v>6659</v>
      </c>
    </row>
    <row r="393" spans="1:8" ht="15.75" x14ac:dyDescent="0.25">
      <c r="A393" s="13">
        <f t="shared" si="6"/>
        <v>391</v>
      </c>
      <c r="B393" s="27" t="s">
        <v>9956</v>
      </c>
      <c r="C393" s="27">
        <v>7889614481</v>
      </c>
      <c r="D393" s="27" t="s">
        <v>9966</v>
      </c>
      <c r="E393" s="27" t="s">
        <v>9961</v>
      </c>
      <c r="F393" s="15">
        <v>46123</v>
      </c>
      <c r="G393" s="15" t="s">
        <v>337</v>
      </c>
      <c r="H393" s="13" t="s">
        <v>6659</v>
      </c>
    </row>
    <row r="394" spans="1:8" ht="15.75" x14ac:dyDescent="0.25">
      <c r="A394" s="13">
        <f t="shared" si="6"/>
        <v>392</v>
      </c>
      <c r="B394" s="27" t="s">
        <v>9940</v>
      </c>
      <c r="C394" s="27">
        <v>9906923440</v>
      </c>
      <c r="D394" s="27" t="s">
        <v>9967</v>
      </c>
      <c r="E394" s="27" t="s">
        <v>9942</v>
      </c>
      <c r="F394" s="15">
        <v>46123</v>
      </c>
      <c r="G394" s="15" t="s">
        <v>337</v>
      </c>
      <c r="H394" s="13" t="s">
        <v>6659</v>
      </c>
    </row>
    <row r="395" spans="1:8" ht="15.75" x14ac:dyDescent="0.25">
      <c r="A395" s="13">
        <f t="shared" si="6"/>
        <v>393</v>
      </c>
      <c r="B395" s="27" t="s">
        <v>10006</v>
      </c>
      <c r="C395" s="27">
        <v>9906614866</v>
      </c>
      <c r="D395" s="27" t="s">
        <v>10007</v>
      </c>
      <c r="E395" s="27" t="s">
        <v>10004</v>
      </c>
      <c r="F395" s="15">
        <v>46125</v>
      </c>
      <c r="G395" s="15" t="s">
        <v>337</v>
      </c>
      <c r="H395" s="13" t="s">
        <v>6659</v>
      </c>
    </row>
    <row r="396" spans="1:8" ht="15.75" x14ac:dyDescent="0.25">
      <c r="A396" s="13">
        <f t="shared" si="6"/>
        <v>394</v>
      </c>
      <c r="B396" s="27" t="s">
        <v>9986</v>
      </c>
      <c r="C396" s="27">
        <v>7006558308</v>
      </c>
      <c r="D396" s="27" t="s">
        <v>10008</v>
      </c>
      <c r="E396" s="27" t="s">
        <v>9987</v>
      </c>
      <c r="F396" s="15">
        <v>46125</v>
      </c>
      <c r="G396" s="15" t="s">
        <v>337</v>
      </c>
      <c r="H396" s="13" t="s">
        <v>6659</v>
      </c>
    </row>
    <row r="397" spans="1:8" ht="15.75" x14ac:dyDescent="0.25">
      <c r="A397" s="13">
        <f t="shared" si="6"/>
        <v>395</v>
      </c>
      <c r="B397" s="27" t="s">
        <v>9980</v>
      </c>
      <c r="C397" s="27">
        <v>9697037304</v>
      </c>
      <c r="D397" s="27" t="s">
        <v>10009</v>
      </c>
      <c r="E397" s="27" t="s">
        <v>9981</v>
      </c>
      <c r="F397" s="15">
        <v>46125</v>
      </c>
      <c r="G397" s="15" t="s">
        <v>337</v>
      </c>
      <c r="H397" s="13" t="s">
        <v>6659</v>
      </c>
    </row>
    <row r="398" spans="1:8" ht="15.75" x14ac:dyDescent="0.25">
      <c r="A398" s="13">
        <f t="shared" si="6"/>
        <v>396</v>
      </c>
      <c r="B398" s="27" t="s">
        <v>10001</v>
      </c>
      <c r="C398" s="27">
        <v>7006405513</v>
      </c>
      <c r="D398" s="27" t="s">
        <v>10010</v>
      </c>
      <c r="E398" s="27" t="s">
        <v>10003</v>
      </c>
      <c r="F398" s="15">
        <v>46125</v>
      </c>
      <c r="G398" s="15" t="s">
        <v>337</v>
      </c>
      <c r="H398" s="13" t="s">
        <v>6659</v>
      </c>
    </row>
    <row r="399" spans="1:8" ht="15.75" x14ac:dyDescent="0.25">
      <c r="A399" s="13">
        <f t="shared" si="6"/>
        <v>397</v>
      </c>
      <c r="B399" s="27" t="s">
        <v>104</v>
      </c>
      <c r="C399" s="27"/>
      <c r="D399" s="27" t="s">
        <v>10011</v>
      </c>
      <c r="E399" s="27" t="s">
        <v>9982</v>
      </c>
      <c r="F399" s="15">
        <v>46125</v>
      </c>
      <c r="G399" s="15" t="s">
        <v>337</v>
      </c>
      <c r="H399" s="13" t="s">
        <v>8155</v>
      </c>
    </row>
    <row r="400" spans="1:8" ht="15.75" x14ac:dyDescent="0.25">
      <c r="A400" s="13">
        <f t="shared" si="6"/>
        <v>398</v>
      </c>
      <c r="B400" s="27" t="s">
        <v>9992</v>
      </c>
      <c r="C400" s="27">
        <v>8491830269</v>
      </c>
      <c r="D400" s="27" t="s">
        <v>10027</v>
      </c>
      <c r="E400" s="27" t="s">
        <v>10005</v>
      </c>
      <c r="F400" s="15">
        <v>46126</v>
      </c>
      <c r="G400" s="15" t="s">
        <v>337</v>
      </c>
      <c r="H400" s="13" t="s">
        <v>6659</v>
      </c>
    </row>
    <row r="401" spans="1:8" ht="15.75" x14ac:dyDescent="0.25">
      <c r="A401" s="13">
        <f t="shared" si="6"/>
        <v>399</v>
      </c>
      <c r="B401" s="43"/>
      <c r="C401" s="43"/>
      <c r="D401" s="13"/>
      <c r="E401" s="13"/>
      <c r="F401" s="15"/>
      <c r="G401" s="15"/>
      <c r="H401" s="13"/>
    </row>
    <row r="402" spans="1:8" x14ac:dyDescent="0.25">
      <c r="B402" s="27"/>
      <c r="C402" s="27"/>
      <c r="D402" s="27"/>
    </row>
  </sheetData>
  <mergeCells count="1">
    <mergeCell ref="A1:H1"/>
  </mergeCells>
  <phoneticPr fontId="27" type="noConversion"/>
  <conditionalFormatting sqref="B252:C252 B311:E400 B402:D402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5" t="s">
        <v>9464</v>
      </c>
      <c r="B1" s="45"/>
      <c r="C1" s="45"/>
      <c r="D1" s="45"/>
      <c r="E1" s="45"/>
      <c r="F1" s="45"/>
      <c r="G1" s="45"/>
      <c r="H1" s="45"/>
      <c r="I1" s="45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27">
        <v>280</v>
      </c>
      <c r="I6" s="27" t="s">
        <v>9580</v>
      </c>
    </row>
    <row r="7" spans="1:9" x14ac:dyDescent="0.25">
      <c r="A7" s="27">
        <f t="shared" si="0"/>
        <v>5</v>
      </c>
      <c r="B7" s="31">
        <v>46125</v>
      </c>
      <c r="C7" s="27" t="s">
        <v>9972</v>
      </c>
      <c r="D7" s="27" t="s">
        <v>1672</v>
      </c>
      <c r="E7" s="27"/>
      <c r="F7" s="27"/>
      <c r="G7" s="27"/>
      <c r="H7" s="27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2026-04-15T04:12:18Z</dcterms:modified>
</cp:coreProperties>
</file>