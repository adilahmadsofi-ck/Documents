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D0BCF96-A95D-4D2F-AB5A-BDE6EFC62844}" xr6:coauthVersionLast="47" xr6:coauthVersionMax="47" xr10:uidLastSave="{00000000-0000-0000-0000-000000000000}"/>
  <bookViews>
    <workbookView xWindow="-120" yWindow="-120" windowWidth="24240" windowHeight="13020" tabRatio="449" activeTab="3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94" i="4" l="1"/>
  <c r="A591" i="7" l="1"/>
  <c r="A592" i="7"/>
  <c r="A593" i="7"/>
  <c r="A594" i="7"/>
  <c r="A595" i="7"/>
  <c r="A596" i="7"/>
  <c r="A597" i="7"/>
  <c r="A598" i="7"/>
  <c r="A599" i="7"/>
  <c r="H895" i="4"/>
  <c r="H896" i="4"/>
  <c r="H897" i="4"/>
  <c r="H898" i="4"/>
  <c r="H899" i="4"/>
  <c r="H900" i="4"/>
  <c r="H901" i="4"/>
  <c r="H902" i="4"/>
  <c r="H903" i="4"/>
  <c r="H904" i="4"/>
  <c r="H905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H889" i="4" l="1"/>
  <c r="H890" i="4"/>
  <c r="H891" i="4"/>
  <c r="H892" i="4"/>
  <c r="H893" i="4"/>
  <c r="A889" i="4"/>
  <c r="A890" i="4"/>
  <c r="A891" i="4"/>
  <c r="A892" i="4"/>
  <c r="A893" i="4"/>
  <c r="H884" i="4" l="1"/>
  <c r="H883" i="4" l="1"/>
  <c r="H885" i="4"/>
  <c r="H886" i="4"/>
  <c r="H888" i="4"/>
  <c r="A883" i="4"/>
  <c r="A884" i="4"/>
  <c r="A885" i="4"/>
  <c r="A886" i="4"/>
  <c r="A888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H124" i="4" l="1"/>
  <c r="A576" i="7"/>
  <c r="A577" i="7"/>
  <c r="A578" i="7"/>
  <c r="A574" i="7"/>
  <c r="A575" i="7"/>
  <c r="H876" i="4" l="1"/>
  <c r="H878" i="4"/>
  <c r="H877" i="4"/>
  <c r="H879" i="4"/>
  <c r="H880" i="4"/>
  <c r="H881" i="4"/>
  <c r="H882" i="4"/>
  <c r="A876" i="4"/>
  <c r="A878" i="4"/>
  <c r="A877" i="4"/>
  <c r="A879" i="4"/>
  <c r="A880" i="4"/>
  <c r="A881" i="4"/>
  <c r="A882" i="4"/>
  <c r="H870" i="4" l="1"/>
  <c r="H871" i="4"/>
  <c r="H872" i="4"/>
  <c r="H873" i="4"/>
  <c r="H874" i="4"/>
  <c r="H875" i="4"/>
  <c r="H887" i="4"/>
  <c r="A870" i="4"/>
  <c r="A871" i="4"/>
  <c r="A872" i="4"/>
  <c r="A873" i="4"/>
  <c r="A874" i="4"/>
  <c r="A875" i="4"/>
  <c r="A887" i="4"/>
  <c r="A10" i="8"/>
  <c r="A11" i="8"/>
  <c r="A12" i="8"/>
  <c r="A13" i="8"/>
  <c r="A14" i="8"/>
  <c r="A15" i="8"/>
  <c r="H865" i="4"/>
  <c r="H868" i="4"/>
  <c r="H869" i="4"/>
  <c r="A865" i="4"/>
  <c r="A868" i="4"/>
  <c r="A869" i="4"/>
  <c r="A568" i="7" l="1"/>
  <c r="A569" i="7"/>
  <c r="A570" i="7"/>
  <c r="A571" i="7"/>
  <c r="A572" i="7"/>
  <c r="A573" i="7"/>
  <c r="A565" i="7" l="1"/>
  <c r="A566" i="7"/>
  <c r="A567" i="7"/>
  <c r="H861" i="4"/>
  <c r="H862" i="4"/>
  <c r="H863" i="4"/>
  <c r="H864" i="4"/>
  <c r="H867" i="4"/>
  <c r="H866" i="4"/>
  <c r="A861" i="4"/>
  <c r="A862" i="4"/>
  <c r="A863" i="4"/>
  <c r="A864" i="4"/>
  <c r="A867" i="4"/>
  <c r="A866" i="4"/>
  <c r="A561" i="7" l="1"/>
  <c r="A562" i="7"/>
  <c r="A563" i="7"/>
  <c r="A564" i="7"/>
  <c r="H855" i="4"/>
  <c r="H856" i="4"/>
  <c r="H857" i="4"/>
  <c r="H860" i="4"/>
  <c r="H859" i="4"/>
  <c r="H858" i="4"/>
  <c r="A855" i="4"/>
  <c r="A856" i="4"/>
  <c r="A857" i="4"/>
  <c r="A860" i="4"/>
  <c r="A859" i="4"/>
  <c r="A858" i="4"/>
  <c r="H852" i="4" l="1"/>
  <c r="H853" i="4"/>
  <c r="H854" i="4"/>
  <c r="A852" i="4"/>
  <c r="A853" i="4"/>
  <c r="A854" i="4"/>
  <c r="H847" i="4"/>
  <c r="H848" i="4"/>
  <c r="H851" i="4"/>
  <c r="H849" i="4"/>
  <c r="H850" i="4"/>
  <c r="A847" i="4"/>
  <c r="A848" i="4"/>
  <c r="A851" i="4"/>
  <c r="A849" i="4"/>
  <c r="A850" i="4"/>
  <c r="A553" i="7"/>
  <c r="A554" i="7"/>
  <c r="A555" i="7"/>
  <c r="A556" i="7"/>
  <c r="A557" i="7"/>
  <c r="A558" i="7"/>
  <c r="A559" i="7"/>
  <c r="A560" i="7"/>
  <c r="H840" i="4" l="1"/>
  <c r="H843" i="4"/>
  <c r="H844" i="4"/>
  <c r="H845" i="4"/>
  <c r="H846" i="4"/>
  <c r="A840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1" i="4"/>
  <c r="H833" i="4"/>
  <c r="H834" i="4"/>
  <c r="H835" i="4"/>
  <c r="H830" i="4"/>
  <c r="H832" i="4"/>
  <c r="H836" i="4"/>
  <c r="H837" i="4"/>
  <c r="H839" i="4"/>
  <c r="H841" i="4"/>
  <c r="H842" i="4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444" i="4"/>
  <c r="H822" i="4"/>
  <c r="H823" i="4"/>
  <c r="H824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12" i="4" l="1"/>
  <c r="H807" i="4"/>
  <c r="H810" i="4"/>
  <c r="H808" i="4"/>
  <c r="H809" i="4"/>
  <c r="H811" i="4"/>
  <c r="H375" i="4"/>
  <c r="H815" i="4"/>
  <c r="H816" i="4"/>
  <c r="H817" i="4"/>
  <c r="H818" i="4"/>
  <c r="H819" i="4"/>
  <c r="A812" i="4"/>
  <c r="A807" i="4"/>
  <c r="A810" i="4"/>
  <c r="A808" i="4"/>
  <c r="A809" i="4"/>
  <c r="A811" i="4"/>
  <c r="A375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168" i="4"/>
  <c r="H793" i="4"/>
  <c r="H796" i="4"/>
  <c r="H794" i="4"/>
  <c r="H795" i="4"/>
  <c r="H797" i="4"/>
  <c r="H800" i="4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753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82" i="4"/>
  <c r="H107" i="4"/>
  <c r="H108" i="4"/>
  <c r="H106" i="4"/>
  <c r="H110" i="4"/>
  <c r="H111" i="4"/>
  <c r="H112" i="4"/>
  <c r="H109" i="4"/>
  <c r="H113" i="4"/>
  <c r="H115" i="4"/>
  <c r="H116" i="4"/>
  <c r="H792" i="4"/>
  <c r="H118" i="4"/>
  <c r="H119" i="4"/>
  <c r="H120" i="4"/>
  <c r="H121" i="4"/>
  <c r="H122" i="4"/>
  <c r="H123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735" i="4"/>
  <c r="H140" i="4"/>
  <c r="H141" i="4"/>
  <c r="H142" i="4"/>
  <c r="H143" i="4"/>
  <c r="H144" i="4"/>
  <c r="H534" i="4"/>
  <c r="H146" i="4"/>
  <c r="H147" i="4"/>
  <c r="H539" i="4"/>
  <c r="H149" i="4"/>
  <c r="H150" i="4"/>
  <c r="H151" i="4"/>
  <c r="H152" i="4"/>
  <c r="H153" i="4"/>
  <c r="H154" i="4"/>
  <c r="H155" i="4"/>
  <c r="H156" i="4"/>
  <c r="H157" i="4"/>
  <c r="H158" i="4"/>
  <c r="H546" i="4"/>
  <c r="H160" i="4"/>
  <c r="H161" i="4"/>
  <c r="H162" i="4"/>
  <c r="H163" i="4"/>
  <c r="H164" i="4"/>
  <c r="H165" i="4"/>
  <c r="H166" i="4"/>
  <c r="H167" i="4"/>
  <c r="H624" i="4"/>
  <c r="H169" i="4"/>
  <c r="H170" i="4"/>
  <c r="H171" i="4"/>
  <c r="H172" i="4"/>
  <c r="H173" i="4"/>
  <c r="H174" i="4"/>
  <c r="H175" i="4"/>
  <c r="H176" i="4"/>
  <c r="H177" i="4"/>
  <c r="H178" i="4"/>
  <c r="H179" i="4"/>
  <c r="H645" i="4"/>
  <c r="H698" i="4"/>
  <c r="H182" i="4"/>
  <c r="H183" i="4"/>
  <c r="H184" i="4"/>
  <c r="H185" i="4"/>
  <c r="H186" i="4"/>
  <c r="H187" i="4"/>
  <c r="H188" i="4"/>
  <c r="H189" i="4"/>
  <c r="H705" i="4"/>
  <c r="H191" i="4"/>
  <c r="H728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114" i="4"/>
  <c r="H190" i="4"/>
  <c r="H1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139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14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180" i="4"/>
  <c r="H286" i="4"/>
  <c r="H287" i="4"/>
  <c r="H288" i="4"/>
  <c r="H289" i="4"/>
  <c r="H192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215" i="4"/>
  <c r="H321" i="4"/>
  <c r="H322" i="4"/>
  <c r="H323" i="4"/>
  <c r="H324" i="4"/>
  <c r="H325" i="4"/>
  <c r="H326" i="4"/>
  <c r="H327" i="4"/>
  <c r="H328" i="4"/>
  <c r="H329" i="4"/>
  <c r="H330" i="4"/>
  <c r="H216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217" i="4"/>
  <c r="H23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181" i="4"/>
  <c r="H376" i="4"/>
  <c r="H377" i="4"/>
  <c r="H475" i="4"/>
  <c r="H379" i="4"/>
  <c r="H380" i="4"/>
  <c r="H381" i="4"/>
  <c r="H382" i="4"/>
  <c r="H383" i="4"/>
  <c r="H384" i="4"/>
  <c r="H484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145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378" i="4"/>
  <c r="H38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258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285" i="4"/>
  <c r="H476" i="4"/>
  <c r="H477" i="4"/>
  <c r="H478" i="4"/>
  <c r="H479" i="4"/>
  <c r="H480" i="4"/>
  <c r="H481" i="4"/>
  <c r="H482" i="4"/>
  <c r="H483" i="4"/>
  <c r="H290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320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418" i="4"/>
  <c r="H535" i="4"/>
  <c r="H536" i="4"/>
  <c r="H537" i="4"/>
  <c r="H538" i="4"/>
  <c r="H542" i="4"/>
  <c r="H445" i="4"/>
  <c r="H540" i="4"/>
  <c r="H541" i="4"/>
  <c r="H543" i="4"/>
  <c r="H544" i="4"/>
  <c r="H545" i="4"/>
  <c r="H814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462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517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159" i="4"/>
  <c r="H699" i="4"/>
  <c r="H700" i="4"/>
  <c r="H701" i="4"/>
  <c r="H702" i="4"/>
  <c r="H703" i="4"/>
  <c r="H704" i="4"/>
  <c r="H331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821" i="4"/>
  <c r="H729" i="4"/>
  <c r="H730" i="4"/>
  <c r="H731" i="4"/>
  <c r="H732" i="4"/>
  <c r="H734" i="4"/>
  <c r="H346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347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<sst xmlns="http://schemas.openxmlformats.org/spreadsheetml/2006/main" count="28632" uniqueCount="11526">
  <si>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</si>
  <si>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</si>
  <si>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</si>
  <si>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</si>
  <si>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</si>
  <si>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</si>
  <si>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</si>
  <si>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</si>
  <si>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</si>
  <si>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</si>
  <si>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</si>
  <si>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</si>
  <si>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</si>
  <si>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</si>
  <si>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</si>
  <si>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</si>
  <si>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</si>
  <si>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</si>
  <si>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</si>
  <si>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</si>
  <si>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</si>
  <si>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</si>
  <si>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</si>
  <si>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</si>
  <si>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</si>
  <si>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</si>
  <si>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</si>
  <si>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</si>
  <si>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</si>
  <si>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</si>
  <si>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</si>
  <si>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</si>
  <si>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</si>
  <si>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</si>
  <si>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</si>
  <si>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</si>
  <si>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</si>
  <si>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</si>
  <si>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</si>
  <si>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</si>
  <si>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</si>
  <si>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</si>
  <si>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</si>
  <si>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</si>
  <si>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</si>
  <si>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</si>
  <si>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</si>
  <si>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</si>
  <si>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</si>
  <si>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</si>
  <si>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</si>
  <si>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</si>
  <si>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</si>
  <si>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</si>
  <si>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</si>
  <si>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</si>
  <si>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</si>
  <si>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</si>
  <si>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</si>
  <si>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</si>
  <si>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</si>
  <si>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</si>
  <si>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</si>
  <si>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</si>
  <si>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</si>
  <si>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</si>
  <si>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</si>
  <si>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</si>
  <si>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</si>
  <si>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</si>
  <si>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</si>
  <si>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</si>
  <si>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</si>
  <si>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</si>
  <si>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</si>
  <si>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</si>
  <si>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</si>
  <si>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</si>
  <si>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</si>
  <si>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</si>
  <si>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</si>
  <si>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</si>
  <si>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</si>
  <si>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</si>
  <si>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</si>
  <si>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</si>
  <si>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</si>
  <si>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</si>
  <si>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</si>
  <si>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</si>
  <si>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</si>
  <si>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</si>
  <si>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</si>
  <si>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</si>
  <si>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</si>
  <si>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</si>
  <si>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</si>
  <si>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</si>
  <si>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</si>
  <si>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</si>
  <si>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</si>
  <si>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</si>
  <si>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</si>
  <si>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</si>
  <si>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</si>
  <si>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</si>
  <si>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</si>
  <si>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</si>
  <si>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</si>
  <si>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</si>
  <si>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</si>
  <si>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</si>
  <si>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</si>
  <si>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</si>
  <si>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</si>
  <si>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</si>
  <si>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</si>
  <si>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</si>
  <si>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</si>
  <si>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</si>
  <si>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</si>
  <si>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</si>
  <si>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</si>
  <si>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</si>
  <si>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</si>
  <si>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</si>
  <si>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</si>
  <si>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</si>
  <si>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</si>
  <si>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</si>
  <si>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</si>
  <si>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</si>
  <si>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</si>
  <si>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</si>
  <si>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</si>
  <si>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</si>
  <si>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</si>
  <si>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</si>
  <si>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</si>
  <si>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</si>
  <si>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</si>
  <si>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</si>
  <si>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</si>
  <si>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</si>
  <si>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</si>
  <si>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</si>
  <si>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</si>
  <si>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</si>
  <si>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</si>
  <si>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</si>
  <si>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</si>
  <si>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</si>
  <si>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</si>
  <si>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</si>
  <si>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</si>
  <si>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</si>
  <si>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</si>
  <si>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</si>
  <si>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</si>
  <si>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</si>
  <si>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</si>
  <si>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</si>
  <si>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</si>
  <si>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</si>
  <si>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</si>
  <si>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</si>
  <si>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</si>
  <si>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</si>
  <si>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</si>
  <si>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</si>
  <si>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</si>
  <si>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</si>
  <si>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</si>
  <si>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</si>
  <si>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</si>
  <si>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</si>
  <si>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</si>
  <si>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</si>
  <si>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</si>
  <si>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</si>
  <si>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</si>
  <si>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</si>
  <si>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</si>
  <si>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</si>
  <si>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</si>
  <si>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</si>
  <si>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</si>
  <si>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</si>
  <si>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</si>
  <si>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</si>
  <si>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</si>
  <si>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</si>
  <si>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</si>
  <si>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</si>
  <si>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</si>
  <si>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</si>
  <si>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</si>
  <si>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</si>
  <si>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</si>
  <si>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</si>
  <si>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</si>
  <si>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</si>
  <si>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</si>
  <si>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</si>
  <si>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</si>
  <si>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</si>
  <si>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</si>
  <si>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</si>
  <si>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</si>
  <si>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</si>
  <si>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</si>
  <si>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</si>
  <si>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</si>
  <si>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</si>
  <si>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</si>
  <si>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</si>
  <si>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</si>
  <si>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</si>
  <si>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</si>
  <si>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</si>
  <si>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</si>
  <si>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</si>
  <si>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</si>
  <si>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</si>
  <si>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</si>
  <si>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</si>
  <si>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</si>
  <si>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</si>
  <si>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</si>
  <si>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</si>
  <si>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</si>
  <si>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</si>
  <si>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</si>
  <si>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</si>
  <si>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</si>
  <si>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</si>
  <si>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</si>
  <si>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</si>
  <si>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</si>
  <si>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</si>
  <si>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</si>
  <si>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</si>
  <si>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</si>
  <si>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</si>
  <si>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</si>
  <si>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</si>
  <si>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</si>
  <si>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</si>
  <si>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</si>
  <si>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</si>
  <si>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</si>
  <si>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</si>
  <si>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</si>
  <si>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</si>
  <si>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</si>
  <si>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</si>
  <si>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</si>
  <si>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</si>
  <si>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</si>
  <si>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</si>
  <si>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</si>
  <si>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</si>
  <si>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</si>
  <si>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</si>
  <si>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</si>
  <si>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</si>
  <si>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</si>
  <si>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</si>
  <si>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</si>
  <si>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</si>
  <si>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</si>
  <si>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</si>
  <si>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</si>
  <si>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</si>
  <si>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</si>
  <si>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</si>
  <si>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</si>
  <si>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</si>
  <si>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</si>
  <si>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</si>
  <si>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</si>
  <si>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</si>
  <si>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</si>
  <si>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</si>
  <si>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</si>
  <si>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</si>
  <si>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</si>
  <si>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</si>
  <si>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</si>
  <si>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</si>
  <si>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</si>
  <si>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</si>
  <si>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</si>
  <si>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</si>
  <si>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</si>
  <si>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</si>
  <si>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</si>
  <si>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</si>
  <si>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</si>
  <si>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</si>
  <si>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</si>
  <si>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</si>
  <si>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</si>
  <si>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</si>
  <si>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</si>
  <si>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</si>
  <si>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</si>
  <si>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</si>
  <si>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</si>
  <si>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</si>
  <si>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</si>
  <si>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</si>
  <si>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</si>
  <si>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</si>
  <si>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</si>
  <si>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</si>
  <si>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</si>
  <si>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</si>
  <si>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</si>
  <si>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</si>
  <si>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</si>
  <si>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</si>
  <si>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</si>
  <si>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</si>
  <si>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</si>
  <si>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</si>
  <si>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</si>
  <si>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</si>
  <si>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</si>
  <si>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</si>
  <si>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</si>
  <si>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</si>
  <si>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</si>
  <si>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</si>
  <si>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</si>
  <si>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</si>
  <si>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</si>
  <si>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</si>
  <si>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</si>
  <si>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</si>
  <si>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</si>
  <si>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</si>
  <si>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</si>
  <si>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</si>
  <si>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</si>
  <si>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</si>
  <si>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</si>
  <si>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</si>
  <si>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</si>
  <si>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</si>
  <si>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</si>
  <si>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</si>
  <si>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</si>
  <si>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</si>
  <si>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</si>
  <si>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</si>
  <si>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</si>
  <si>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</si>
  <si>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</si>
  <si>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</si>
  <si>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</si>
  <si>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</si>
  <si>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</si>
  <si>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</si>
  <si>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</si>
  <si>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</si>
  <si>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</si>
  <si>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</si>
  <si>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</si>
  <si>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</si>
  <si>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</si>
  <si>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</si>
  <si>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</si>
  <si>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</si>
  <si>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</si>
  <si>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</si>
  <si>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</si>
  <si>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</si>
  <si>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</si>
  <si>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</si>
  <si>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</si>
  <si>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</si>
  <si>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</si>
  <si>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</si>
  <si>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</si>
  <si>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</si>
  <si>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</si>
  <si>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</si>
  <si>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</si>
  <si>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</si>
  <si>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</si>
  <si>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</si>
  <si>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</si>
  <si>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</si>
  <si>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</si>
  <si>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</si>
  <si>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</si>
  <si>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</si>
  <si>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</si>
  <si>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</si>
  <si>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</si>
  <si>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</si>
  <si>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</si>
  <si>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</si>
  <si>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</si>
  <si>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</si>
  <si>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</si>
  <si>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</si>
  <si>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</si>
  <si>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</si>
  <si>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</si>
  <si>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</si>
  <si>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</si>
  <si>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</si>
  <si>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</si>
  <si>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</si>
  <si>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</si>
  <si>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</si>
  <si>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</si>
  <si>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</si>
  <si>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</si>
  <si>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</si>
  <si>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</si>
  <si>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</si>
  <si>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</si>
  <si>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</si>
  <si>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</si>
  <si>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</si>
  <si>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</si>
  <si>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</si>
  <si>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</si>
  <si>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</si>
  <si>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</si>
  <si>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</si>
  <si>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</si>
  <si>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</si>
  <si>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</si>
  <si>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</si>
  <si>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</si>
  <si>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</si>
  <si>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</si>
  <si>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</si>
  <si>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</si>
  <si>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</si>
  <si>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</si>
  <si>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</si>
  <si>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</si>
  <si>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</si>
  <si>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</si>
  <si>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</si>
  <si>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</si>
  <si>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</si>
  <si>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</si>
  <si>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</si>
  <si>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</si>
  <si>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</si>
  <si>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</si>
  <si>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</si>
  <si>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</si>
  <si>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</si>
  <si>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</si>
  <si>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</si>
  <si>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</si>
  <si>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</si>
  <si>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</si>
  <si>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</si>
  <si>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</si>
  <si>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</si>
  <si>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</si>
  <si>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</si>
  <si>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</si>
  <si>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</si>
  <si>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</si>
  <si>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</si>
  <si>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</si>
  <si>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</si>
  <si>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</si>
  <si>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</si>
  <si>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</si>
  <si>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</si>
  <si>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</si>
  <si>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</si>
  <si>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</si>
  <si>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</si>
  <si>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</si>
  <si>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</si>
  <si>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</si>
  <si>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</si>
  <si>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</si>
  <si>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</si>
  <si>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</si>
  <si>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</si>
  <si>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</si>
  <si>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</si>
  <si>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</si>
  <si>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</si>
  <si>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</si>
  <si>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</si>
  <si>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</si>
  <si>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</si>
  <si>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</si>
  <si>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</si>
  <si>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</si>
  <si>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</si>
  <si>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</si>
  <si>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</si>
  <si>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</si>
  <si>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</si>
  <si>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</si>
  <si>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</si>
  <si>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</si>
  <si>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</si>
  <si>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</si>
  <si>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</si>
  <si>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</si>
  <si>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</si>
  <si>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</si>
  <si>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</si>
  <si>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</si>
  <si>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</si>
  <si>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</si>
  <si>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</si>
  <si>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</si>
  <si>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</si>
  <si>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</si>
  <si>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</si>
  <si>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</si>
  <si>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</si>
  <si>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</si>
  <si>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</si>
  <si>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</si>
  <si>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</si>
  <si>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</si>
  <si>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</si>
  <si>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</si>
  <si>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</si>
  <si>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</si>
  <si>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</si>
  <si>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</si>
  <si>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</si>
  <si>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</si>
  <si>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</si>
  <si>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</si>
  <si>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</si>
  <si>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</si>
  <si>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</si>
  <si>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</si>
  <si>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</si>
  <si>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</si>
  <si>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</si>
  <si>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</si>
  <si>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</si>
  <si>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</si>
  <si>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</si>
  <si>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</si>
  <si>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</si>
  <si>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</si>
  <si>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</si>
  <si>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</si>
  <si>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</si>
  <si>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</si>
  <si>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</si>
  <si>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</si>
  <si>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</si>
  <si>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</si>
  <si>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</si>
  <si>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</si>
  <si>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</si>
  <si>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</si>
  <si>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</si>
  <si>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</si>
  <si>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</si>
  <si>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</si>
  <si>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</si>
  <si>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</si>
  <si>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</si>
  <si>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</si>
  <si>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</si>
  <si>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</si>
  <si>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</si>
  <si>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</si>
  <si>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</si>
  <si>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</si>
  <si>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</si>
  <si>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</si>
  <si>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</si>
  <si>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</si>
  <si>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</si>
  <si>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</si>
  <si>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</si>
  <si>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</si>
  <si>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</si>
  <si>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</si>
  <si>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</si>
  <si>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</si>
  <si>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</si>
  <si>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</si>
  <si>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</si>
  <si>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</si>
  <si>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</si>
  <si>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</si>
  <si>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</si>
  <si>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</si>
  <si>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</si>
  <si>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</si>
  <si>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</si>
  <si>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</si>
  <si>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</si>
  <si>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</si>
  <si>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</si>
  <si>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</si>
  <si>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</si>
  <si>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</si>
  <si>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</si>
  <si>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</si>
  <si>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</si>
  <si>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</si>
  <si>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</si>
  <si>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</si>
  <si>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</si>
  <si>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</si>
  <si>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</si>
  <si>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</si>
  <si>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</si>
  <si>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</si>
  <si>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</si>
  <si>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</si>
  <si>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</si>
  <si>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</si>
  <si>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</si>
  <si>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</si>
  <si>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</si>
  <si>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</si>
  <si>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</si>
  <si>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</si>
  <si>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</si>
  <si>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</si>
  <si>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</si>
  <si>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</si>
  <si>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</si>
  <si>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</si>
  <si>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</si>
  <si>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</si>
  <si>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</si>
  <si>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</si>
  <si>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</si>
  <si>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</si>
  <si>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</si>
  <si>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</si>
  <si>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</si>
  <si>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</si>
  <si>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</si>
  <si>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</si>
  <si>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</si>
  <si>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</si>
  <si>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</si>
  <si>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</si>
  <si>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</si>
  <si>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</si>
  <si>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</si>
  <si>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</si>
  <si>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</si>
  <si>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</si>
  <si>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</si>
  <si>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</si>
  <si>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</si>
  <si>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</si>
  <si>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</si>
  <si>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</si>
  <si>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</si>
  <si>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</si>
  <si>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</si>
  <si>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</si>
  <si>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</si>
  <si>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</si>
  <si>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</si>
  <si>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</si>
  <si>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</si>
  <si>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</si>
  <si>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</si>
  <si>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</si>
  <si>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</si>
  <si>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</si>
  <si>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</si>
  <si>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</si>
  <si>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</si>
  <si>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</si>
  <si>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</si>
  <si>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</si>
  <si>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</si>
  <si>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</si>
  <si>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</si>
  <si>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</si>
  <si>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</si>
  <si>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</si>
  <si>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</si>
  <si>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</si>
  <si>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</si>
  <si>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</si>
  <si>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</si>
  <si>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</si>
  <si>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</si>
  <si>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</si>
  <si>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</si>
  <si>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</si>
  <si>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</si>
  <si>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</si>
  <si>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</si>
  <si>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</si>
  <si>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</si>
  <si>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</si>
  <si>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</si>
  <si>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</si>
  <si>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</si>
  <si>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</si>
  <si>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</si>
  <si>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</si>
  <si>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</si>
  <si>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</si>
  <si>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</si>
  <si>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</si>
  <si>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</si>
  <si>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</si>
  <si>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</si>
  <si>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</si>
  <si>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</si>
  <si>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</si>
  <si>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</si>
  <si>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</si>
  <si>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</si>
  <si>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</si>
  <si>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</si>
  <si>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</si>
  <si>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</si>
  <si>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</si>
  <si>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</si>
  <si>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</si>
  <si>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</si>
  <si>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</si>
  <si>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</si>
  <si>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</si>
  <si>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</si>
  <si>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</si>
  <si>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</si>
  <si>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</si>
  <si>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</si>
  <si>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</si>
  <si>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</si>
  <si>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</si>
  <si>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</si>
  <si>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</si>
  <si>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</si>
  <si>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</si>
  <si>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</si>
  <si>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</si>
  <si>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</si>
  <si>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</si>
  <si>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</si>
  <si>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</si>
  <si>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</si>
  <si>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</si>
  <si>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</si>
  <si>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</si>
  <si>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</si>
  <si>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</si>
  <si>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</si>
  <si>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</si>
  <si>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</si>
  <si>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</si>
  <si>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</si>
  <si>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</si>
  <si>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</si>
  <si>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</si>
  <si>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</si>
  <si>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</si>
  <si>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</si>
  <si>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</si>
  <si>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</si>
  <si>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</si>
  <si>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</si>
  <si>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</si>
  <si>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</si>
  <si>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</si>
  <si>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</si>
  <si>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</si>
  <si>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</si>
  <si>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</si>
  <si>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</si>
  <si>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</si>
  <si>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</si>
  <si>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</si>
  <si>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</si>
  <si>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</si>
  <si>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</si>
  <si>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</si>
  <si>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</si>
  <si>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</si>
  <si>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</si>
  <si>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</si>
  <si>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</si>
  <si>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</si>
  <si>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</si>
  <si>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</si>
  <si>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</si>
  <si>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</si>
  <si>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</si>
  <si>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</si>
  <si>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</si>
  <si>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</si>
  <si>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</si>
  <si>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</si>
  <si>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</si>
  <si>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</si>
  <si>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</si>
  <si>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</si>
  <si>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</si>
  <si>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</si>
  <si>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</si>
  <si>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</si>
  <si>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</si>
  <si>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</si>
  <si>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</si>
  <si>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</si>
  <si>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</si>
  <si>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</si>
  <si>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</si>
  <si>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</si>
  <si>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</si>
  <si>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</si>
  <si>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</si>
  <si>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</si>
  <si>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</si>
  <si>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</si>
  <si>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</si>
  <si>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</si>
  <si>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</si>
  <si>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</si>
  <si>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</si>
  <si>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</si>
  <si>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</si>
  <si>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</si>
  <si>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</si>
  <si>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</si>
  <si>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</si>
  <si>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</si>
  <si>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</si>
  <si>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</si>
  <si>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</si>
  <si>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</si>
  <si>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</si>
  <si>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</si>
  <si>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</si>
  <si>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</si>
  <si>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</si>
  <si>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</si>
  <si>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</si>
  <si>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</si>
  <si>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</si>
  <si>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</si>
  <si>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</si>
  <si>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</si>
  <si>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</si>
  <si>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</si>
  <si>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</si>
  <si>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</si>
  <si>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</si>
  <si>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</si>
  <si>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</si>
  <si>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</si>
  <si>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</si>
  <si>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</si>
  <si>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</si>
  <si>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</si>
  <si>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</si>
  <si>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</si>
  <si>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</si>
  <si>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</si>
  <si>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</si>
  <si>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</si>
  <si>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</si>
  <si>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</si>
  <si>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</si>
  <si>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</si>
  <si>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</si>
  <si>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</si>
  <si>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</si>
  <si>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</si>
  <si>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</si>
  <si>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</si>
  <si>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</si>
  <si>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</si>
  <si>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</si>
  <si>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</si>
  <si>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</si>
  <si>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</si>
  <si>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</si>
  <si>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</si>
  <si>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</si>
  <si>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</si>
  <si>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</si>
  <si>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</si>
  <si>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</si>
  <si>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</si>
  <si>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</si>
  <si>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</si>
  <si>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</si>
  <si>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</si>
  <si>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</si>
  <si>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</si>
  <si>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</si>
  <si>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</si>
  <si>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</si>
  <si>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</si>
  <si>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</si>
  <si>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</si>
  <si>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</si>
  <si>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</si>
  <si>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</si>
  <si>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</si>
  <si>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</si>
  <si>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</si>
  <si>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</si>
  <si>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</si>
  <si>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</si>
  <si>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</si>
  <si>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</si>
  <si>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</si>
  <si>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</si>
  <si>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</si>
  <si>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</si>
  <si>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</si>
  <si>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</si>
  <si>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</si>
  <si>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</si>
  <si>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</si>
  <si>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</si>
  <si>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</si>
  <si>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</si>
  <si>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</si>
  <si>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</si>
  <si>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</si>
  <si>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</si>
  <si>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</si>
  <si>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</si>
  <si>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</si>
  <si>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</si>
  <si>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</si>
  <si>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</si>
  <si>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</si>
  <si>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</si>
  <si>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</si>
  <si>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</si>
  <si>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</si>
  <si>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</si>
  <si>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</si>
  <si>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</si>
  <si>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</si>
  <si>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</si>
  <si>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</si>
  <si>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</si>
  <si>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</si>
  <si>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</si>
  <si>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</si>
  <si>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</si>
  <si>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</si>
  <si>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</si>
  <si>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</si>
  <si>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</si>
  <si>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</si>
  <si>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</si>
  <si>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</si>
  <si>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</si>
  <si>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</si>
  <si>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</si>
  <si>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</si>
  <si>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</si>
  <si>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</si>
  <si>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</si>
  <si>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</si>
  <si>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</si>
  <si>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</si>
  <si>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</si>
  <si>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</si>
  <si>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</si>
  <si>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</si>
  <si>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</si>
  <si>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</si>
  <si>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</si>
  <si>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</si>
  <si>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</si>
  <si>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</si>
  <si>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</si>
  <si>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</si>
  <si>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</si>
  <si>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</si>
  <si>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</si>
  <si>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</si>
  <si>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</si>
  <si>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</si>
  <si>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</si>
  <si>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</si>
  <si>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</si>
  <si>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</si>
  <si>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</si>
  <si>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</si>
  <si>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</si>
  <si>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</si>
  <si>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</si>
  <si>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</si>
  <si>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</si>
  <si>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</si>
  <si>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</si>
  <si>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</si>
  <si>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</si>
  <si>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</si>
  <si>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</si>
  <si>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</si>
  <si>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</si>
  <si>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</si>
  <si>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</si>
  <si>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</si>
  <si>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</si>
  <si>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</si>
  <si>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</si>
  <si>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</si>
  <si>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</si>
  <si>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</si>
  <si>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</si>
  <si>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</si>
  <si>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</si>
  <si>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</si>
  <si>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</si>
  <si>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</si>
  <si>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</si>
  <si>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</si>
  <si>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</si>
  <si>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</si>
  <si>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</si>
  <si>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</si>
  <si>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</si>
  <si>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</si>
  <si>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</si>
  <si>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</si>
  <si>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</si>
  <si>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</si>
  <si>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</si>
  <si>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</si>
  <si>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</si>
  <si>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</si>
  <si>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</si>
  <si>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</si>
  <si>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</si>
  <si>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</si>
  <si>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</si>
  <si>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</si>
  <si>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</si>
  <si>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</si>
  <si>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</si>
  <si>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</si>
  <si>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</si>
  <si>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</si>
  <si>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</si>
  <si>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</si>
  <si>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</si>
  <si>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</si>
  <si>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</si>
  <si>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</si>
  <si>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</si>
  <si>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</si>
  <si>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</si>
  <si>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</si>
  <si>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</si>
  <si>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</si>
  <si>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</si>
  <si>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</si>
  <si>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</si>
  <si>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</si>
  <si>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</si>
  <si>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</si>
  <si>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</si>
  <si>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</si>
  <si>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</si>
  <si>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</si>
  <si>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</si>
  <si>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</si>
  <si>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</si>
  <si>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</si>
  <si>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</si>
  <si>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</si>
  <si>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</si>
  <si>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</si>
  <si>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</si>
  <si>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</si>
  <si>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</si>
  <si>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</si>
  <si>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</si>
  <si>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</si>
  <si>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</si>
  <si>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</si>
  <si>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</si>
  <si>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</si>
  <si>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</si>
  <si>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</si>
  <si>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</si>
  <si>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</si>
  <si>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</si>
  <si>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</si>
  <si>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</si>
  <si>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</si>
  <si>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</si>
  <si>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</si>
  <si>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</si>
  <si>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</si>
  <si>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</si>
  <si>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</si>
  <si>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</si>
  <si>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</si>
  <si>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</si>
  <si>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</si>
  <si>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</si>
  <si>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</si>
  <si>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</si>
  <si>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</si>
  <si>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</si>
  <si>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</si>
  <si>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</si>
  <si>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</si>
  <si>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</si>
  <si>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</si>
  <si>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</si>
  <si>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</si>
  <si>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</si>
  <si>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</si>
  <si>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</si>
  <si>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</si>
  <si>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</si>
  <si>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</si>
  <si>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</si>
  <si>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</si>
  <si>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</si>
  <si>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</si>
  <si>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</si>
  <si>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</si>
  <si>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</si>
  <si>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</si>
  <si>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</si>
  <si>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</si>
  <si>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</si>
  <si>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</si>
  <si>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</si>
  <si>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</si>
  <si>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</si>
  <si>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</si>
  <si>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</si>
  <si>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</si>
  <si>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</si>
  <si>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</si>
  <si>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</si>
  <si>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</si>
  <si>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</si>
  <si>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</si>
  <si>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</si>
  <si>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</si>
  <si>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</si>
  <si>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</si>
  <si>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</si>
  <si>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</si>
  <si>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</si>
  <si>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</si>
  <si>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</si>
  <si>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</si>
  <si>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</si>
  <si>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</si>
  <si>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</si>
  <si>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</si>
  <si>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</si>
  <si>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</si>
  <si>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</si>
  <si>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</si>
  <si>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</si>
  <si>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</si>
  <si>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</si>
  <si>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</si>
  <si>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</si>
  <si>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</si>
  <si>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</si>
  <si>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</si>
  <si>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</si>
  <si>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</si>
  <si>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</si>
  <si>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</si>
  <si>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</si>
  <si>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</si>
  <si>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</si>
  <si>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</si>
  <si>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</si>
  <si>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</si>
  <si>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</si>
  <si>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</si>
  <si>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</si>
  <si>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</si>
  <si>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</si>
  <si>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</si>
  <si>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</si>
  <si>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</si>
  <si>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</si>
  <si>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</si>
  <si>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</si>
  <si>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</si>
  <si>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</si>
  <si>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</si>
  <si>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</si>
  <si>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</si>
  <si>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</si>
  <si>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</si>
  <si>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</si>
  <si>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</si>
  <si>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</si>
  <si>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</si>
  <si>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</si>
  <si>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</si>
  <si>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</si>
  <si>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</si>
  <si>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</si>
  <si>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</si>
  <si>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</si>
  <si>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</si>
  <si>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</si>
  <si>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</si>
  <si>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</si>
  <si>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</si>
  <si>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</si>
  <si>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</si>
  <si>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</si>
  <si>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</si>
  <si>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</si>
  <si>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</si>
  <si>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</si>
  <si>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</si>
  <si>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</si>
  <si>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</si>
  <si>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</si>
  <si>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</si>
  <si>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</si>
  <si>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</si>
  <si>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</si>
  <si>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</si>
  <si>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</si>
  <si>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</si>
  <si>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</si>
  <si>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</si>
  <si>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</si>
  <si>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</si>
  <si>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</si>
  <si>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</si>
  <si>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</si>
  <si>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</si>
  <si>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</si>
  <si>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</si>
  <si>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</si>
  <si>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</si>
  <si>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</si>
  <si>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</si>
  <si>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</si>
  <si>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</si>
  <si>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</si>
  <si>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</si>
  <si>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</si>
  <si>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</si>
  <si>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</si>
  <si>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</si>
  <si>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</si>
  <si>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</si>
  <si>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</si>
  <si>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</si>
  <si>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</si>
  <si>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</si>
  <si>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</si>
  <si>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</si>
  <si>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</si>
  <si>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</si>
  <si>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</si>
  <si>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</si>
  <si>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</si>
  <si>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</si>
  <si>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</si>
  <si>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</si>
  <si>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</si>
  <si>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</si>
  <si>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</si>
  <si>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</si>
  <si>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</si>
  <si>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</si>
  <si>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</si>
  <si>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</si>
  <si>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</si>
  <si>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</si>
  <si>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</si>
  <si>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</si>
  <si>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</si>
  <si>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</si>
  <si>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</si>
  <si>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</si>
  <si>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</si>
  <si>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</si>
  <si>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</si>
  <si>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</si>
  <si>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</si>
  <si>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</si>
  <si>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</si>
  <si>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</si>
  <si>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</si>
  <si>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</si>
  <si>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</si>
  <si>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</si>
  <si>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</si>
  <si>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</si>
  <si>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</si>
  <si>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</si>
  <si>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</si>
  <si>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</si>
  <si>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</si>
  <si>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</si>
  <si>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</si>
  <si>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</si>
  <si>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</si>
  <si>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</si>
  <si>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</si>
  <si>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</si>
  <si>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</si>
  <si>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</si>
  <si>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</si>
  <si>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</si>
  <si>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</si>
  <si>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</si>
  <si>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</si>
  <si>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</si>
  <si>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</si>
  <si>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</si>
  <si>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</si>
  <si>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</si>
  <si>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</si>
  <si>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</si>
  <si>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</si>
  <si>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</si>
  <si>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</si>
  <si>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</si>
  <si>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</si>
  <si>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</si>
  <si>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</si>
  <si>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</si>
  <si>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</si>
  <si>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</si>
  <si>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</si>
  <si>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</si>
  <si>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</si>
  <si>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</si>
  <si>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</si>
  <si>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</si>
  <si>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</si>
  <si>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</si>
  <si>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</si>
  <si>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</si>
  <si>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</si>
  <si>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</si>
  <si>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</si>
  <si>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</si>
  <si>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</si>
  <si>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</si>
  <si>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</si>
  <si>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</si>
  <si>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</si>
  <si>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</si>
  <si>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</si>
  <si>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</si>
  <si>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</si>
  <si>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</si>
  <si>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</si>
  <si>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</si>
  <si>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</si>
  <si>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</si>
  <si>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</si>
  <si>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</si>
  <si>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</si>
  <si>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</si>
  <si>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</si>
  <si>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</si>
  <si>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</si>
  <si>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</si>
  <si>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</si>
  <si>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</si>
  <si>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</si>
  <si>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</si>
  <si>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</si>
  <si>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</si>
  <si>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</si>
  <si>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</si>
  <si>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</si>
  <si>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</si>
  <si>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</si>
  <si>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</si>
  <si>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</si>
  <si>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</si>
  <si>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</si>
  <si>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</si>
  <si>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</si>
  <si>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</si>
  <si>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</si>
  <si>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</si>
  <si>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</si>
  <si>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</si>
  <si>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</si>
  <si>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</si>
  <si>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</si>
  <si>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</si>
  <si>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</si>
  <si>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</si>
  <si>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</si>
  <si>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</si>
  <si>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</si>
  <si>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</si>
  <si>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</si>
  <si>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</si>
  <si>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</si>
  <si>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</si>
  <si>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</si>
  <si>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</si>
  <si>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</si>
  <si>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</si>
  <si>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</si>
  <si>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</si>
  <si>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</si>
  <si>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</si>
  <si>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</si>
  <si>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</si>
  <si>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</si>
  <si>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</si>
  <si>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</si>
  <si>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</si>
  <si>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</si>
  <si>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</si>
  <si>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</si>
  <si>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</si>
  <si>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</si>
  <si>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</si>
  <si>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</si>
  <si>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</si>
  <si>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</si>
  <si>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</si>
  <si>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</si>
  <si>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</si>
  <si>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</si>
  <si>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</si>
  <si>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</si>
  <si>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</si>
  <si>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</si>
  <si>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</si>
  <si>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</si>
  <si>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</si>
  <si>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</si>
  <si>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</si>
  <si>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</si>
  <si>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</si>
  <si>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</si>
  <si>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</si>
  <si>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</si>
  <si>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</si>
  <si>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</si>
  <si>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</si>
  <si>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</si>
  <si>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</si>
  <si>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</si>
  <si>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</si>
  <si>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</si>
  <si>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</si>
  <si>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</si>
  <si>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</si>
  <si>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</si>
  <si>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</si>
  <si>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</si>
  <si>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</si>
  <si>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</si>
  <si>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</si>
  <si>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</si>
  <si>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</si>
  <si>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</si>
  <si>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</si>
  <si>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</si>
  <si>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</si>
  <si>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</si>
  <si>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</si>
  <si>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</si>
  <si>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</si>
  <si>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</si>
  <si>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</si>
  <si>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</si>
  <si>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</si>
  <si>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</si>
  <si>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</si>
  <si>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</si>
  <si>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</si>
  <si>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</si>
  <si>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</si>
  <si>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</si>
  <si>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</si>
  <si>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</si>
  <si>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</si>
  <si>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</si>
  <si>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</si>
  <si>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</si>
  <si>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</si>
  <si>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</si>
  <si>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</si>
  <si>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</si>
  <si>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</si>
  <si>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</si>
  <si>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</si>
  <si>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</si>
  <si>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</si>
  <si>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</si>
  <si>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</si>
  <si>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</si>
  <si>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</si>
  <si>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</si>
  <si>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</si>
  <si>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</si>
  <si>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</si>
  <si>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</si>
  <si>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</si>
  <si>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</si>
  <si>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</si>
  <si>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</si>
  <si>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</si>
  <si>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</si>
  <si>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</si>
  <si>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</si>
  <si>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</si>
  <si>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</si>
  <si>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</si>
  <si>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</si>
  <si>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</si>
  <si>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</si>
  <si>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</si>
  <si>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</si>
  <si>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</si>
  <si>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</si>
  <si>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</si>
  <si>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</si>
  <si>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</si>
  <si>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</si>
  <si>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</si>
  <si>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</si>
  <si>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</si>
  <si>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</si>
  <si>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</si>
  <si>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</si>
  <si>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</si>
  <si>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</si>
  <si>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</si>
  <si>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</si>
  <si>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</si>
  <si>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</si>
  <si>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</si>
  <si>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</si>
  <si>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</si>
  <si>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</si>
  <si>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</si>
  <si>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</si>
  <si>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</si>
  <si>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</si>
  <si>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</si>
  <si>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</si>
  <si>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</si>
  <si>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</si>
  <si>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</si>
  <si>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</si>
  <si>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</si>
  <si>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</si>
  <si>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</si>
  <si>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</si>
  <si>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</si>
  <si>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</si>
  <si>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</si>
  <si>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</si>
  <si>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</si>
  <si>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</si>
  <si>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</si>
  <si>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</si>
  <si>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</si>
  <si>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</si>
  <si>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</si>
  <si>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</si>
  <si>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</si>
  <si>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</si>
  <si>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</si>
  <si>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</si>
  <si>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</si>
  <si>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</si>
  <si>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</si>
  <si>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</si>
  <si>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</si>
  <si>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</si>
  <si>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</si>
  <si>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</si>
  <si>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</si>
  <si>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</si>
  <si>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</si>
  <si>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</si>
  <si>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</si>
  <si>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</si>
  <si>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</si>
  <si>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</si>
  <si>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</si>
  <si>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</si>
  <si>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</si>
  <si>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</si>
  <si>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</si>
  <si>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</si>
  <si>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</si>
  <si>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</si>
  <si>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</si>
  <si>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</si>
  <si>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</si>
  <si>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</si>
  <si>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</si>
  <si>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</si>
  <si>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</si>
  <si>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</si>
  <si>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</si>
  <si>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</si>
  <si>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</si>
  <si>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</si>
  <si>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</si>
  <si>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</si>
  <si>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</si>
  <si>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</si>
  <si>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</si>
  <si>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</si>
  <si>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</si>
  <si>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</si>
  <si>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</si>
  <si>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</si>
  <si>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</si>
  <si>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</si>
  <si>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</si>
  <si>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</si>
  <si>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</si>
  <si>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</si>
  <si>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</si>
  <si>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</si>
  <si>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</si>
  <si>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</si>
  <si>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</si>
  <si>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</si>
  <si>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</si>
  <si>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</si>
  <si>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</si>
  <si>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</si>
  <si>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</si>
  <si>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</si>
  <si>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</si>
  <si>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</si>
  <si>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</si>
  <si>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</si>
  <si>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</si>
  <si>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</si>
  <si>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</si>
  <si>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</si>
  <si>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</si>
  <si>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</si>
  <si>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</si>
  <si>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</si>
  <si>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</si>
  <si>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</si>
  <si>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</si>
  <si>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</si>
  <si>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</si>
  <si>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</si>
  <si>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</si>
  <si>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</si>
  <si>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</si>
  <si>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</si>
  <si>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</si>
  <si>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</si>
  <si>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</si>
  <si>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</si>
  <si>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</si>
  <si>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</si>
  <si>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</si>
  <si>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</si>
  <si>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</si>
  <si>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</si>
  <si>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</si>
  <si>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</si>
  <si>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</si>
  <si>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</si>
  <si>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</si>
  <si>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</si>
  <si>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</si>
  <si>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</si>
  <si>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</si>
  <si>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</si>
  <si>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</si>
  <si>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</si>
  <si>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</si>
  <si>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</si>
  <si>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</si>
  <si>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</si>
  <si>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</si>
  <si>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</si>
  <si>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</si>
  <si>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</si>
  <si>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</si>
  <si>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</si>
  <si>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</si>
  <si>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</si>
  <si>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</si>
  <si>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</si>
  <si>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</si>
  <si>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</si>
  <si>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</si>
  <si>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</si>
  <si>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</si>
  <si>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</si>
  <si>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</si>
  <si>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</si>
  <si>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</si>
  <si>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</si>
  <si>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</si>
  <si>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</si>
  <si>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</si>
  <si>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</si>
  <si>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</si>
  <si>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</si>
  <si>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</si>
  <si>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</si>
  <si>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</si>
  <si>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</si>
  <si>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</si>
  <si>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</si>
  <si>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</si>
  <si>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</si>
  <si>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</si>
  <si>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</si>
  <si>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</si>
  <si>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</si>
  <si>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</si>
  <si>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</si>
  <si>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</si>
  <si>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</si>
  <si>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</si>
  <si>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</si>
  <si>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</si>
  <si>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</si>
  <si>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</si>
  <si>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</si>
  <si>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</si>
  <si>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</si>
  <si>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</si>
  <si>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</si>
  <si>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</si>
  <si>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</si>
  <si>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</si>
  <si>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</si>
  <si>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</si>
  <si>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</si>
  <si>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</si>
  <si>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</si>
  <si>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</si>
  <si>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</si>
  <si>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</si>
  <si>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</si>
  <si>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</si>
  <si>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</si>
  <si>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</si>
  <si>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</si>
  <si>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</si>
  <si>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</si>
  <si>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</si>
  <si>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</si>
  <si>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</si>
  <si>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</si>
  <si>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</si>
  <si>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</si>
  <si>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</si>
  <si>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</si>
  <si>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</si>
  <si>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</si>
  <si>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</si>
  <si>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</si>
  <si>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</si>
  <si>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</si>
  <si>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</si>
  <si>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</si>
  <si>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</si>
  <si>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</si>
  <si>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</si>
  <si>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</si>
  <si>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</si>
  <si>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</si>
  <si>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</si>
  <si>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</si>
  <si>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</si>
  <si>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</si>
  <si>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</si>
  <si>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</si>
  <si>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</si>
  <si>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</si>
  <si>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</si>
  <si>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</si>
  <si>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</si>
  <si>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</si>
  <si>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</si>
  <si>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</si>
  <si>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</si>
  <si>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</si>
  <si>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</si>
  <si>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</si>
  <si>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</si>
  <si>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</si>
  <si>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</si>
  <si>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</si>
  <si>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</si>
  <si>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</si>
  <si>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</si>
  <si>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</si>
  <si>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</si>
  <si>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</si>
  <si>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</si>
  <si>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</si>
  <si>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</si>
  <si>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</si>
  <si>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</si>
  <si>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</si>
  <si>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</si>
  <si>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</si>
  <si>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</si>
  <si>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</si>
  <si>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</si>
  <si>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</si>
  <si>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</si>
  <si>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</si>
  <si>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</si>
  <si>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</si>
  <si>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</si>
  <si>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</si>
  <si>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</si>
  <si>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</si>
  <si>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</si>
  <si>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</si>
  <si>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</si>
  <si>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</si>
  <si>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</si>
  <si>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</si>
  <si>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</si>
  <si>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</si>
  <si>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</si>
  <si>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</si>
  <si>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</si>
  <si>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</si>
  <si>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</si>
  <si>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</si>
  <si>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</si>
  <si>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</si>
  <si>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</si>
  <si>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</si>
  <si>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</si>
  <si>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</si>
  <si>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</si>
  <si>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</si>
  <si>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</si>
  <si>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</si>
  <si>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</si>
  <si>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</si>
  <si>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</si>
  <si>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</si>
  <si>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</si>
  <si>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</si>
  <si>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</si>
  <si>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</si>
  <si>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</si>
  <si>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</si>
  <si>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</si>
  <si>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</si>
  <si>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</si>
  <si>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</si>
  <si>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</si>
  <si>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</si>
  <si>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</si>
  <si>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</si>
  <si>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</si>
  <si>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</si>
  <si>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</si>
  <si>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</si>
  <si>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</si>
  <si>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</si>
  <si>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</si>
  <si>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</si>
  <si>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</si>
  <si>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</si>
  <si>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</si>
  <si>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</si>
  <si>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</si>
  <si>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</si>
  <si>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</si>
  <si>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</si>
  <si>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</si>
  <si>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</si>
  <si>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</si>
  <si>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</si>
  <si>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</si>
  <si>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</si>
  <si>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</si>
  <si>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</si>
  <si>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</si>
  <si>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</si>
  <si>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</si>
  <si>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</si>
  <si>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</si>
  <si>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</si>
  <si>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</si>
  <si>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</si>
  <si>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</si>
  <si>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</si>
  <si>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</si>
  <si>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</si>
  <si>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</si>
  <si>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</si>
  <si>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</si>
  <si>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</si>
  <si>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</si>
  <si>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</si>
  <si>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</si>
  <si>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</si>
  <si>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</si>
  <si>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</si>
  <si>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</si>
  <si>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</si>
  <si>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</si>
  <si>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</si>
  <si>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</si>
  <si>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</si>
  <si>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</si>
  <si>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</si>
  <si>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</si>
  <si>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</si>
  <si>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</si>
  <si>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</si>
  <si>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</si>
  <si>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</si>
  <si>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</si>
  <si>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</si>
  <si>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</si>
  <si>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</si>
  <si>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</si>
  <si>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</si>
  <si>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</si>
  <si>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</si>
  <si>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</si>
  <si>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</si>
  <si>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</si>
  <si>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</si>
  <si>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</si>
  <si>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</si>
  <si>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</si>
  <si>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</si>
  <si>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</si>
  <si>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</si>
  <si>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</si>
  <si>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</si>
  <si>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</si>
  <si>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</si>
  <si>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</si>
  <si>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</si>
  <si>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</si>
  <si>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</si>
  <si>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</si>
  <si>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</si>
  <si>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</si>
  <si>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</si>
  <si>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</si>
  <si>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</si>
  <si>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</si>
  <si>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</si>
  <si>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</si>
  <si>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</si>
  <si>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</si>
  <si>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</si>
  <si>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</si>
  <si>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</si>
  <si>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</si>
  <si>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</si>
  <si>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</si>
  <si>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</si>
  <si>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</si>
  <si>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</si>
  <si>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</si>
  <si>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</si>
  <si>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</si>
  <si>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</si>
  <si>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</si>
  <si>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</si>
  <si>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</si>
  <si>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</si>
  <si>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</si>
  <si>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</si>
  <si>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</si>
  <si>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</si>
  <si>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</si>
  <si>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</si>
  <si>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</si>
  <si>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</si>
  <si>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</si>
  <si>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</si>
  <si>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</si>
  <si>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</si>
  <si>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</si>
  <si>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</si>
  <si>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</si>
  <si>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</si>
  <si>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</si>
  <si>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</si>
  <si>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</si>
  <si>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</si>
  <si>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</si>
  <si>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</si>
  <si>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</si>
  <si>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</si>
  <si>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</si>
  <si>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</si>
  <si>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</si>
  <si>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</si>
  <si>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</si>
  <si>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</si>
  <si>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</si>
  <si>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</si>
  <si>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</si>
  <si>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</si>
  <si>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</si>
  <si>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</si>
  <si>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</si>
  <si>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</si>
  <si>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</si>
  <si>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</si>
  <si>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</si>
  <si>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</si>
  <si>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</si>
  <si>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</si>
  <si>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</si>
  <si>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</si>
  <si>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</si>
  <si>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</si>
  <si>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</si>
  <si>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</si>
  <si>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</si>
  <si>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</si>
  <si>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</si>
  <si>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</si>
  <si>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</si>
  <si>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</si>
  <si>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</si>
  <si>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</si>
  <si>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</si>
  <si>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</si>
  <si>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</si>
  <si>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</si>
  <si>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</si>
  <si>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</si>
  <si>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</si>
  <si>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</si>
  <si>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</si>
  <si>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</si>
  <si>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</si>
  <si>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</si>
  <si>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</si>
  <si>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</si>
  <si>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</si>
  <si>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</si>
  <si>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</si>
  <si>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</si>
  <si>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</si>
  <si>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</si>
  <si>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</si>
  <si>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</si>
  <si>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</si>
  <si>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</si>
  <si>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</si>
  <si>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</si>
  <si>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</si>
  <si>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</si>
  <si>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</si>
  <si>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</si>
  <si>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</si>
  <si>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</si>
  <si>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</si>
  <si>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</si>
  <si>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</si>
  <si>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</si>
  <si>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</si>
  <si>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</si>
  <si>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</si>
  <si>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</si>
  <si>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</si>
  <si>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</si>
  <si>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</si>
  <si>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</si>
  <si>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</si>
  <si>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</si>
  <si>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</si>
  <si>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</si>
  <si>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</si>
  <si>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</si>
  <si>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</si>
  <si>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</si>
  <si>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</si>
  <si>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</si>
  <si>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</si>
  <si>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</si>
  <si>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</si>
  <si>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</si>
  <si>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</si>
  <si>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</si>
  <si>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</si>
  <si>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</si>
  <si>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</si>
  <si>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</si>
  <si>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</si>
  <si>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</si>
  <si>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</si>
  <si>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</si>
  <si>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</si>
  <si>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</si>
  <si>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</si>
  <si>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</si>
  <si>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</si>
  <si>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</si>
  <si>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</si>
  <si>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</si>
  <si>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</si>
  <si>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</si>
  <si>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</si>
  <si>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</si>
  <si>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</si>
  <si>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</si>
  <si>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</si>
  <si>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</si>
  <si>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</si>
  <si>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</si>
  <si>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</si>
  <si>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</si>
  <si>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</si>
  <si>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</si>
  <si>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</si>
  <si>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</si>
  <si>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</si>
  <si>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</si>
  <si>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</si>
  <si>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</si>
  <si>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</si>
  <si>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</si>
  <si>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</si>
  <si>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</si>
  <si>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</si>
  <si>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</si>
  <si>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</si>
  <si>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</si>
  <si>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</si>
  <si>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</si>
  <si>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</si>
  <si>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</si>
  <si>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</si>
  <si>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</si>
  <si>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</si>
  <si>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</si>
  <si>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</si>
  <si>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</si>
  <si>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</si>
  <si>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</si>
  <si>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</si>
  <si>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</si>
  <si>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</si>
  <si>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</si>
  <si>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</si>
  <si>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</si>
  <si>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</si>
  <si>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</si>
  <si>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</si>
  <si>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</si>
  <si>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</si>
  <si>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</si>
  <si>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</si>
  <si>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</si>
  <si>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</si>
  <si>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</si>
  <si>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</si>
  <si>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</si>
  <si>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</si>
  <si>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</si>
  <si>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</si>
  <si>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</si>
  <si>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</si>
  <si>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</si>
  <si>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</si>
  <si>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</si>
  <si>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</si>
  <si>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</si>
  <si>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</si>
  <si>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</si>
  <si>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</si>
  <si>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</si>
  <si>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</si>
  <si>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</si>
  <si>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</si>
  <si>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</si>
  <si>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</si>
  <si>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</si>
  <si>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</si>
  <si>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</si>
  <si>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</si>
  <si>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</si>
  <si>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</si>
  <si>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</si>
  <si>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</si>
  <si>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</si>
  <si>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</si>
  <si>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</si>
  <si>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</si>
  <si>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</si>
  <si>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</si>
  <si>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</si>
  <si>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</si>
  <si>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</si>
  <si>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</si>
  <si>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</si>
  <si>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</si>
  <si>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</si>
  <si>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</si>
  <si>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</si>
  <si>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</si>
  <si>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</si>
  <si>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</si>
  <si>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</si>
  <si>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</si>
  <si>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</si>
  <si>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</si>
  <si>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</si>
  <si>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</si>
  <si>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</si>
  <si>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</si>
  <si>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</si>
  <si>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</si>
  <si>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</si>
  <si>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</si>
  <si>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</si>
  <si>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</si>
  <si>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</si>
  <si>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</si>
  <si>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</si>
  <si>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</si>
  <si>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</si>
  <si>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</si>
  <si>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</si>
  <si>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</si>
  <si>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</si>
  <si>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</si>
  <si>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</si>
  <si>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</si>
  <si>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</si>
  <si>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</si>
  <si>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</si>
  <si>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</si>
  <si>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</si>
  <si>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</si>
  <si>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</si>
  <si>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</si>
  <si>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</si>
  <si>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</si>
  <si>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</si>
  <si>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</si>
  <si>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</si>
  <si>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</si>
  <si>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</si>
  <si>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</si>
  <si>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</si>
  <si>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</si>
  <si>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</si>
  <si>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</si>
  <si>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</si>
  <si>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</si>
  <si>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</si>
  <si>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</si>
  <si>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</si>
  <si>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</si>
  <si>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</si>
  <si>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</si>
  <si>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</si>
  <si>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</si>
  <si>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</si>
  <si>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</si>
  <si>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</si>
  <si>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</si>
  <si>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</si>
  <si>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</si>
  <si>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</si>
  <si>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</si>
  <si>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</si>
  <si>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</si>
  <si>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</si>
  <si>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</si>
  <si>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</si>
  <si>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</si>
  <si>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</si>
  <si>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</si>
  <si>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</si>
  <si>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</si>
  <si>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</si>
  <si>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</si>
  <si>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</si>
  <si>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</si>
  <si>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</si>
  <si>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</si>
  <si>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</si>
  <si>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</si>
  <si>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</si>
  <si>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</si>
  <si>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</si>
  <si>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</si>
  <si>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</si>
  <si>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</si>
  <si>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</si>
  <si>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</si>
  <si>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</si>
  <si>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</si>
  <si>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</si>
  <si>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</si>
  <si>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</si>
  <si>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</si>
  <si>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</si>
  <si>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</si>
  <si>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</si>
  <si>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</si>
  <si>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</si>
  <si>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</si>
  <si>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</si>
  <si>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</si>
  <si>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</si>
  <si>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</si>
  <si>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</si>
  <si>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</si>
  <si>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</si>
  <si>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</si>
  <si>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</si>
  <si>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</si>
  <si>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</si>
  <si>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</si>
  <si>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</si>
  <si>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</si>
  <si>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</si>
  <si>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</si>
  <si>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</si>
  <si>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</si>
  <si>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</si>
  <si>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</si>
  <si>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</si>
  <si>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</si>
  <si>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</si>
  <si>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</si>
  <si>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</si>
  <si>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</si>
  <si>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</si>
  <si>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</si>
  <si>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</si>
  <si>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</si>
  <si>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</si>
  <si>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</si>
  <si>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</si>
  <si>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</si>
  <si>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</si>
  <si>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</si>
  <si>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</si>
  <si>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</si>
  <si>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</si>
  <si>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</si>
  <si>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</si>
  <si>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</si>
  <si>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</si>
  <si>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</si>
  <si>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</si>
  <si>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</si>
  <si>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</si>
  <si>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</si>
  <si>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</si>
  <si>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</si>
  <si>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</si>
  <si>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</si>
  <si>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</si>
  <si>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</si>
  <si>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</si>
  <si>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</si>
  <si>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</si>
  <si>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</si>
  <si>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</si>
  <si>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</si>
  <si>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</si>
  <si>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</si>
  <si>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</si>
  <si>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</si>
  <si>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</si>
  <si>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</si>
  <si>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</si>
  <si>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</si>
  <si>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</si>
  <si>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</si>
  <si>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</si>
  <si>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</si>
  <si>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</si>
  <si>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</si>
  <si>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</si>
  <si>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</si>
  <si>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</si>
  <si>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</si>
  <si>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</si>
  <si>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</si>
  <si>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</si>
  <si>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</si>
  <si>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</si>
  <si>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</si>
  <si>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</si>
  <si>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</si>
  <si>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</si>
  <si>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</si>
  <si>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</si>
  <si>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</si>
  <si>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</si>
  <si>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</si>
  <si>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</si>
  <si>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</si>
  <si>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</si>
  <si>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</si>
  <si>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</si>
  <si>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</si>
  <si>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</si>
  <si>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</si>
  <si>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</si>
  <si>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</si>
  <si>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</si>
  <si>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</si>
  <si>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</si>
  <si>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</si>
  <si>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</si>
  <si>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</si>
  <si>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</si>
  <si>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</si>
  <si>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</si>
  <si>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</si>
  <si>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</si>
  <si>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</si>
  <si>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</si>
  <si>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</si>
  <si>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</si>
  <si>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</si>
  <si>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</si>
  <si>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</si>
  <si>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</si>
  <si>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</si>
  <si>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</si>
  <si>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</si>
  <si>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</si>
  <si>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</si>
  <si>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</si>
  <si>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</si>
  <si>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</si>
  <si>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</si>
  <si>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</si>
  <si>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</si>
  <si>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</si>
  <si>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</si>
  <si>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</si>
  <si>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</si>
  <si>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</si>
  <si>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</si>
  <si>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</si>
  <si>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</si>
  <si>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</si>
  <si>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</si>
  <si>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</si>
  <si>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</si>
  <si>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</si>
  <si>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</si>
  <si>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</si>
  <si>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</si>
  <si>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</si>
  <si>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</si>
  <si>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</si>
  <si>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</si>
  <si>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</si>
  <si>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</si>
  <si>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</si>
  <si>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</si>
  <si>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</si>
  <si>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</si>
  <si>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</si>
  <si>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</si>
  <si>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</si>
  <si>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</si>
  <si>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</si>
  <si>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</si>
  <si>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</si>
  <si>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</si>
  <si>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</si>
  <si>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</si>
  <si>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</si>
  <si>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</si>
  <si>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</si>
  <si>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</si>
  <si>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</si>
  <si>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</si>
  <si>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</si>
  <si>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</si>
  <si>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</si>
  <si>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</si>
  <si>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</si>
  <si>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</si>
  <si>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</si>
  <si>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</si>
  <si>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</si>
  <si>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</si>
  <si>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</si>
  <si>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</si>
  <si>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</si>
  <si>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</si>
  <si>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</si>
  <si>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</si>
  <si>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</si>
  <si>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</si>
  <si>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</si>
  <si>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</si>
  <si>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</si>
  <si>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</si>
  <si>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</si>
  <si>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</si>
  <si>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</si>
  <si>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</si>
  <si>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</si>
  <si>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</si>
  <si>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</si>
  <si>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</si>
  <si>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</si>
  <si>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</si>
  <si>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</si>
  <si>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</si>
  <si>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</si>
  <si>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</si>
  <si>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</si>
  <si>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</si>
  <si>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</si>
  <si>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</si>
  <si>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</si>
  <si>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</si>
  <si>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</si>
  <si>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</si>
  <si>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</si>
  <si>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</si>
  <si>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</si>
  <si>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</si>
  <si>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</si>
  <si>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</si>
  <si>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</si>
  <si>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</si>
  <si>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</si>
  <si>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</si>
  <si>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</si>
  <si>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</si>
  <si>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</si>
  <si>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</si>
  <si>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</si>
  <si>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</si>
  <si>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</si>
  <si>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</si>
  <si>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</si>
  <si>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</si>
  <si>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</si>
  <si>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</si>
  <si>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</si>
  <si>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</si>
  <si>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</si>
  <si>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</si>
  <si>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</si>
  <si>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</si>
  <si>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</si>
  <si>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</si>
  <si>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</si>
  <si>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</si>
  <si>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</si>
  <si>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</si>
  <si>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</si>
  <si>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</si>
  <si>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</si>
  <si>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</si>
  <si>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</si>
  <si>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</si>
  <si>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</si>
  <si>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</si>
  <si>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</si>
  <si>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</si>
  <si>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</si>
  <si>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</si>
  <si>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</si>
  <si>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</si>
  <si>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</si>
  <si>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</si>
  <si>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</si>
  <si>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</si>
  <si>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</si>
  <si>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</si>
  <si>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</si>
  <si>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</si>
  <si>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</si>
  <si>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</si>
  <si>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</si>
  <si>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</si>
  <si>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</si>
  <si>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</si>
  <si>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</si>
  <si>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</si>
  <si>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</si>
  <si>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</si>
  <si>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</si>
  <si>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</si>
  <si>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</si>
  <si>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</si>
  <si>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</si>
  <si>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</si>
  <si>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</si>
  <si>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</si>
  <si>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</si>
  <si>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</si>
  <si>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</si>
  <si>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</si>
  <si>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</si>
  <si>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</si>
  <si>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</si>
  <si>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</si>
  <si>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</si>
  <si>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</si>
  <si>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</si>
  <si>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</si>
  <si>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</si>
  <si>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</si>
  <si>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</si>
  <si>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</si>
  <si>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</si>
  <si>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</si>
  <si>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</si>
  <si>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</si>
  <si>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</si>
  <si>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</si>
  <si>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</si>
  <si>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</si>
  <si>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</si>
  <si>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</si>
  <si>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</si>
  <si>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</si>
  <si>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</si>
  <si>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</si>
  <si>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</si>
  <si>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</si>
  <si>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</si>
  <si>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</si>
  <si>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</si>
  <si>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</si>
  <si>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</si>
  <si>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</si>
  <si>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</si>
  <si>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</si>
  <si>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</si>
  <si>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</si>
  <si>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</si>
  <si>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</si>
  <si>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</si>
  <si>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</si>
  <si>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</si>
  <si>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</si>
  <si>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</si>
  <si>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</si>
  <si>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</si>
  <si>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</si>
  <si>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</si>
  <si>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</si>
  <si>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</si>
  <si>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</si>
  <si>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</si>
  <si>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</si>
  <si>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</si>
  <si>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</si>
  <si>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</si>
  <si>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</si>
  <si>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</si>
  <si>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</si>
  <si>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</si>
  <si>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</si>
  <si>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</si>
  <si>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</si>
  <si>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</si>
  <si>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</si>
  <si>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</si>
  <si>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</si>
  <si>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</si>
  <si>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</si>
  <si>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</si>
  <si>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</si>
  <si>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</si>
  <si>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</si>
  <si>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</si>
  <si>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</si>
  <si>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</si>
  <si>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</si>
  <si>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</si>
  <si>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</si>
  <si>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</si>
  <si>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</si>
  <si>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</si>
  <si>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</si>
  <si>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</si>
  <si>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</si>
  <si>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</si>
  <si>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</si>
  <si>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</si>
  <si>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</si>
  <si>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</si>
  <si>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</si>
  <si>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</si>
  <si>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</si>
  <si>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</si>
  <si>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</si>
  <si>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</si>
  <si>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</si>
  <si>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</si>
  <si>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</si>
  <si>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</si>
  <si>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</si>
  <si>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</si>
  <si>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</si>
  <si>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</si>
  <si>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</si>
  <si>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</si>
  <si>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</si>
  <si>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</si>
  <si>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</si>
  <si>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</si>
  <si>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</si>
  <si>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</si>
  <si>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</si>
  <si>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</si>
  <si>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</si>
  <si>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</si>
  <si>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</si>
  <si>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</si>
  <si>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</si>
  <si>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</si>
  <si>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</si>
  <si>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</si>
  <si>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</si>
  <si>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</si>
  <si>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</si>
  <si>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</si>
  <si>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</si>
  <si>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</si>
  <si>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</si>
  <si>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</si>
  <si>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</si>
  <si>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</si>
  <si>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</si>
  <si>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</si>
  <si>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</si>
  <si>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</si>
  <si>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</si>
  <si>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</si>
  <si>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</si>
  <si>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</si>
  <si>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</si>
  <si>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</si>
  <si>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</si>
  <si>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</si>
  <si>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</si>
  <si>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</si>
  <si>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</si>
  <si>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</si>
  <si>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</si>
  <si>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</si>
  <si>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</si>
  <si>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</si>
  <si>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</si>
  <si>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</si>
  <si>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</si>
  <si>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</si>
  <si>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</si>
  <si>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</si>
  <si>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</si>
  <si>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</si>
  <si>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</si>
  <si>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</si>
  <si>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</si>
  <si>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</si>
  <si>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</si>
  <si>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</si>
  <si>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</si>
  <si>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</si>
  <si>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</si>
  <si>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</si>
  <si>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</si>
  <si>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</si>
  <si>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</si>
  <si>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</si>
  <si>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</si>
  <si>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</si>
  <si>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</si>
  <si>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</si>
  <si>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</si>
  <si>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</si>
  <si>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</si>
  <si>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</si>
  <si>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</si>
  <si>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</si>
  <si>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</si>
  <si>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</si>
  <si>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</si>
  <si>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</si>
  <si>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</si>
  <si>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</si>
  <si>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</si>
  <si>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</si>
  <si>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</si>
  <si>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</si>
  <si>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</si>
  <si>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</si>
  <si>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</si>
  <si>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</si>
  <si>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</si>
  <si>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</si>
  <si>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</si>
  <si>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</si>
  <si>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</si>
  <si>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</si>
  <si>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</si>
  <si>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</si>
  <si>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</si>
  <si>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</si>
  <si>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</si>
  <si>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</si>
  <si>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</si>
  <si>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</si>
  <si>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</si>
  <si>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</si>
  <si>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</si>
  <si>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</si>
  <si>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</si>
  <si>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</si>
  <si>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</si>
  <si>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</si>
  <si>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</si>
  <si>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</si>
  <si>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</si>
  <si>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</si>
  <si>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</si>
  <si>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</si>
  <si>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</si>
  <si>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</si>
  <si>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</si>
  <si>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</si>
  <si>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</si>
  <si>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</si>
  <si>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</si>
  <si>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</si>
  <si>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</si>
  <si>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</si>
  <si>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</si>
  <si>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</si>
  <si>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</si>
  <si>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</si>
  <si>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</si>
  <si>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</si>
  <si>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</si>
  <si>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</si>
  <si>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</si>
  <si>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</si>
  <si>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</si>
  <si>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</si>
  <si>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</si>
  <si>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</si>
  <si>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</si>
  <si>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</si>
  <si>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</si>
  <si>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</si>
  <si>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</si>
  <si>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</si>
  <si>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</si>
  <si>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</si>
  <si>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</si>
  <si>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</si>
  <si>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</si>
  <si>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</si>
  <si>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</si>
  <si>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</si>
  <si>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</si>
  <si>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</si>
  <si>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</si>
  <si>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</si>
  <si>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</si>
  <si>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</si>
  <si>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</si>
  <si>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</si>
  <si>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</si>
  <si>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</si>
  <si>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</si>
  <si>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</si>
  <si>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</si>
  <si>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</si>
  <si>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</si>
  <si>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</si>
  <si>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</si>
  <si>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</si>
  <si>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</si>
  <si>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</si>
  <si>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</si>
  <si>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</si>
  <si>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</si>
  <si>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</si>
  <si>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</si>
  <si>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</si>
  <si>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</si>
  <si>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</si>
  <si>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</si>
  <si>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</si>
  <si>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</si>
  <si>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</si>
  <si>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</si>
  <si>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</si>
  <si>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</si>
  <si>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</si>
  <si>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</si>
  <si>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</si>
  <si>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</si>
  <si>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</si>
  <si>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</si>
  <si>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</si>
  <si>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</si>
  <si>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</si>
  <si>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</si>
  <si>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</si>
  <si>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</si>
  <si>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</si>
  <si>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</si>
  <si>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</si>
  <si>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</si>
  <si>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</si>
  <si>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</si>
  <si>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</si>
  <si>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</si>
  <si>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</si>
  <si>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</si>
  <si>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</si>
  <si>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</si>
  <si>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</si>
  <si>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</si>
  <si>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</si>
  <si>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</si>
  <si>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</si>
  <si>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</si>
  <si>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</si>
  <si>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</si>
  <si>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</si>
  <si>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</si>
  <si>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</si>
  <si>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</si>
  <si>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</si>
  <si>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</si>
  <si>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</si>
  <si>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</si>
  <si>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</si>
  <si>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</si>
  <si>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</si>
  <si>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</si>
  <si>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</si>
  <si>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</si>
  <si>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</si>
  <si>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</si>
  <si>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</si>
  <si>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</si>
  <si>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</si>
  <si>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</si>
  <si>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</si>
  <si>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</si>
  <si>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</si>
  <si>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</si>
  <si>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</si>
  <si>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</si>
  <si>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</si>
  <si>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</si>
  <si>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</si>
  <si>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</si>
  <si>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</si>
  <si>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</si>
  <si>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</si>
  <si>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</si>
  <si>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</si>
  <si>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</si>
  <si>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</si>
  <si>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</si>
  <si>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</si>
  <si>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</si>
  <si>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</si>
  <si>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</si>
  <si>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</si>
  <si>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</si>
  <si>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</si>
  <si>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</si>
  <si>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</si>
  <si>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</si>
  <si>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</si>
  <si>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</si>
  <si>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</si>
  <si>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</si>
  <si>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</si>
  <si>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</si>
  <si>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</si>
  <si>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</si>
  <si>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</si>
  <si>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</si>
  <si>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</si>
  <si>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</si>
  <si>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</si>
  <si>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</si>
  <si>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</si>
  <si>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</si>
  <si>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</si>
  <si>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</si>
  <si>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</si>
  <si>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</si>
  <si>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</si>
  <si>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</si>
  <si>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</si>
  <si>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</si>
  <si>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</si>
  <si>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</si>
  <si>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</si>
  <si>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</si>
  <si>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</si>
  <si>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</si>
  <si>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</si>
  <si>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</si>
  <si>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</si>
  <si>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</si>
  <si>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</si>
  <si>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</si>
  <si>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</si>
  <si>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</si>
  <si>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</si>
  <si>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</si>
  <si>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</si>
  <si>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</si>
  <si>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</si>
  <si>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</si>
  <si>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</si>
  <si>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</si>
  <si>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</si>
  <si>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</si>
  <si>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</si>
  <si>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</si>
  <si>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</si>
  <si>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</si>
  <si>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</si>
  <si>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</si>
  <si>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</si>
  <si>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</si>
  <si>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</si>
  <si>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</si>
  <si>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</si>
  <si>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</si>
  <si>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</si>
  <si>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</si>
  <si>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</si>
  <si>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</si>
  <si>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</si>
  <si>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</si>
  <si>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</si>
  <si>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</si>
  <si>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</si>
  <si>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</si>
  <si>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</si>
  <si>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</si>
  <si>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</si>
  <si>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</si>
  <si>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</si>
  <si>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</si>
  <si>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</si>
  <si>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</si>
  <si>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</si>
  <si>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</si>
  <si>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</si>
  <si>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</si>
  <si>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</si>
  <si>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</si>
  <si>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</si>
  <si>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</si>
  <si>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</si>
  <si>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</si>
  <si>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</si>
  <si>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</si>
  <si>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</si>
  <si>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</si>
  <si>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</si>
  <si>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</si>
  <si>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</si>
  <si>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</si>
  <si>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</si>
  <si>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</si>
  <si>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</si>
  <si>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</si>
  <si>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</si>
  <si>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</si>
  <si>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</si>
  <si>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</si>
  <si>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</si>
  <si>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</si>
  <si>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</si>
  <si>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</si>
  <si>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</si>
  <si>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</si>
  <si>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</si>
  <si>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</si>
  <si>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</si>
  <si>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</si>
  <si>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</si>
  <si>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</si>
  <si>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</si>
  <si>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</si>
  <si>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</si>
  <si>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</si>
  <si>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</si>
  <si>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</si>
  <si>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</si>
  <si>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</si>
  <si>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</si>
  <si>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</si>
  <si>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</si>
  <si>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</si>
  <si>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</si>
  <si>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</si>
  <si>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</si>
  <si>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</si>
  <si>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</si>
  <si>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</si>
  <si>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</si>
  <si>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</si>
  <si>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</si>
  <si>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</si>
  <si>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</si>
  <si>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</si>
  <si>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</si>
  <si>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</si>
  <si>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</si>
  <si>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</si>
  <si>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</si>
  <si>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</si>
  <si>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</si>
  <si>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</si>
  <si>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</si>
  <si>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</si>
  <si>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</si>
  <si>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</si>
  <si>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</si>
  <si>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</si>
  <si>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</si>
  <si>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</si>
  <si>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</si>
  <si>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</si>
  <si>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</si>
  <si>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</si>
  <si>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</si>
  <si>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</si>
  <si>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</si>
  <si>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</si>
  <si>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</si>
  <si>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</si>
  <si>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</si>
  <si>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</si>
  <si>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</si>
  <si>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</si>
  <si>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</si>
  <si>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</si>
  <si>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</si>
  <si>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</si>
  <si>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</si>
  <si>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</si>
  <si>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</si>
  <si>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</si>
  <si>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</si>
  <si>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</si>
  <si>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</si>
  <si>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</si>
  <si>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</si>
  <si>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</si>
  <si>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</si>
  <si>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</si>
  <si>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</si>
  <si>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</si>
  <si>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</si>
  <si>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</si>
  <si>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</si>
  <si>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</si>
  <si>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</si>
  <si>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</si>
  <si>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</si>
  <si>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</si>
  <si>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</si>
  <si>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</si>
  <si>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</si>
  <si>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</si>
  <si>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</si>
  <si>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</si>
  <si>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</si>
  <si>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</si>
  <si>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</si>
  <si>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</si>
  <si>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</si>
  <si>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</si>
  <si>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</si>
  <si>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</si>
  <si>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</si>
  <si>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</si>
  <si>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</si>
  <si>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</si>
  <si>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</si>
  <si>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</si>
  <si>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</si>
  <si>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</si>
  <si>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</si>
  <si>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</si>
  <si>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</si>
  <si>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</si>
  <si>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</si>
  <si>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</si>
  <si>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</si>
  <si>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</si>
  <si>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</si>
  <si>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</si>
  <si>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</si>
  <si>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</si>
  <si>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</si>
  <si>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</si>
  <si>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</si>
  <si>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</si>
  <si>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</si>
  <si>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</si>
  <si>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</si>
  <si>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</si>
  <si>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</si>
  <si>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</si>
  <si>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</si>
  <si>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</si>
  <si>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</si>
  <si>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</si>
  <si>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</si>
  <si>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</si>
  <si>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</si>
  <si>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</si>
  <si>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</si>
  <si>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</si>
  <si>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</si>
  <si>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</si>
  <si>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</si>
  <si>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</si>
  <si>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</si>
  <si>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</si>
  <si>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</si>
  <si>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</si>
  <si>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</si>
  <si>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</si>
  <si>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</si>
  <si>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</si>
  <si>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</si>
  <si>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</si>
  <si>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</si>
  <si>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</si>
  <si>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</si>
  <si>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</si>
  <si>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</si>
  <si>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</si>
  <si>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</si>
  <si>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</si>
  <si>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</si>
  <si>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</si>
  <si>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</si>
  <si>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</si>
  <si>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</si>
  <si>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</si>
  <si>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</si>
  <si>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</si>
  <si>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</si>
  <si>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</si>
  <si>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</si>
  <si>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</si>
  <si>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</si>
  <si>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</si>
  <si>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</si>
  <si>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</si>
  <si>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</si>
  <si>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</si>
  <si>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</si>
  <si>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</si>
  <si>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</si>
  <si>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</si>
  <si>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</si>
  <si>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</si>
  <si>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</si>
  <si>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</si>
  <si>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</si>
  <si>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</si>
  <si>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</si>
  <si>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</si>
  <si>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</si>
  <si>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</si>
  <si>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</si>
  <si>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</si>
  <si>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</si>
  <si>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</si>
  <si>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</si>
  <si>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</si>
  <si>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</si>
  <si>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</si>
  <si>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</si>
  <si>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</si>
  <si>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</si>
  <si>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</si>
  <si>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</si>
  <si>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</si>
  <si>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</si>
  <si>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</si>
  <si>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</si>
  <si>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</si>
  <si>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</si>
  <si>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</si>
  <si>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</si>
  <si>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</si>
  <si>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</si>
  <si>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</si>
  <si>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</si>
  <si>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</si>
  <si>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</si>
  <si>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</si>
  <si>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</si>
  <si>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</si>
  <si>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</si>
  <si>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</si>
  <si>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</si>
  <si>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</si>
  <si>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</si>
  <si>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</si>
  <si>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</si>
  <si>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</si>
  <si>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</si>
  <si>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</si>
  <si>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</si>
  <si>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</si>
  <si>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</si>
  <si>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</si>
  <si>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</si>
  <si>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</si>
  <si>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</si>
  <si>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</si>
  <si>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</si>
  <si>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</si>
  <si>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</si>
  <si>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</si>
  <si>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</si>
  <si>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</si>
  <si>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</si>
  <si>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</si>
  <si>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</si>
  <si>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</si>
  <si>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</si>
  <si>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</si>
  <si>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</si>
  <si>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</si>
  <si>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</si>
  <si>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</si>
  <si>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</si>
  <si>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</si>
  <si>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</si>
  <si>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</si>
  <si>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</si>
  <si>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</si>
  <si>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</si>
  <si>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</si>
  <si>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</si>
  <si>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</si>
  <si>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</si>
  <si>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</si>
  <si>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</si>
  <si>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</si>
  <si>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</si>
  <si>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</si>
  <si>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</si>
  <si>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</si>
  <si>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</si>
  <si>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</si>
  <si>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</si>
  <si>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</si>
  <si>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</si>
  <si>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</si>
  <si>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</si>
  <si>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</si>
  <si>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</si>
  <si>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</si>
  <si>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</si>
  <si>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</si>
  <si>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</si>
  <si>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</si>
  <si>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</si>
  <si>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</si>
  <si>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</si>
  <si>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</si>
  <si>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</si>
  <si>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</si>
  <si>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</si>
  <si>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</si>
  <si>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</si>
  <si>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</si>
  <si>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</si>
  <si>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</si>
  <si>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</si>
  <si>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</si>
  <si>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</si>
  <si>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</si>
  <si>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</si>
  <si>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</si>
  <si>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</si>
  <si>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</si>
  <si>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</si>
  <si>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</si>
  <si>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</si>
  <si>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</si>
  <si>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</si>
  <si>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</si>
  <si>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</si>
  <si>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</si>
  <si>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</si>
  <si>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</si>
  <si>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</si>
  <si>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</si>
  <si>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</si>
  <si>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</si>
  <si>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</si>
  <si>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</si>
  <si>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</si>
  <si>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</si>
  <si>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</si>
  <si>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</si>
  <si>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</si>
  <si>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</si>
  <si>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</si>
  <si>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</si>
  <si>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</si>
  <si>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</si>
  <si>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</si>
  <si>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</si>
  <si>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</si>
  <si>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</si>
  <si>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</si>
  <si>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</si>
  <si>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</si>
  <si>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</si>
  <si>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</si>
  <si>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</si>
  <si>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</si>
  <si>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</si>
  <si>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</si>
  <si>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</si>
  <si>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</si>
  <si>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</si>
  <si>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</si>
  <si>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</si>
  <si>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</si>
  <si>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</si>
  <si>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</si>
  <si>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</si>
  <si>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</si>
  <si>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</si>
  <si>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</si>
  <si>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</si>
  <si>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</si>
  <si>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</si>
  <si>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</si>
  <si>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</si>
  <si>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</si>
  <si>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</si>
  <si>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</si>
  <si>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</si>
  <si>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</si>
  <si>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</si>
  <si>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</si>
  <si>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</si>
  <si>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</si>
  <si>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</si>
  <si>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</si>
  <si>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</si>
  <si>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</si>
  <si>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</si>
  <si>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</si>
  <si>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</si>
  <si>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</si>
  <si>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</si>
  <si>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</si>
  <si>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</si>
  <si>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</si>
  <si>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</si>
  <si>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</si>
  <si>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</si>
  <si>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</si>
  <si>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</si>
  <si>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</si>
  <si>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</si>
  <si>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</si>
  <si>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</si>
  <si>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</si>
  <si>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</si>
  <si>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</si>
  <si>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</si>
  <si>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</si>
  <si>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</si>
  <si>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</si>
  <si>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</si>
  <si>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</si>
  <si>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</si>
  <si>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</si>
  <si>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</si>
  <si>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</si>
  <si>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</si>
  <si>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</si>
  <si>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</si>
  <si>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</si>
  <si>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</si>
  <si>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</si>
  <si>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</si>
  <si>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</si>
  <si>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</si>
  <si>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</si>
  <si>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</si>
  <si>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</si>
  <si>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</si>
  <si>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</si>
  <si>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</si>
  <si>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</si>
  <si>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</si>
  <si>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</si>
  <si>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</si>
  <si>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</si>
  <si>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</si>
  <si>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</si>
  <si>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</si>
  <si>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</si>
  <si>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</si>
  <si>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</si>
  <si>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</si>
  <si>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</si>
  <si>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</si>
  <si>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</si>
  <si>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</si>
  <si>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</si>
  <si>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</si>
  <si>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</si>
  <si>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</si>
  <si>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</si>
  <si>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</si>
  <si>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</si>
  <si>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</si>
  <si>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</si>
  <si>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</si>
  <si>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</si>
  <si>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</si>
  <si>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</si>
  <si>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</si>
  <si>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</si>
  <si>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</si>
  <si>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</si>
  <si>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</si>
  <si>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</si>
  <si>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</si>
  <si>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</si>
  <si>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</si>
  <si>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</si>
  <si>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</si>
  <si>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</si>
  <si>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</si>
  <si>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</si>
  <si>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</si>
  <si>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</si>
  <si>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</si>
  <si>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</si>
  <si>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</si>
  <si>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</si>
  <si>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</si>
  <si>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</si>
  <si>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</si>
  <si>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</si>
  <si>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</si>
  <si>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</si>
  <si>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</si>
  <si>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</si>
  <si>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</si>
  <si>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</si>
  <si>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</si>
  <si>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</si>
  <si>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</si>
  <si>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</si>
  <si>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</si>
  <si>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</si>
  <si>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</si>
  <si>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</si>
  <si>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</si>
  <si>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</si>
  <si>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</si>
  <si>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</si>
  <si>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</si>
  <si>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</si>
  <si>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</si>
  <si>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</si>
  <si>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</si>
  <si>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</si>
  <si>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</si>
  <si>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</si>
  <si>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</si>
  <si>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</si>
  <si>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</si>
  <si>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</si>
  <si>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</si>
  <si>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</si>
  <si>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</si>
  <si>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</si>
  <si>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</si>
  <si>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</si>
  <si>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</si>
  <si>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</si>
  <si>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</si>
  <si>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</si>
  <si>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</si>
  <si>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</si>
  <si>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</si>
  <si>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</si>
  <si>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</si>
  <si>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</si>
  <si>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</si>
  <si>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</si>
  <si>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</si>
  <si>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</si>
  <si>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</si>
  <si>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</si>
  <si>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</si>
  <si>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</si>
  <si>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</si>
  <si>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</si>
  <si>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</si>
  <si>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</si>
  <si>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</si>
  <si>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</si>
  <si>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</si>
  <si>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</si>
  <si>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</si>
  <si>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</si>
  <si>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</si>
  <si>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</si>
  <si>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</si>
  <si>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</si>
  <si>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</si>
  <si>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</si>
  <si>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</si>
  <si>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</si>
  <si>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</si>
  <si>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</si>
  <si>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</si>
  <si>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</si>
  <si>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</si>
  <si>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</si>
  <si>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</si>
  <si>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</si>
  <si>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</si>
  <si>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</si>
  <si>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</si>
  <si>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</si>
  <si>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</si>
  <si>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</si>
  <si>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</si>
  <si>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</si>
  <si>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</si>
  <si>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</si>
  <si>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</si>
  <si>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</si>
  <si>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</si>
  <si>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</si>
  <si>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</si>
  <si>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</si>
  <si>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</si>
  <si>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</si>
  <si>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</si>
  <si>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</si>
  <si>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</si>
  <si>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</si>
  <si>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</si>
  <si>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</si>
  <si>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</si>
  <si>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</si>
  <si>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</si>
  <si>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</si>
  <si>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</si>
  <si>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</si>
  <si>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</si>
  <si>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</si>
  <si>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</si>
  <si>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</si>
  <si>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</si>
  <si>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</si>
  <si>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</si>
  <si>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</si>
  <si>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</si>
  <si>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</si>
  <si>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</si>
  <si>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</si>
  <si>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</si>
  <si>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</si>
  <si>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</si>
  <si>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</si>
  <si>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</si>
  <si>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</si>
  <si>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</si>
  <si>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</si>
  <si>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</si>
  <si>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</si>
  <si>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</si>
  <si>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</si>
  <si>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</si>
  <si>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</si>
  <si>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</si>
  <si>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</si>
  <si>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</si>
  <si>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</si>
  <si>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</si>
  <si>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</si>
  <si>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</si>
  <si>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</si>
  <si>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</si>
  <si>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</si>
  <si>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</si>
  <si>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</si>
  <si>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</si>
  <si>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</si>
  <si>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</si>
  <si>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</si>
  <si>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</si>
  <si>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</si>
  <si>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</si>
  <si>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</si>
  <si>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</si>
  <si>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</si>
  <si>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</si>
  <si>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</si>
  <si>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</si>
  <si>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</si>
  <si>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</si>
  <si>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</si>
  <si>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</si>
  <si>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</si>
  <si>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</si>
  <si>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</si>
  <si>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</si>
  <si>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</si>
  <si>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</si>
  <si>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</si>
  <si>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</si>
  <si>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</si>
  <si>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</si>
  <si>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</si>
  <si>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</si>
  <si>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</si>
  <si>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</si>
  <si>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</si>
  <si>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</si>
  <si>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</si>
  <si>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</si>
  <si>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</si>
  <si>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</si>
  <si>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</si>
  <si>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</si>
  <si>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</si>
  <si>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</si>
  <si>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</si>
  <si>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</si>
  <si>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</si>
  <si>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</si>
  <si>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</si>
  <si>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</si>
  <si>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</si>
  <si>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</si>
  <si>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</si>
  <si>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</si>
  <si>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</si>
  <si>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</si>
  <si>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</si>
  <si>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</si>
  <si>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</si>
  <si>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</si>
  <si>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</si>
  <si>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</si>
  <si>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</si>
  <si>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</si>
  <si>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</si>
  <si>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</si>
  <si>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</si>
  <si>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</si>
  <si>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</si>
  <si>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</si>
  <si>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</si>
  <si>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</si>
  <si>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</si>
  <si>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</si>
  <si>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</si>
  <si>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</si>
  <si>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</si>
  <si>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</si>
  <si>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</si>
  <si>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</si>
  <si>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</si>
  <si>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</si>
  <si>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</si>
  <si>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</si>
  <si>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</si>
  <si>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</si>
  <si>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</si>
  <si>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</si>
  <si>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</si>
  <si>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</si>
  <si>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</si>
  <si>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</si>
  <si>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</si>
  <si>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</si>
  <si>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</si>
  <si>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</si>
  <si>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</si>
  <si>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</si>
  <si>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</si>
  <si>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</si>
  <si>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</si>
  <si>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</si>
  <si>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</si>
  <si>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</si>
  <si>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</si>
  <si>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</si>
  <si>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</si>
  <si>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</si>
  <si>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</si>
  <si>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</si>
  <si>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</si>
  <si>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</si>
  <si>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</si>
  <si>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</si>
  <si>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</si>
  <si>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</si>
  <si>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</si>
  <si>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</si>
  <si>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</si>
  <si>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</si>
  <si>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</si>
  <si>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</si>
  <si>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</si>
  <si>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</si>
  <si>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</si>
  <si>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</si>
  <si>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</si>
  <si>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</si>
  <si>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</si>
  <si>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</si>
  <si>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</si>
  <si>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</si>
  <si>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</si>
  <si>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</si>
  <si>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</si>
  <si>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</si>
  <si>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</si>
  <si>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</si>
  <si>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</si>
  <si>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</si>
  <si>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</si>
  <si>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</si>
  <si>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</si>
  <si>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</si>
  <si>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</si>
  <si>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</si>
  <si>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</si>
  <si>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</si>
  <si>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</si>
  <si>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</si>
  <si>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</si>
  <si>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</si>
  <si>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</si>
  <si>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</si>
  <si>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</si>
  <si>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</si>
  <si>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</si>
  <si>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</si>
  <si>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</si>
  <si>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</si>
  <si>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</si>
  <si>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</si>
  <si>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</si>
  <si>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</si>
  <si>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</si>
  <si>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</si>
  <si>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</si>
  <si>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</si>
  <si>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</si>
  <si>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</si>
  <si>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</si>
  <si>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</si>
  <si>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</si>
  <si>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</si>
  <si>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</si>
  <si>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</si>
  <si>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</si>
  <si>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</si>
  <si>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</si>
  <si>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</si>
  <si>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</si>
  <si>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</si>
  <si>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</si>
  <si>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</si>
  <si>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</si>
  <si>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</si>
  <si>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</si>
  <si>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</si>
  <si>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</si>
  <si>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</si>
  <si>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</si>
  <si>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</si>
  <si>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</si>
  <si>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</si>
  <si>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</si>
  <si>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</si>
  <si>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</si>
  <si>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</si>
  <si>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</si>
  <si>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</si>
  <si>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</si>
  <si>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</si>
  <si>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</si>
  <si>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</si>
  <si>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</si>
  <si>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</si>
  <si>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</si>
  <si>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</si>
  <si>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</si>
  <si>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</si>
  <si>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</si>
  <si>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</si>
  <si>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</si>
  <si>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</si>
  <si>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</si>
  <si>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</si>
  <si>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</si>
  <si>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</si>
  <si>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</si>
  <si>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</si>
  <si>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</si>
  <si>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</si>
  <si>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</si>
  <si>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</si>
  <si>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</si>
  <si>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</si>
  <si>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</si>
  <si>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</si>
  <si>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</si>
  <si>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</si>
  <si>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</si>
  <si>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</si>
  <si>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</si>
  <si>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</si>
  <si>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</si>
  <si>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</si>
  <si>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</si>
  <si>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</si>
  <si>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</si>
  <si>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</si>
  <si>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</si>
  <si>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</si>
  <si>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</si>
  <si>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</si>
  <si>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</si>
  <si>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</si>
  <si>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</si>
  <si>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</si>
  <si>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</si>
  <si>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</si>
  <si>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</si>
  <si>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</si>
  <si>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</si>
  <si>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</si>
  <si>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</si>
  <si>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</si>
  <si>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</si>
  <si>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</si>
  <si>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</si>
  <si>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</si>
  <si>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</si>
  <si>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</si>
  <si>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</si>
  <si>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</si>
  <si>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</si>
  <si>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</si>
  <si>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</si>
  <si>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</si>
  <si>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</si>
  <si>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</si>
  <si>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</si>
  <si>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</si>
  <si>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</si>
  <si>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</si>
  <si>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</si>
  <si>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</si>
  <si>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</si>
  <si>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</si>
  <si>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</si>
  <si>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</si>
  <si>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</si>
  <si>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</si>
  <si>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</si>
  <si>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</si>
  <si>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</si>
  <si>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</si>
  <si>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</si>
  <si>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</si>
  <si>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</si>
  <si>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</si>
  <si>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</si>
  <si>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</si>
  <si>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</si>
  <si>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</si>
  <si>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</si>
  <si>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</si>
  <si>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</si>
  <si>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</si>
  <si>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</si>
  <si>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</si>
  <si>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</si>
  <si>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</si>
  <si>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</si>
  <si>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</si>
  <si>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</si>
  <si>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</si>
  <si>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</si>
  <si>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</si>
  <si>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</si>
  <si>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</si>
  <si>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</si>
  <si>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</si>
  <si>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</si>
  <si>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</si>
  <si>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</si>
  <si>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</si>
  <si>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</si>
  <si>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</si>
  <si>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</si>
  <si>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</si>
  <si>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</si>
  <si>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</si>
  <si>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</si>
  <si>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</si>
  <si>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</si>
  <si>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</si>
  <si>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</si>
  <si>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</si>
  <si>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</si>
  <si>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</si>
  <si>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</si>
  <si>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</si>
  <si>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</si>
  <si>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</si>
  <si>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</si>
  <si>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</si>
  <si>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</si>
  <si>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</si>
  <si>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</si>
  <si>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</si>
  <si>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</si>
  <si>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</si>
  <si>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</si>
  <si>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</si>
  <si>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</si>
  <si>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</si>
  <si>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</si>
  <si>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</si>
  <si>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</si>
  <si>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</si>
  <si>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</si>
  <si>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</si>
  <si>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</si>
  <si>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</si>
  <si>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</si>
  <si>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</si>
  <si>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</si>
  <si>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</si>
  <si>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</si>
  <si>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</si>
  <si>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</si>
  <si>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</si>
  <si>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</si>
  <si>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</si>
  <si>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</si>
  <si>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</si>
  <si>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</si>
  <si>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</si>
  <si>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</si>
  <si>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</si>
  <si>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</si>
  <si>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</si>
  <si>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</si>
  <si>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</si>
  <si>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</si>
  <si>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</si>
  <si>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</si>
  <si>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</si>
  <si>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</si>
  <si>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</si>
  <si>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</si>
  <si>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</si>
  <si>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</si>
  <si>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</si>
  <si>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</si>
  <si>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</si>
  <si>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</si>
  <si>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</si>
  <si>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</si>
  <si>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</si>
  <si>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</si>
  <si>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</si>
  <si>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</si>
  <si>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</si>
  <si>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</si>
  <si>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</si>
  <si>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</si>
  <si>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</si>
  <si>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</si>
  <si>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</si>
  <si>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</si>
  <si>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</si>
  <si>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</si>
  <si>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</si>
  <si>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</si>
  <si>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</si>
  <si>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</si>
  <si>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</si>
  <si>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</si>
  <si>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</si>
  <si>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</si>
  <si>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</si>
  <si>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</si>
  <si>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</si>
  <si>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</si>
  <si>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</si>
  <si>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</si>
  <si>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</si>
  <si>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</si>
  <si>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</si>
  <si>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</si>
  <si>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</si>
  <si>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</si>
  <si>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</si>
  <si>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</si>
  <si>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</si>
  <si>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</si>
  <si>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</si>
  <si>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</si>
  <si>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</si>
  <si>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</si>
  <si>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</si>
  <si>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</si>
  <si>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</si>
  <si>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</si>
  <si>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</si>
  <si>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</si>
  <si>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</si>
  <si>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</si>
  <si>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</si>
  <si>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</si>
  <si>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</si>
  <si>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</si>
  <si>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</si>
  <si>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</si>
  <si>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</si>
  <si>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</si>
  <si>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</si>
  <si>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</si>
  <si>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</si>
  <si>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</si>
  <si>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</si>
  <si>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</si>
  <si>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</si>
  <si>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</si>
  <si>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</si>
  <si>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</si>
  <si>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</si>
  <si>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</si>
  <si>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</si>
  <si>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</si>
  <si>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</si>
  <si>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</si>
  <si>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</si>
  <si>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</si>
  <si>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</si>
  <si>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</si>
  <si>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</si>
  <si>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</si>
  <si>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</si>
  <si>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</si>
  <si>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</si>
  <si>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</si>
  <si>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</si>
  <si>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</si>
  <si>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</si>
  <si>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</si>
  <si>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</si>
  <si>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</si>
  <si>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</si>
  <si>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</si>
  <si>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</si>
  <si>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</si>
  <si>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</si>
  <si>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</si>
  <si>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</si>
  <si>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</si>
  <si>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</si>
  <si>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</si>
  <si>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</si>
  <si>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</si>
  <si>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</si>
  <si>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</si>
  <si>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</si>
  <si>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</si>
  <si>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</si>
  <si>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</si>
  <si>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</si>
  <si>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</si>
  <si>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</si>
  <si>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</si>
  <si>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</si>
  <si>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</si>
  <si>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</si>
  <si>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</si>
  <si>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</si>
  <si>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</si>
  <si>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</si>
  <si>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</si>
  <si>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</si>
  <si>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</si>
  <si>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</si>
  <si>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</si>
  <si>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</si>
  <si>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</si>
  <si>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</si>
  <si>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</si>
  <si>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</si>
  <si>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</si>
  <si>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</si>
  <si>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</si>
  <si>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</si>
  <si>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</si>
  <si>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</si>
  <si>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</si>
  <si>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</si>
  <si>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</si>
  <si>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</si>
  <si>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</si>
  <si>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</si>
  <si>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</si>
  <si>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</si>
  <si>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</si>
  <si>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</si>
  <si>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</si>
  <si>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</si>
  <si>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</si>
  <si>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</si>
  <si>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</si>
  <si>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</si>
  <si>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</si>
  <si>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</si>
  <si>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</si>
  <si>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</si>
  <si>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</si>
  <si>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</si>
  <si>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</si>
  <si>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</si>
  <si>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</si>
  <si>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</si>
  <si>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</si>
  <si>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</si>
  <si>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</si>
  <si>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</si>
  <si>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</si>
  <si>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</si>
  <si>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</si>
  <si>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</si>
  <si>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</si>
  <si>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</si>
  <si>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</si>
  <si>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</si>
  <si>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</si>
  <si>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</si>
  <si>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</si>
  <si>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</si>
  <si>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</si>
  <si>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</si>
  <si>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</si>
  <si>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</si>
  <si>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</si>
  <si>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</si>
  <si>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</si>
  <si>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</si>
  <si>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</si>
  <si>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</si>
  <si>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</si>
  <si>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</si>
  <si>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</si>
  <si>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</si>
  <si>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</si>
  <si>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</si>
  <si>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</si>
  <si>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</si>
  <si>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</si>
  <si>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</si>
  <si>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</si>
  <si>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</si>
  <si>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</si>
  <si>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</si>
  <si>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</si>
  <si>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</si>
  <si>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</si>
  <si>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</si>
  <si>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</si>
  <si>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</si>
  <si>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</si>
  <si>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</si>
  <si>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</si>
  <si>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</si>
  <si>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</si>
  <si>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</si>
  <si>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</si>
  <si>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</si>
  <si>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</si>
  <si>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</si>
  <si>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</si>
  <si>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</si>
  <si>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</si>
  <si>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</si>
  <si>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</si>
  <si>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</si>
  <si>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</si>
  <si>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</si>
  <si>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</si>
  <si>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</si>
  <si>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</si>
  <si>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</si>
  <si>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</si>
  <si>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</si>
  <si>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</si>
  <si>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</si>
  <si>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</si>
  <si>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</si>
  <si>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</si>
  <si>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</si>
  <si>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</si>
  <si>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</si>
  <si>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</si>
  <si>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</si>
  <si>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</si>
  <si>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</si>
  <si>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</si>
  <si>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</si>
  <si>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</si>
  <si>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</si>
  <si>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</si>
  <si>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</si>
  <si>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</si>
  <si>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</si>
  <si>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</si>
  <si>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</si>
  <si>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</si>
  <si>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</si>
  <si>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</si>
  <si>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</si>
  <si>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</si>
  <si>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</si>
  <si>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</si>
  <si>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</si>
  <si>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</si>
  <si>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</si>
  <si>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</si>
  <si>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</si>
  <si>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</si>
  <si>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</si>
  <si>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</si>
  <si>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</si>
  <si>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</si>
  <si>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</si>
  <si>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</si>
  <si>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</si>
  <si>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</si>
  <si>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</si>
  <si>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</si>
  <si>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</si>
  <si>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</si>
  <si>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</si>
  <si>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</si>
  <si>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</si>
  <si>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</si>
  <si>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</si>
  <si>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</si>
  <si>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</si>
  <si>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</si>
  <si>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</si>
  <si>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</si>
  <si>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</si>
  <si>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</si>
  <si>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</si>
  <si>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</si>
  <si>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</si>
  <si>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</si>
  <si>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</si>
  <si>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</si>
  <si>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</si>
  <si>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</si>
  <si>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</si>
  <si>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</si>
  <si>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</si>
  <si>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</si>
  <si>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</si>
  <si>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</si>
  <si>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</si>
  <si>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</si>
  <si>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</si>
  <si>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</si>
  <si>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</si>
  <si>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</si>
  <si>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</si>
  <si>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</si>
  <si>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</si>
  <si>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</si>
  <si>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</si>
  <si>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</si>
  <si>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</si>
  <si>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</si>
  <si>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</si>
  <si>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</si>
  <si>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</si>
  <si>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</si>
  <si>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</si>
  <si>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</si>
  <si>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</si>
  <si>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</si>
  <si>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</si>
  <si>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</si>
  <si>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</si>
  <si>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</si>
  <si>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</si>
  <si>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</si>
  <si>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</si>
  <si>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</si>
  <si>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</si>
  <si>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</si>
  <si>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</si>
  <si>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</si>
  <si>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</si>
  <si>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</si>
  <si>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</si>
  <si>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</si>
  <si>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</si>
  <si>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</si>
  <si>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</si>
  <si>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</si>
  <si>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</si>
  <si>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</si>
  <si>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</si>
  <si>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</si>
  <si>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</si>
  <si>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</si>
  <si>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</si>
  <si>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</si>
  <si>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</si>
  <si>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</si>
  <si>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</si>
  <si>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</si>
  <si>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</si>
  <si>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</si>
  <si>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</si>
  <si>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</si>
  <si>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</si>
  <si>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</si>
  <si>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</si>
  <si>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</si>
  <si>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</si>
  <si>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</si>
  <si>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</si>
  <si>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</si>
  <si>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</si>
  <si>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</si>
  <si>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</si>
  <si>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</si>
  <si>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</si>
  <si>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</si>
  <si>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</si>
  <si>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</si>
  <si>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</si>
  <si>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</si>
  <si>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</si>
  <si>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</si>
  <si>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</si>
  <si>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</si>
  <si>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</si>
  <si>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</si>
  <si>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</si>
  <si>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</si>
  <si>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</si>
  <si>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</si>
  <si>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</si>
  <si>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</si>
  <si>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</si>
  <si>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</si>
  <si>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</si>
  <si>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</si>
  <si>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</si>
  <si>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</si>
  <si>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</si>
  <si>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</si>
  <si>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</si>
  <si>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</si>
  <si>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</si>
  <si>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</si>
  <si>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</si>
  <si>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</si>
  <si>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</si>
  <si>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</si>
  <si>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</si>
  <si>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</si>
  <si>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</si>
  <si>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</si>
  <si>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</si>
  <si>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</si>
  <si>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</si>
  <si>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</si>
  <si>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</si>
  <si>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</si>
  <si>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</si>
  <si>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</si>
  <si>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</si>
  <si>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</si>
  <si>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</si>
  <si>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</si>
  <si>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</si>
  <si>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</si>
  <si>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</si>
  <si>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</si>
  <si>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</si>
  <si>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</si>
  <si>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</si>
  <si>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</si>
  <si>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</si>
  <si>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</si>
  <si>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</si>
  <si>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</si>
  <si>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</si>
  <si>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</si>
  <si>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</si>
  <si>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</si>
  <si>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</si>
  <si>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</si>
  <si>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</si>
  <si>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</si>
  <si>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</si>
  <si>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</si>
  <si>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</si>
  <si>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</si>
  <si>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</si>
  <si>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</si>
  <si>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</si>
  <si>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</si>
  <si>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</si>
  <si>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</si>
  <si>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</si>
  <si>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</si>
  <si>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</si>
  <si>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</si>
  <si>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</si>
  <si>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</si>
  <si>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</si>
  <si>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</si>
  <si>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</si>
  <si>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</si>
  <si>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</si>
  <si>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</si>
  <si>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</si>
  <si>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</si>
  <si>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</si>
  <si>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</si>
  <si>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</si>
  <si>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</si>
  <si>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</si>
  <si>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</si>
  <si>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</si>
  <si>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</si>
  <si>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</si>
  <si>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</si>
  <si>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</si>
  <si>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</si>
  <si>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</si>
  <si>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</si>
  <si>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</si>
  <si>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</si>
  <si>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</si>
  <si>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</si>
  <si>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</si>
  <si>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</si>
  <si>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</si>
  <si>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</si>
  <si>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</si>
  <si>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</si>
  <si>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</si>
  <si>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</si>
  <si>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</si>
  <si>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</si>
  <si>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</si>
  <si>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</si>
  <si>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</si>
  <si>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</si>
  <si>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</si>
  <si>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</si>
  <si>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</si>
  <si>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</si>
  <si>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</si>
  <si>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</si>
  <si>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</si>
  <si>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</si>
  <si>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</si>
  <si>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</si>
  <si>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</si>
  <si>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</si>
  <si>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</si>
  <si>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</si>
  <si>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</si>
  <si>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</si>
  <si>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</si>
  <si>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</si>
  <si>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</si>
  <si>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</si>
  <si>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</si>
  <si>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</si>
  <si>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</si>
  <si>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</si>
  <si>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</si>
  <si>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</si>
  <si>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</si>
  <si>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</si>
  <si>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</si>
  <si>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</si>
  <si>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</si>
  <si>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</si>
  <si>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</si>
  <si>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</si>
  <si>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</si>
  <si>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</si>
  <si>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</si>
  <si>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</si>
  <si>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</si>
  <si>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</si>
  <si>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</si>
  <si>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</si>
  <si>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</si>
  <si>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</si>
  <si>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</si>
  <si>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</si>
  <si>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</si>
  <si>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</si>
  <si>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</si>
  <si>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</si>
  <si>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</si>
  <si>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</si>
  <si>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</si>
  <si>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</si>
  <si>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</si>
  <si>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</si>
  <si>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</si>
  <si>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</si>
  <si>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</si>
  <si>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</si>
  <si>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</si>
  <si>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</si>
  <si>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</si>
  <si>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</si>
  <si>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</si>
  <si>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</si>
  <si>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</si>
  <si>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</si>
  <si>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</si>
  <si>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</si>
  <si>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</si>
  <si>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</si>
  <si>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</si>
  <si>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</si>
  <si>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</si>
  <si>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</si>
  <si>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</si>
  <si>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</si>
  <si>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</si>
  <si>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</si>
  <si>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</si>
  <si>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</si>
  <si>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</si>
  <si>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</si>
  <si>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</si>
  <si>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</si>
  <si>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</si>
  <si>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</si>
  <si>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</si>
  <si>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</si>
  <si>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</si>
  <si>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</si>
  <si>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</si>
  <si>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</si>
  <si>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</si>
  <si>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</si>
  <si>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</si>
  <si>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</si>
  <si>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</si>
  <si>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</si>
  <si>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</si>
  <si>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</si>
  <si>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</si>
  <si>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</si>
  <si>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</si>
  <si>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</si>
  <si>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</si>
  <si>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</si>
  <si>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</si>
  <si>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</si>
  <si>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</si>
  <si>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</si>
  <si>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</si>
  <si>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</si>
  <si>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</si>
  <si>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</si>
  <si>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</si>
  <si>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</si>
  <si>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</si>
  <si>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</si>
  <si>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</si>
  <si>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</si>
  <si>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</si>
  <si>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</si>
  <si>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</si>
  <si>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</si>
  <si>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</si>
  <si>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</si>
  <si>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</si>
  <si>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</si>
  <si>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</si>
  <si>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</si>
  <si>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</si>
  <si>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</si>
  <si>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</si>
  <si>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</si>
  <si>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</si>
  <si>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</si>
  <si>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</si>
  <si>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</si>
  <si>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</si>
  <si>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</si>
  <si>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</si>
  <si>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</si>
  <si>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</si>
  <si>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</si>
  <si>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</si>
  <si>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</si>
  <si>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</si>
  <si>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</si>
  <si>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</si>
  <si>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</si>
  <si>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</si>
  <si>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</si>
  <si>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</si>
  <si>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</si>
  <si>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</si>
  <si>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</si>
  <si>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</si>
  <si>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</si>
  <si>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</si>
  <si>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</si>
  <si>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</si>
  <si>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</si>
  <si>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</si>
  <si>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</si>
  <si>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</si>
  <si>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</si>
  <si>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</si>
  <si>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</si>
  <si>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</si>
  <si>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</si>
  <si>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</si>
  <si>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</si>
  <si>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</si>
  <si>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</si>
  <si>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</si>
  <si>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</si>
  <si>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</si>
  <si>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</si>
  <si>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</si>
  <si>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</si>
  <si>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</si>
  <si>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</si>
  <si>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</si>
  <si>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</si>
  <si>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</si>
  <si>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</si>
  <si>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</si>
  <si>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</si>
  <si>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</si>
  <si>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</si>
  <si>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</si>
  <si>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</si>
  <si>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</si>
  <si>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</si>
  <si>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</si>
  <si>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</si>
  <si>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</si>
  <si>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</si>
  <si>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</si>
  <si>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</si>
  <si>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</si>
  <si>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</si>
  <si>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</si>
  <si>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</si>
  <si>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</si>
  <si>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</si>
  <si>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</si>
  <si>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</si>
  <si>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</si>
  <si>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</si>
  <si>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</si>
  <si>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</si>
  <si>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</si>
  <si>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</si>
  <si>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</si>
  <si>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</si>
  <si>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</si>
  <si>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</si>
  <si>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</si>
  <si>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</si>
  <si>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</si>
  <si>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</si>
  <si>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</si>
  <si>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</si>
  <si>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</si>
  <si>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</si>
  <si>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</si>
  <si>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</si>
  <si>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</si>
  <si>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</si>
  <si>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</si>
  <si>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</si>
  <si>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</si>
  <si>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</si>
  <si>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</si>
  <si>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</si>
  <si>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</si>
  <si>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</si>
  <si>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</si>
  <si>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</si>
  <si>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</si>
  <si>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</si>
  <si>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</si>
  <si>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</si>
  <si>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</si>
  <si>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</si>
  <si>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</si>
  <si>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</si>
  <si>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</si>
  <si>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</si>
  <si>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</si>
  <si>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</si>
  <si>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</si>
  <si>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</si>
  <si>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</si>
  <si>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</si>
  <si>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</si>
  <si>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</si>
  <si>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</si>
  <si>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</si>
  <si>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</si>
  <si>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</si>
  <si>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</si>
  <si>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</si>
  <si>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</si>
  <si>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</si>
  <si>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</si>
  <si>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</si>
  <si>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</si>
  <si>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</si>
  <si>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</si>
  <si>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</si>
  <si>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</si>
  <si>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</si>
  <si>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</si>
  <si>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</si>
  <si>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</si>
  <si>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</si>
  <si>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</si>
  <si>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</si>
  <si>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</si>
  <si>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</si>
  <si>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</si>
  <si>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</si>
  <si>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</si>
  <si>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</si>
  <si>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</si>
  <si>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</si>
  <si>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</si>
  <si>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</si>
  <si>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</si>
  <si>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</si>
  <si>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</si>
  <si>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</si>
  <si>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</si>
  <si>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</si>
  <si>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</si>
  <si>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</si>
  <si>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</si>
  <si>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</si>
  <si>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</si>
  <si>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</si>
  <si>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</si>
  <si>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</si>
  <si>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</si>
  <si>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</si>
  <si>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</si>
  <si>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</si>
  <si>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</si>
  <si>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</si>
  <si>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</si>
  <si>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</si>
  <si>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</si>
  <si>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</si>
  <si>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</si>
  <si>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</si>
  <si>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</si>
  <si>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</si>
  <si>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</si>
  <si>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</si>
  <si>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</si>
  <si>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</si>
  <si>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</si>
  <si>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</si>
  <si>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</si>
  <si>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</si>
  <si>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</si>
  <si>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</si>
  <si>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</si>
  <si>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</si>
  <si>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</si>
  <si>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</si>
  <si>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</si>
  <si>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</si>
  <si>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</si>
  <si>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</si>
  <si>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</si>
  <si>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</si>
  <si>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</si>
  <si>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</si>
  <si>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</si>
  <si>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</si>
  <si>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</si>
  <si>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</si>
  <si>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</si>
  <si>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</si>
  <si>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</si>
  <si>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</si>
  <si>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</si>
  <si>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</si>
  <si>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</si>
  <si>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</si>
  <si>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</si>
  <si>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</si>
  <si>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</si>
  <si>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</si>
  <si>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</si>
  <si>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</si>
  <si>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</si>
  <si>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</si>
  <si>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</si>
  <si>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</si>
  <si>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</si>
  <si>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</si>
  <si>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</si>
  <si>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</si>
  <si>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</si>
  <si>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</si>
  <si>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</si>
  <si>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</si>
  <si>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</si>
  <si>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</si>
  <si>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</si>
  <si>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</si>
  <si>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</si>
  <si>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</si>
  <si>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</si>
  <si>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</si>
  <si>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</si>
  <si>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</si>
  <si>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</si>
  <si>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</si>
  <si>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</si>
  <si>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</si>
  <si>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</si>
  <si>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</si>
  <si>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</si>
  <si>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</si>
  <si>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</si>
  <si>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</si>
  <si>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</si>
  <si>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</si>
  <si>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</si>
  <si>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</si>
  <si>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</si>
  <si>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</si>
  <si>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</si>
  <si>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</si>
  <si>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</si>
  <si>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</si>
  <si>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</si>
  <si>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</si>
  <si>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</si>
  <si>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</si>
  <si>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</si>
  <si>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</si>
  <si>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</si>
  <si>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</si>
  <si>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</si>
  <si>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</si>
  <si>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</si>
  <si>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</si>
  <si>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</si>
  <si>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</si>
  <si>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</si>
  <si>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</si>
  <si>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</si>
  <si>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</si>
  <si>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</si>
  <si>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</si>
  <si>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</si>
  <si>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</si>
  <si>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</si>
  <si>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</si>
  <si>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</si>
  <si>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</si>
  <si>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</si>
  <si>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</si>
  <si>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</si>
  <si>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</si>
  <si>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</si>
  <si>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</si>
  <si>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</si>
  <si>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</si>
  <si>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</si>
  <si>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</si>
  <si>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</si>
  <si>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</si>
  <si>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</si>
  <si>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</si>
  <si>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</si>
  <si>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</si>
  <si>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</si>
  <si>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</si>
  <si>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</si>
  <si>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</si>
  <si>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</si>
  <si>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</si>
  <si>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</si>
  <si>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</si>
  <si>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</si>
  <si>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</si>
  <si>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</si>
  <si>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</si>
  <si>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</si>
  <si>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</si>
  <si>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</si>
  <si>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</si>
  <si>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</si>
  <si>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</si>
  <si>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</si>
  <si>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</si>
  <si>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</si>
  <si>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</si>
  <si>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</si>
  <si>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</si>
  <si>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</si>
  <si>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</si>
  <si>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</si>
  <si>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</si>
  <si>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</si>
  <si>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</si>
  <si>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</si>
  <si>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</si>
  <si>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</si>
  <si>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</si>
  <si>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</si>
  <si>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</si>
  <si>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</si>
  <si>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</si>
  <si>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</si>
  <si>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</si>
  <si>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</si>
  <si>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</si>
  <si>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</si>
  <si>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</si>
  <si>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</si>
  <si>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</si>
  <si>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</si>
  <si>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</si>
  <si>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</si>
  <si>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</si>
  <si>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</si>
  <si>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</si>
  <si>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</si>
  <si>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</si>
  <si>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</si>
  <si>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</si>
  <si>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</si>
  <si>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</si>
  <si>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</si>
  <si>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</si>
  <si>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</si>
  <si>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</si>
  <si>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</si>
  <si>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</si>
  <si>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</si>
  <si>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</si>
  <si>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</si>
  <si>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</si>
  <si>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</si>
  <si>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</si>
  <si>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</si>
  <si>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</si>
  <si>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</si>
  <si>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</si>
  <si>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</si>
  <si>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</si>
  <si>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</si>
  <si>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</si>
  <si>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</si>
  <si>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</si>
  <si>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</si>
  <si>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</si>
  <si>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</si>
  <si>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</si>
  <si>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</si>
  <si>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</si>
  <si>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</si>
  <si>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</si>
  <si>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</si>
  <si>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</si>
  <si>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</si>
  <si>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</si>
  <si>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</si>
  <si>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</si>
  <si>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</si>
  <si>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</si>
  <si>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</si>
  <si>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</si>
  <si>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</si>
  <si>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</si>
  <si>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</si>
  <si>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</si>
  <si>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</si>
  <si>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</si>
  <si>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</si>
  <si>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</si>
  <si>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</si>
  <si>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</si>
  <si>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</si>
  <si>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</si>
  <si>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</si>
  <si>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</si>
  <si>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</si>
  <si>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</si>
  <si>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</si>
  <si>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</si>
  <si>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</si>
  <si>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</si>
  <si>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</si>
  <si>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</si>
  <si>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</si>
  <si>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</si>
  <si>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</si>
  <si>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</si>
  <si>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</si>
  <si>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</si>
  <si>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</si>
  <si>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</si>
  <si>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</si>
  <si>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</si>
  <si>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</si>
  <si>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</si>
  <si>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</si>
  <si>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</si>
  <si>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</si>
  <si>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</si>
  <si>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</si>
  <si>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</si>
  <si>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</si>
  <si>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</si>
  <si>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</si>
  <si>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</si>
  <si>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</si>
  <si>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</si>
  <si>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</si>
  <si>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</si>
  <si>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</si>
  <si>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</si>
  <si>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</si>
  <si>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</si>
  <si>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</si>
  <si>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</si>
  <si>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</si>
  <si>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</si>
  <si>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</si>
  <si>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</si>
  <si>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</si>
  <si>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</si>
  <si>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</si>
  <si>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</si>
  <si>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</si>
  <si>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</si>
  <si>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</si>
  <si>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</si>
  <si>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</si>
  <si>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</si>
  <si>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</si>
  <si>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</si>
  <si>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</si>
  <si>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</si>
  <si>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</si>
  <si>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</si>
  <si>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</si>
  <si>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</si>
  <si>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</si>
  <si>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</si>
  <si>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</si>
  <si>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</si>
  <si>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</si>
  <si>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</si>
  <si>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</si>
  <si>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</si>
  <si>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</si>
  <si>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</si>
  <si>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</si>
  <si>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</si>
  <si>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</si>
  <si>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</si>
  <si>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</si>
  <si>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</si>
  <si>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</si>
  <si>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</si>
  <si>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</si>
  <si>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</si>
  <si>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</si>
  <si>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</si>
  <si>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</si>
  <si>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</si>
  <si>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</si>
  <si>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</si>
  <si>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</si>
  <si>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</si>
  <si>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</si>
  <si>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</si>
  <si>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</si>
  <si>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</si>
  <si>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</si>
  <si>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</si>
  <si>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</si>
  <si>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</si>
  <si>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</si>
  <si>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</si>
  <si>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</si>
  <si>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</si>
  <si>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</si>
  <si>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</si>
  <si>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</si>
  <si>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</si>
  <si>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</si>
  <si>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</si>
  <si>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</si>
  <si>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</si>
  <si>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</si>
  <si>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</si>
  <si>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</si>
  <si>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</si>
  <si>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</si>
  <si>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</si>
  <si>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</si>
  <si>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</si>
  <si>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</si>
  <si>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</si>
  <si>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</si>
  <si>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</si>
  <si>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</si>
  <si>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</si>
  <si>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</si>
  <si>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</si>
  <si>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</si>
  <si>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</si>
  <si>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</si>
  <si>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</si>
  <si>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</si>
  <si>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</si>
  <si>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</si>
  <si>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</si>
  <si>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</si>
  <si>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</si>
  <si>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</si>
  <si>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</si>
  <si>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</si>
  <si>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</si>
  <si>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</si>
  <si>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</si>
  <si>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</si>
  <si>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</si>
  <si>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</si>
  <si>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</si>
  <si>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</si>
  <si>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</si>
  <si>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</si>
  <si>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</si>
  <si>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</si>
  <si>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</si>
  <si>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</si>
  <si>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</si>
  <si>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</si>
  <si>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</si>
  <si>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</si>
  <si>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</si>
  <si>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</si>
  <si>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</si>
  <si>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</si>
  <si>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</si>
  <si>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</si>
  <si>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</si>
  <si>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</si>
  <si>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</si>
  <si>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</si>
  <si>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</si>
  <si>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</si>
  <si>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</si>
  <si>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</si>
  <si>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</si>
  <si>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</si>
  <si>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</si>
  <si>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</si>
  <si>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</si>
  <si>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</si>
  <si>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</si>
  <si>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</si>
  <si>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</si>
  <si>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</si>
  <si>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</si>
  <si>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</si>
  <si>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</si>
  <si>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</si>
  <si>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</si>
  <si>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</si>
  <si>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</si>
  <si>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</si>
  <si>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</si>
  <si>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</si>
  <si>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</si>
  <si>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</si>
  <si>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</si>
  <si>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</si>
  <si>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</si>
  <si>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</si>
  <si>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</si>
  <si>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</si>
  <si>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</si>
  <si>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</si>
  <si>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</si>
  <si>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</si>
  <si>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</si>
  <si>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</si>
  <si>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</si>
  <si>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</si>
  <si>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</si>
  <si>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</si>
  <si>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</si>
  <si>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</si>
  <si>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</si>
  <si>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</si>
  <si>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</si>
  <si>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</si>
  <si>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</si>
  <si>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</si>
  <si>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</si>
  <si>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</si>
  <si>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</si>
  <si>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</si>
  <si>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</si>
  <si>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</si>
  <si>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</si>
  <si>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</si>
  <si>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</si>
  <si>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</si>
  <si>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</si>
  <si>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</si>
  <si>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</si>
  <si>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</si>
  <si>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</si>
  <si>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</si>
  <si>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</si>
  <si>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</si>
  <si>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</si>
  <si>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</si>
  <si>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</si>
  <si>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</si>
  <si>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</si>
  <si>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</si>
  <si>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</si>
  <si>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</si>
  <si>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</si>
  <si>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</si>
  <si>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</si>
  <si>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</si>
  <si>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</si>
  <si>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</si>
  <si>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</si>
  <si>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</si>
  <si>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</si>
  <si>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</si>
  <si>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</si>
  <si>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</si>
  <si>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</si>
  <si>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</si>
  <si>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</si>
  <si>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</si>
  <si>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</si>
  <si>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</si>
  <si>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</si>
  <si>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</si>
  <si>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</si>
  <si>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</si>
  <si>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</si>
  <si>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</si>
  <si>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</si>
  <si>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</si>
  <si>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</si>
  <si>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</si>
  <si>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</si>
  <si>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</si>
  <si>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</si>
  <si>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</si>
  <si>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</si>
  <si>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</si>
  <si>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</si>
  <si>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</si>
  <si>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</si>
  <si>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</si>
  <si>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</si>
  <si>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</si>
  <si>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</si>
  <si>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</si>
  <si>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</si>
  <si>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</si>
  <si>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</si>
  <si>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</si>
  <si>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</si>
  <si>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</si>
  <si>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</si>
  <si>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</si>
  <si>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</si>
  <si>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</si>
  <si>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</si>
  <si>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</si>
  <si>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</si>
  <si>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</si>
  <si>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</si>
  <si>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</si>
  <si>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</si>
  <si>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</si>
  <si>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</si>
  <si>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</si>
  <si>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</si>
  <si>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</si>
  <si>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</si>
  <si>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</si>
  <si>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</si>
  <si>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</si>
  <si>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</si>
  <si>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</si>
  <si>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</si>
  <si>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</si>
  <si>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</si>
  <si>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</si>
  <si>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</si>
  <si>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</si>
  <si>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</si>
  <si>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</si>
  <si>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</si>
  <si>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</si>
  <si>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</si>
  <si>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</si>
  <si>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</si>
  <si>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</si>
  <si>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</si>
  <si>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</si>
  <si>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</si>
  <si>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</si>
  <si>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</si>
  <si>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</si>
  <si>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</si>
  <si>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</si>
  <si>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</si>
  <si>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</si>
  <si>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</si>
  <si>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</si>
  <si>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</si>
  <si>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</si>
  <si>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</si>
  <si>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</si>
  <si>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</si>
  <si>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</si>
  <si>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</si>
  <si>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</si>
  <si>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</si>
  <si>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</si>
  <si>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</si>
  <si>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</si>
  <si>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</si>
  <si>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</si>
  <si>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</si>
  <si>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</si>
  <si>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</si>
  <si>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</si>
  <si>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</si>
  <si>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</si>
  <si>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</si>
  <si>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</si>
  <si>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</si>
  <si>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</si>
  <si>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</si>
  <si>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</si>
  <si>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</si>
  <si>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</si>
  <si>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</si>
  <si>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</si>
  <si>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</si>
  <si>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</si>
  <si>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</si>
  <si>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</si>
  <si>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</si>
  <si>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</si>
  <si>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</si>
  <si>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</si>
  <si>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</si>
  <si>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</si>
  <si>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</si>
  <si>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</si>
  <si>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</si>
  <si>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</si>
  <si>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</si>
  <si>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</si>
  <si>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</si>
  <si>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</si>
  <si>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</si>
  <si>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</si>
  <si>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</si>
  <si>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</si>
  <si>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</si>
  <si>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</si>
  <si>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</si>
  <si>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</si>
  <si>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</si>
  <si>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</si>
  <si>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</si>
  <si>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</si>
  <si>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</si>
  <si>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</si>
  <si>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</si>
  <si>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</si>
  <si>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</si>
  <si>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</si>
  <si>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</si>
  <si>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</si>
  <si>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</si>
  <si>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</si>
  <si>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</si>
  <si>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</si>
  <si>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</si>
  <si>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</si>
  <si>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</si>
  <si>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</si>
  <si>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</si>
  <si>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</si>
  <si>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</si>
  <si>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</si>
  <si>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</si>
  <si>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</si>
  <si>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</si>
  <si>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</si>
  <si>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</si>
  <si>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</si>
  <si>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</si>
  <si>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</si>
  <si>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</si>
  <si>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</si>
  <si>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</si>
  <si>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</si>
  <si>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</si>
  <si>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</si>
  <si>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</si>
  <si>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</si>
  <si>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</si>
  <si>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</si>
  <si>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</si>
  <si>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</si>
  <si>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</si>
  <si>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</si>
  <si>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</si>
  <si>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</si>
  <si>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</si>
  <si>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</si>
  <si>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</si>
  <si>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</si>
  <si>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</si>
  <si>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</si>
  <si>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</si>
  <si>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</si>
  <si>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</si>
  <si>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</si>
  <si>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</si>
  <si>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</si>
  <si>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</si>
  <si>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</si>
  <si>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</si>
  <si>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</si>
  <si>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</si>
  <si>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</si>
  <si>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</si>
  <si>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</si>
  <si>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</si>
  <si>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</si>
  <si>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</si>
  <si>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</si>
  <si>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</si>
  <si>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</si>
  <si>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</si>
  <si>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</si>
  <si>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</si>
  <si>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</si>
  <si>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</si>
  <si>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</si>
  <si>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</si>
  <si>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</si>
  <si>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</si>
  <si>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</si>
  <si>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</si>
  <si>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</si>
  <si>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</si>
  <si>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</si>
  <si>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</si>
  <si>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</si>
  <si>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</si>
  <si>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</si>
  <si>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</si>
  <si>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</si>
  <si>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</si>
  <si>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</si>
  <si>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</si>
  <si>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</si>
  <si>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</si>
  <si>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</si>
  <si>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</si>
  <si>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</si>
  <si>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</si>
  <si>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</si>
  <si>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</si>
  <si>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</si>
  <si>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</si>
  <si>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</si>
  <si>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</si>
  <si>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</si>
  <si>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</si>
  <si>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</si>
  <si>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</si>
  <si>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</si>
  <si>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</si>
  <si>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</si>
  <si>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</si>
  <si>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</si>
  <si>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</si>
  <si>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</si>
  <si>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</si>
  <si>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</si>
  <si>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</si>
  <si>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</si>
  <si>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</si>
  <si>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</si>
  <si>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</si>
  <si>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</si>
  <si>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</si>
  <si>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</si>
  <si>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</si>
  <si>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</si>
  <si>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</si>
  <si>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</si>
  <si>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</si>
  <si>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</si>
  <si>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</si>
  <si>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</si>
  <si>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</si>
  <si>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</si>
  <si>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</si>
  <si>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</si>
  <si>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</si>
  <si>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</si>
  <si>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</si>
  <si>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</si>
  <si>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</si>
  <si>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</si>
  <si>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</si>
  <si>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</si>
  <si>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</si>
  <si>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</si>
  <si>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</si>
  <si>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</si>
  <si>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</si>
  <si>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</si>
  <si>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</si>
  <si>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</si>
  <si>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</si>
  <si>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</si>
  <si>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</si>
  <si>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</si>
  <si>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</si>
  <si>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</si>
  <si>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</si>
  <si>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</si>
  <si>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</si>
  <si>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</si>
  <si>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</si>
  <si>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</si>
  <si>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</si>
  <si>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</si>
  <si>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</si>
  <si>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</si>
  <si>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</si>
  <si>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</si>
  <si>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</si>
  <si>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</si>
  <si>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</si>
  <si>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</si>
  <si>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</si>
  <si>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</si>
  <si>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</si>
  <si>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</si>
  <si>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</si>
  <si>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</si>
  <si>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</si>
  <si>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</si>
  <si>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</si>
  <si>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</si>
  <si>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</si>
  <si>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</si>
  <si>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</si>
  <si>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</si>
  <si>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</si>
  <si>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</si>
  <si>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</si>
  <si>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</si>
  <si>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</si>
  <si>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</si>
  <si>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</si>
  <si>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</si>
  <si>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</si>
  <si>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</si>
  <si>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</si>
  <si>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</si>
  <si>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</si>
  <si>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</si>
  <si>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</si>
  <si>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</si>
  <si>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</si>
  <si>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</si>
  <si>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</si>
  <si>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</si>
  <si>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</si>
  <si>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</si>
  <si>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</si>
  <si>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</si>
  <si>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</si>
  <si>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</si>
  <si>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</si>
  <si>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</si>
  <si>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</si>
  <si>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</si>
  <si>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</si>
  <si>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</si>
  <si>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</si>
  <si>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</si>
  <si>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</si>
  <si>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</si>
  <si>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</si>
  <si>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</si>
  <si>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</si>
  <si>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</si>
  <si>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</si>
  <si>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</si>
  <si>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</si>
  <si>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</si>
  <si>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</si>
  <si>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</si>
  <si>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</si>
  <si>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</si>
  <si>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</si>
  <si>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</si>
  <si>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</si>
  <si>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</si>
  <si>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</si>
  <si>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</si>
  <si>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</si>
  <si>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</si>
  <si>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</si>
  <si>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</si>
  <si>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</si>
  <si>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</si>
  <si>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</si>
  <si>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</si>
  <si>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</si>
  <si>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</si>
  <si>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</si>
  <si>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</si>
  <si>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</si>
  <si>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</si>
  <si>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</si>
  <si>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</si>
  <si>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</si>
  <si>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</si>
  <si>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</si>
  <si>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</si>
  <si>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</si>
  <si>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</si>
  <si>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</si>
  <si>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</si>
  <si>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</si>
  <si>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</si>
  <si>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</si>
  <si>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</si>
  <si>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</si>
  <si>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</si>
  <si>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</si>
  <si>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</si>
  <si>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</si>
  <si>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</si>
  <si>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</si>
  <si>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</si>
  <si>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</si>
  <si>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</si>
  <si>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</si>
  <si>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</si>
  <si>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</si>
  <si>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</si>
  <si>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</si>
  <si>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</si>
  <si>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</si>
  <si>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</si>
  <si>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</si>
  <si>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</si>
  <si>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</si>
  <si>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</si>
  <si>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</si>
  <si>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</si>
  <si>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</si>
  <si>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</si>
  <si>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</si>
  <si>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</si>
  <si>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</si>
  <si>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</si>
  <si>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</si>
  <si>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</si>
  <si>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</si>
  <si>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</si>
  <si>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</si>
  <si>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</si>
  <si>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</si>
  <si>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</si>
  <si>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</si>
  <si>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</si>
  <si>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</si>
  <si>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</si>
  <si>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</si>
  <si>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</si>
  <si>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</si>
  <si>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</si>
  <si>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</si>
  <si>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</si>
  <si>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</si>
  <si>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</si>
  <si>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</si>
  <si>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</si>
  <si>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</si>
  <si>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</si>
  <si>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</si>
  <si>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</si>
  <si>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</si>
  <si>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</si>
  <si>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</si>
  <si>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</si>
  <si>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</si>
  <si>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</si>
  <si>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</si>
  <si>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</si>
  <si>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</si>
  <si>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</si>
  <si>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</si>
  <si>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</si>
  <si>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</si>
  <si>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</si>
  <si>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</si>
  <si>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</si>
  <si>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</si>
  <si>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</si>
  <si>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</si>
  <si>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</si>
  <si>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</si>
  <si>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</si>
  <si>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</si>
  <si>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</si>
  <si>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</si>
  <si>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</si>
  <si>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</si>
  <si>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</si>
  <si>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</si>
  <si>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</si>
  <si>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</si>
  <si>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</si>
  <si>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</si>
  <si>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</si>
  <si>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</si>
  <si>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</si>
  <si>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</si>
  <si>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</si>
  <si>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</si>
  <si>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</si>
  <si>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</si>
  <si>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</si>
  <si>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</si>
  <si>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</si>
  <si>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</si>
  <si>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</si>
  <si>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</si>
  <si>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</si>
  <si>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</si>
  <si>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</si>
  <si>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</si>
  <si>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</si>
  <si>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</si>
  <si>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</si>
  <si>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</si>
  <si>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</si>
  <si>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</si>
  <si>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</si>
  <si>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</si>
  <si>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</si>
  <si>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</si>
  <si>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</si>
  <si>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</si>
  <si>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</si>
  <si>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</si>
  <si>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</si>
  <si>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</si>
  <si>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</si>
  <si>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</si>
  <si>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</si>
  <si>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</si>
  <si>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</si>
  <si>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</si>
  <si>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</si>
  <si>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</si>
  <si>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</si>
  <si>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</si>
  <si>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</si>
  <si>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</si>
  <si>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</si>
  <si>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</si>
  <si>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</si>
  <si>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</si>
  <si>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</si>
  <si>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</si>
  <si>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</si>
  <si>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</si>
  <si>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</si>
  <si>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</si>
  <si>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</si>
  <si>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</si>
  <si>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</si>
  <si>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</si>
  <si>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</si>
  <si>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</si>
  <si>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</si>
  <si>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</si>
  <si>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</si>
  <si>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</si>
  <si>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</si>
  <si>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</si>
  <si>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</si>
  <si>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</si>
  <si>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</si>
  <si>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</si>
  <si>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</si>
  <si>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</si>
  <si>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</si>
  <si>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</si>
  <si>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</si>
  <si>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</si>
  <si>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</si>
  <si>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</si>
  <si>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</si>
  <si>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</si>
  <si>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</si>
  <si>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</si>
  <si>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</si>
  <si>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</si>
  <si>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</si>
  <si>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</si>
  <si>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</si>
  <si>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</si>
  <si>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</si>
  <si>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</si>
  <si>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</si>
  <si>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</si>
  <si>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</si>
  <si>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</si>
  <si>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</si>
  <si>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</si>
  <si>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</si>
  <si>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</si>
  <si>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</si>
  <si>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</si>
  <si>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</si>
  <si>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</si>
  <si>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</si>
  <si>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</si>
  <si>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</si>
  <si>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</si>
  <si>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</si>
  <si>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</si>
  <si>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</si>
  <si>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</si>
  <si>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</si>
  <si>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</si>
  <si>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</si>
  <si>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</si>
  <si>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</si>
  <si>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</si>
  <si>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</si>
  <si>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</si>
  <si>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</si>
  <si>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</si>
  <si>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</si>
  <si>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</si>
  <si>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</si>
  <si>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</si>
  <si>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</si>
  <si>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</si>
  <si>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</si>
  <si>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</si>
  <si>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</si>
  <si>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</si>
  <si>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</si>
  <si>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</si>
  <si>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</si>
  <si>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</si>
  <si>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</si>
  <si>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</si>
  <si>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</si>
  <si>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</si>
  <si>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</si>
  <si>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</si>
  <si>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</si>
  <si>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</si>
  <si>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</si>
  <si>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</si>
  <si>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</si>
  <si>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</si>
  <si>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</si>
  <si>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</si>
  <si>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</si>
  <si>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</si>
  <si>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</si>
  <si>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</si>
  <si>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</si>
  <si>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</si>
  <si>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</si>
  <si>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</si>
  <si>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</si>
  <si>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</si>
  <si>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</si>
  <si>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</si>
  <si>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</si>
  <si>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</si>
  <si>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</si>
  <si>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</si>
  <si>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</si>
  <si>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</si>
  <si>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</si>
  <si>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</si>
  <si>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</si>
  <si>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</si>
  <si>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</si>
  <si>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</si>
  <si>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</si>
  <si>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</si>
  <si>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</si>
  <si>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</si>
  <si>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</si>
  <si>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</si>
  <si>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</si>
  <si>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</si>
  <si>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</si>
  <si>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</si>
  <si>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</si>
  <si>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</si>
  <si>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</si>
  <si>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</si>
  <si>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</si>
  <si>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</si>
  <si>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</si>
  <si>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</si>
  <si>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</si>
  <si>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</si>
  <si>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</si>
  <si>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</si>
  <si>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</si>
  <si>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</si>
  <si>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</si>
  <si>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</si>
  <si>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</si>
  <si>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</si>
  <si>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</si>
  <si>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</si>
  <si>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</si>
  <si>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</si>
  <si>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</si>
  <si>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</si>
  <si>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</si>
  <si>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</si>
  <si>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</si>
  <si>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</si>
  <si>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</si>
  <si>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</si>
  <si>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</si>
  <si>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</si>
  <si>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</si>
  <si>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</si>
  <si>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</si>
  <si>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</si>
  <si>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</si>
  <si>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</si>
  <si>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</si>
  <si>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</si>
  <si>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</si>
  <si>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</si>
  <si>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</si>
  <si>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</si>
  <si>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</si>
  <si>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</si>
  <si>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</si>
  <si>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</si>
  <si>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</si>
  <si>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</si>
  <si>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</si>
  <si>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</si>
  <si>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</si>
  <si>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</si>
  <si>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</si>
  <si>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</si>
  <si>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</si>
  <si>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</si>
  <si>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</si>
  <si>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</si>
  <si>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</si>
  <si>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</si>
  <si>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</si>
  <si>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</si>
  <si>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</si>
  <si>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</si>
  <si>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</si>
  <si>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</si>
  <si>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</si>
  <si>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</si>
  <si>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</si>
  <si>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</si>
  <si>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</si>
  <si>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</si>
  <si>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</si>
  <si>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</si>
  <si>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</si>
  <si>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</si>
  <si>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</si>
  <si>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</si>
  <si>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</si>
  <si>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</si>
  <si>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</si>
  <si>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</si>
  <si>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</si>
  <si>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</si>
  <si>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</si>
  <si>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</si>
  <si>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</si>
  <si>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</si>
  <si>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</si>
  <si>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</si>
  <si>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</si>
  <si>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</si>
  <si>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</si>
  <si>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</si>
  <si>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</si>
  <si>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</si>
  <si>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</si>
  <si>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</si>
  <si>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</si>
  <si>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</si>
  <si>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</si>
  <si>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</si>
  <si>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</si>
  <si>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</si>
  <si>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</si>
  <si>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</si>
  <si>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</si>
  <si>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</si>
  <si>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</si>
  <si>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</si>
  <si>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</si>
  <si>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</si>
  <si>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</si>
  <si>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</si>
  <si>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</si>
  <si>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</si>
  <si>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</si>
  <si>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</si>
  <si>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</si>
  <si>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</si>
  <si>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</si>
  <si>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</si>
  <si>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</si>
  <si>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</si>
  <si>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</si>
  <si>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</si>
  <si>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</si>
  <si>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</si>
  <si>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</si>
  <si>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</si>
  <si>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</si>
  <si>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</si>
  <si>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</si>
  <si>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</si>
  <si>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</si>
  <si>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</si>
  <si>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</si>
  <si>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</si>
  <si>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</si>
  <si>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</si>
  <si>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</si>
  <si>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</si>
  <si>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</si>
  <si>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</si>
  <si>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</si>
  <si>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</si>
  <si>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</si>
  <si>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</si>
  <si>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</si>
  <si>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</si>
  <si>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</si>
  <si>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</si>
  <si>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</si>
  <si>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</si>
  <si>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</si>
  <si>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</si>
  <si>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</si>
  <si>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</si>
  <si>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</si>
  <si>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</si>
  <si>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</si>
  <si>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</si>
  <si>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</si>
  <si>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</si>
  <si>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</si>
  <si>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</si>
  <si>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</si>
  <si>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</si>
  <si>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</si>
  <si>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</si>
  <si>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</si>
  <si>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</si>
  <si>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</si>
  <si>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</si>
  <si>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</si>
  <si>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</si>
  <si>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</si>
  <si>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</si>
  <si>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</si>
  <si>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</si>
  <si>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</si>
  <si>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</si>
  <si>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</si>
  <si>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</si>
  <si>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</si>
  <si>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</si>
  <si>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</si>
  <si>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</si>
  <si>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</si>
  <si>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</si>
  <si>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</si>
  <si>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</si>
  <si>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</si>
  <si>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</si>
  <si>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</si>
  <si>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</si>
  <si>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</si>
  <si>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</si>
  <si>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</si>
  <si>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</si>
  <si>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</si>
  <si>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</si>
  <si>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</si>
  <si>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</si>
  <si>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</si>
  <si>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</si>
  <si>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</si>
  <si>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</si>
  <si>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</si>
  <si>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</si>
  <si>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</si>
  <si>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</si>
  <si>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</si>
  <si>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</si>
  <si>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</si>
  <si>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</si>
  <si>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</si>
  <si>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</si>
  <si>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</si>
  <si>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</si>
  <si>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</si>
  <si>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</si>
  <si>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</si>
  <si>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</si>
  <si>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</si>
  <si>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</si>
  <si>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</si>
  <si>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</si>
  <si>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</si>
  <si>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</si>
  <si>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</si>
  <si>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</si>
  <si>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</si>
  <si>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</si>
  <si>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</si>
  <si>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</si>
  <si>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</si>
  <si>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</si>
  <si>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</si>
  <si>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</si>
  <si>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</si>
  <si>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</si>
  <si>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</si>
  <si>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</si>
  <si>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</si>
  <si>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</si>
  <si>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</si>
  <si>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</si>
  <si>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</si>
  <si>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</si>
  <si>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</si>
  <si>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</si>
  <si>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</si>
  <si>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</si>
  <si>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</si>
  <si>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</si>
  <si>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</si>
  <si>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</si>
  <si>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</si>
  <si>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</si>
  <si>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</si>
  <si>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</si>
  <si>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</si>
  <si>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</si>
  <si>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</si>
  <si>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</si>
  <si>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</si>
  <si>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</si>
  <si>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</si>
  <si>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</si>
  <si>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</si>
  <si>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</si>
  <si>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</si>
  <si>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</si>
  <si>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</si>
  <si>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</si>
  <si>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</si>
  <si>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</si>
  <si>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</si>
  <si>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</si>
  <si>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</si>
  <si>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</si>
  <si>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</si>
  <si>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</si>
  <si>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</si>
  <si>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</si>
  <si>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</si>
  <si>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</si>
  <si>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</si>
  <si>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</si>
  <si>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</si>
  <si>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</si>
  <si>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</si>
  <si>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</si>
  <si>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</si>
  <si>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</si>
  <si>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</si>
  <si>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</si>
  <si>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</si>
  <si>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</si>
  <si>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</si>
  <si>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</si>
  <si>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</si>
  <si>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</si>
  <si>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</si>
  <si>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</si>
  <si>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</si>
  <si>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</si>
  <si>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</si>
  <si>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</si>
  <si>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</si>
  <si>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</si>
  <si>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</si>
  <si>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</si>
  <si>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</si>
  <si>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</si>
  <si>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</si>
  <si>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</si>
  <si>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</si>
  <si>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</si>
  <si>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</si>
  <si>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</si>
  <si>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</si>
  <si>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</si>
  <si>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</si>
  <si>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</si>
  <si>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</si>
  <si>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</si>
  <si>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</si>
  <si>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</si>
  <si>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</si>
  <si>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</si>
  <si>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</si>
  <si>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</si>
  <si>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</si>
  <si>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</si>
  <si>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</si>
  <si>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</si>
  <si>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</si>
  <si>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</si>
  <si>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</si>
  <si>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</si>
  <si>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</si>
  <si>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</si>
  <si>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</si>
  <si>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</si>
  <si>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</si>
  <si>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</si>
  <si>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</si>
  <si>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</si>
  <si>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</si>
  <si>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</si>
  <si>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</si>
  <si>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</si>
  <si>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</si>
  <si>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</si>
  <si>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</si>
  <si>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</si>
  <si>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</si>
  <si>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</si>
  <si>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</si>
  <si>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</si>
  <si>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</si>
  <si>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</si>
  <si>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</si>
  <si>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</si>
  <si>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</si>
  <si>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</si>
  <si>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</si>
  <si>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</si>
  <si>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</si>
  <si>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</si>
  <si>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</si>
  <si>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</si>
  <si>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</si>
  <si>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</si>
  <si>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</si>
  <si>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</si>
  <si>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</si>
  <si>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</si>
  <si>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</si>
  <si>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</si>
  <si>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</si>
  <si>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</si>
  <si>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</si>
  <si>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</si>
  <si>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</si>
  <si>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</si>
  <si>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</si>
  <si>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</si>
  <si>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</si>
  <si>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</si>
  <si>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</si>
  <si>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</si>
  <si>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</si>
  <si>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</si>
  <si>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</si>
  <si>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</si>
  <si>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</si>
  <si>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</si>
  <si>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</si>
  <si>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</si>
  <si>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</si>
  <si>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</si>
  <si>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</si>
  <si>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</si>
  <si>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</si>
  <si>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</si>
  <si>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</si>
  <si>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</si>
  <si>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</si>
  <si>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</si>
  <si>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</si>
  <si>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</si>
  <si>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</si>
  <si>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</si>
  <si>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</si>
  <si>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</si>
  <si>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</si>
  <si>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</si>
  <si>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</si>
  <si>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</si>
  <si>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</si>
  <si>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</si>
  <si>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</si>
  <si>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</si>
  <si>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</si>
  <si>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</si>
  <si>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</si>
  <si>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</si>
  <si>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</si>
  <si>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</si>
  <si>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</si>
  <si>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</si>
  <si>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</si>
  <si>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</si>
  <si>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</si>
  <si>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</si>
  <si>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</si>
  <si>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</si>
  <si>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</si>
  <si>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</si>
  <si>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</si>
  <si>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</si>
  <si>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</si>
  <si>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</si>
  <si>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</si>
  <si>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</si>
  <si>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</si>
  <si>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</si>
  <si>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</si>
  <si>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</si>
  <si>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</si>
  <si>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</si>
  <si>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</si>
  <si>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</si>
  <si>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</si>
  <si>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</si>
  <si>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</si>
  <si>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</si>
  <si>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</si>
  <si>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</si>
  <si>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</si>
  <si>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</si>
  <si>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</si>
  <si>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</si>
  <si>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</si>
  <si>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</si>
  <si>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</si>
  <si>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</si>
  <si>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</si>
  <si>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</si>
  <si>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</si>
  <si>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</si>
  <si>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</si>
  <si>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</si>
  <si>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</si>
  <si>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</si>
  <si>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</si>
  <si>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</si>
  <si>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</si>
  <si>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</si>
  <si>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</si>
  <si>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</si>
  <si>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</si>
  <si>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</si>
  <si>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</si>
  <si>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</si>
  <si>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</si>
  <si>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</si>
  <si>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</si>
  <si>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</si>
  <si>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</si>
  <si>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</si>
  <si>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</si>
  <si>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</si>
  <si>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</si>
  <si>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</si>
  <si>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</si>
  <si>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</si>
  <si>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</si>
  <si>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</si>
  <si>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</si>
  <si>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</si>
  <si>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</si>
  <si>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</si>
  <si>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</si>
  <si>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</si>
  <si>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</si>
  <si>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</si>
  <si>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</si>
  <si>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</si>
  <si>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</si>
  <si>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</si>
  <si>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</si>
  <si>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</si>
  <si>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</si>
  <si>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</si>
  <si>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</si>
  <si>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</si>
  <si>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</si>
  <si>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</si>
  <si>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</si>
  <si>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</si>
  <si>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</si>
  <si>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</si>
  <si>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</si>
  <si>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</si>
  <si>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</si>
  <si>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</si>
  <si>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</si>
  <si>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</si>
  <si>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</si>
  <si>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</si>
  <si>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</si>
  <si>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</si>
  <si>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</si>
  <si>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</si>
  <si>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</si>
  <si>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</si>
  <si>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</si>
  <si>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</si>
  <si>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</si>
  <si>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</si>
  <si>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</si>
  <si>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</si>
  <si>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</si>
  <si>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</si>
  <si>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</si>
  <si>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</si>
  <si>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</si>
  <si>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</si>
  <si>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</si>
  <si>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</si>
  <si>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</si>
  <si>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</si>
  <si>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</si>
  <si>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</si>
  <si>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</si>
  <si>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</si>
  <si>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</si>
  <si>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</si>
  <si>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</si>
  <si>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</si>
  <si>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</si>
  <si>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</si>
  <si>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</si>
  <si>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</si>
  <si>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</si>
  <si>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</si>
  <si>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</si>
  <si>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</si>
  <si>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</si>
  <si>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</si>
  <si>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</si>
  <si>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</si>
  <si>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</si>
  <si>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</si>
  <si>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</si>
  <si>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</si>
  <si>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</si>
  <si>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</si>
  <si>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</si>
  <si>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</si>
  <si>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</si>
  <si>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</si>
  <si>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</si>
  <si>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</si>
  <si>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</si>
  <si>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</si>
  <si>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</si>
  <si>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</si>
  <si>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</si>
  <si>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</si>
  <si>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</si>
  <si>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</si>
  <si>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</si>
  <si>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</si>
  <si>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</si>
  <si>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</si>
  <si>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</si>
  <si>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</si>
  <si>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</si>
  <si>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</si>
  <si>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</si>
  <si>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</si>
  <si>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</si>
  <si>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</si>
  <si>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</si>
  <si>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</si>
  <si>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</si>
  <si>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</si>
  <si>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</si>
  <si>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</si>
  <si>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</si>
  <si>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</si>
  <si>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</si>
  <si>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</si>
  <si>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</si>
  <si>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</si>
  <si>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</si>
  <si>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</si>
  <si>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</si>
  <si>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</si>
  <si>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</si>
  <si>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</si>
  <si>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</si>
  <si>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</si>
  <si>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</si>
  <si>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</si>
  <si>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</si>
  <si>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</si>
  <si>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</si>
  <si>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</si>
  <si>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</si>
  <si>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</si>
  <si>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</si>
  <si>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</si>
  <si>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</si>
  <si>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</si>
  <si>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</si>
  <si>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</si>
  <si>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</si>
  <si>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</si>
  <si>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</si>
  <si>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</si>
  <si>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</si>
  <si>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</si>
  <si>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</si>
  <si>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</si>
  <si>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</si>
  <si>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</si>
  <si>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</si>
  <si>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</si>
  <si>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</si>
  <si>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</si>
  <si>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</si>
  <si>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</si>
  <si>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</si>
  <si>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</si>
  <si>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</si>
  <si>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</si>
  <si>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</si>
  <si>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</si>
  <si>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</si>
  <si>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</si>
  <si>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</si>
  <si>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</si>
  <si>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</si>
  <si>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</si>
  <si>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</si>
  <si>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</si>
  <si>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</si>
  <si>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</si>
  <si>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</si>
  <si>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</si>
  <si>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</si>
  <si>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</si>
  <si>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</si>
  <si>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</si>
  <si>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</si>
  <si>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</si>
  <si>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</si>
  <si>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</si>
  <si>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</si>
  <si>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</si>
  <si>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</si>
  <si>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</si>
  <si>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</si>
  <si>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</si>
  <si>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</si>
  <si>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</si>
  <si>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</si>
  <si>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</si>
  <si>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</si>
  <si>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</si>
  <si>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</si>
  <si>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</si>
  <si>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</si>
  <si>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</si>
  <si>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</si>
  <si>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</si>
  <si>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</si>
  <si>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</si>
  <si>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</si>
  <si>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</si>
  <si>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</si>
  <si>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</si>
  <si>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</si>
  <si>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</si>
  <si>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</si>
  <si>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</si>
  <si>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</si>
  <si>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</si>
  <si>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</si>
  <si>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</si>
  <si>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</si>
  <si>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</si>
  <si>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</si>
  <si>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</si>
  <si>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</si>
  <si>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</si>
  <si>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</si>
  <si>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</si>
  <si>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</si>
  <si>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</si>
  <si>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</si>
  <si>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</si>
  <si>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</si>
  <si>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</si>
  <si>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</si>
  <si>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</si>
  <si>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</si>
  <si>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</si>
  <si>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</si>
  <si>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</si>
  <si>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</si>
  <si>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</si>
  <si>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</si>
  <si>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</si>
  <si>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</si>
  <si>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</si>
  <si>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</si>
  <si>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</si>
  <si>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</si>
  <si>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</si>
  <si>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</si>
  <si>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</si>
  <si>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</si>
  <si>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</si>
  <si>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</si>
  <si>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</si>
  <si>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</si>
  <si>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</si>
  <si>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</si>
  <si>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</si>
  <si>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</si>
  <si>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</si>
  <si>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</si>
  <si>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</si>
  <si>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</si>
  <si>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</si>
  <si>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</si>
  <si>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</si>
  <si>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</si>
  <si>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</si>
  <si>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</si>
  <si>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</si>
  <si>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</si>
  <si>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</si>
  <si>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</si>
  <si>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</si>
  <si>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</si>
  <si>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</si>
  <si>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</si>
  <si>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</si>
  <si>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</si>
  <si>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</si>
  <si>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</si>
  <si>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</si>
  <si>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</si>
  <si>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</si>
  <si>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</si>
  <si>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</si>
  <si>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</si>
  <si>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</si>
  <si>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</si>
  <si>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</si>
  <si>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</si>
  <si>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</si>
  <si>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</si>
  <si>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</si>
  <si>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</si>
  <si>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</si>
  <si>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</si>
  <si>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</si>
  <si>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</si>
  <si>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</si>
  <si>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</si>
  <si>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</si>
  <si>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</si>
  <si>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</si>
  <si>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</si>
  <si>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</si>
  <si>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</si>
  <si>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</si>
  <si>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</si>
  <si>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</si>
  <si>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</si>
  <si>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</si>
  <si>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</si>
  <si>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</si>
  <si>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</si>
  <si>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</si>
  <si>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</si>
  <si>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</si>
  <si>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</si>
  <si>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</si>
  <si>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</si>
  <si>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</si>
  <si>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</si>
  <si>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</si>
  <si>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</si>
  <si>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</si>
  <si>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</si>
  <si>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</si>
  <si>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</si>
  <si>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</si>
  <si>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</si>
  <si>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</si>
  <si>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</si>
  <si>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</si>
  <si>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</si>
  <si>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</si>
  <si>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</si>
  <si>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</si>
  <si>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</si>
  <si>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</si>
  <si>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</si>
  <si>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</si>
  <si>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</si>
  <si>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</si>
  <si>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</si>
  <si>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</si>
  <si>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</si>
  <si>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</si>
  <si>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</si>
  <si>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</si>
  <si>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</si>
  <si>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</si>
  <si>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</si>
  <si>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</si>
  <si>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</si>
  <si>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</si>
  <si>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</si>
  <si>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</si>
  <si>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</si>
  <si>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</si>
  <si>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</si>
  <si>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</si>
  <si>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</si>
  <si>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</si>
  <si>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</si>
  <si>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</si>
  <si>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</si>
  <si>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</si>
  <si>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</si>
  <si>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</si>
  <si>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</si>
  <si>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</si>
  <si>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</si>
  <si>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</si>
  <si>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</si>
  <si>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</si>
  <si>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</si>
  <si>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</si>
  <si>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</si>
  <si>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</si>
  <si>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</si>
  <si>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</si>
  <si>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</si>
  <si>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</si>
  <si>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</si>
  <si>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</si>
  <si>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</si>
  <si>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</si>
  <si>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</si>
  <si>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</si>
  <si>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</si>
  <si>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</si>
  <si>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</si>
  <si>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</si>
  <si>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</si>
  <si>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</si>
  <si>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</si>
  <si>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</si>
  <si>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</si>
  <si>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</si>
  <si>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</si>
  <si>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</si>
  <si>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</si>
  <si>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</si>
  <si>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</si>
  <si>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</si>
  <si>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</si>
  <si>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</si>
  <si>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</si>
  <si>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</si>
  <si>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</si>
  <si>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</si>
  <si>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</si>
  <si>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</si>
  <si>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</si>
  <si>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</si>
  <si>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</si>
  <si>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</si>
  <si>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</si>
  <si>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</si>
  <si>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</si>
  <si>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</si>
  <si>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</si>
  <si>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</si>
  <si>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</si>
  <si>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</si>
  <si>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</si>
  <si>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</si>
  <si>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</si>
  <si>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</si>
  <si>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</si>
  <si>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</si>
  <si>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</si>
  <si>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</si>
  <si>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</si>
  <si>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</si>
  <si>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</si>
  <si>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</si>
  <si>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</si>
  <si>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</si>
  <si>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</si>
  <si>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</si>
  <si>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</si>
  <si>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</si>
  <si>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</si>
  <si>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</si>
  <si>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</si>
  <si>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</si>
  <si>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</si>
  <si>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</si>
  <si>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</si>
  <si>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</si>
  <si>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</si>
  <si>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</si>
  <si>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</si>
  <si>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</si>
  <si>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</si>
  <si>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</si>
  <si>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</si>
  <si>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</si>
  <si>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</si>
  <si>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</si>
  <si>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</si>
  <si>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</si>
  <si>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</si>
  <si>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</si>
  <si>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</si>
  <si>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</si>
  <si>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</si>
  <si>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</si>
  <si>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</si>
  <si>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</si>
  <si>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</si>
  <si>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</si>
  <si>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</si>
  <si>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</si>
  <si>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</si>
  <si>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</si>
  <si>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</si>
  <si>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</si>
  <si>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</si>
  <si>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</si>
  <si>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</si>
  <si>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</si>
  <si>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</si>
  <si>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</si>
  <si>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</si>
  <si>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</si>
  <si>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</si>
  <si>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</si>
  <si>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</si>
  <si>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</si>
  <si>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</si>
  <si>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</si>
  <si>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</si>
  <si>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</si>
  <si>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</si>
  <si>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</si>
  <si>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</si>
  <si>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</si>
  <si>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</si>
  <si>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</si>
  <si>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</si>
  <si>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</si>
  <si>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</si>
  <si>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</si>
  <si>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</si>
  <si>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</si>
  <si>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</si>
  <si>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</si>
  <si>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</si>
  <si>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</si>
  <si>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</si>
  <si>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</si>
  <si>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</si>
  <si>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</si>
  <si>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</si>
  <si>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</si>
  <si>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</si>
  <si>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</si>
  <si>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</si>
  <si>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</si>
  <si>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</si>
  <si>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</si>
  <si>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</si>
  <si>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</si>
  <si>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</si>
  <si>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</si>
  <si>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</si>
  <si>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</si>
  <si>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</si>
  <si>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</si>
  <si>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</si>
  <si>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</si>
  <si>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</si>
  <si>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</si>
  <si>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</si>
  <si>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</si>
  <si>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</si>
  <si>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</si>
  <si>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</si>
  <si>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</si>
  <si>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</si>
  <si>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</si>
  <si>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</si>
  <si>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</si>
  <si>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</si>
  <si>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</si>
  <si>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</si>
  <si>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</si>
  <si>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</si>
  <si>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</si>
  <si>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</si>
  <si>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</si>
  <si>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</si>
  <si>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</si>
  <si>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</si>
  <si>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</si>
  <si>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</si>
  <si>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</si>
  <si>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</si>
  <si>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</si>
  <si>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</si>
  <si>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</si>
  <si>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</si>
  <si>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</si>
  <si>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</si>
  <si>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</si>
  <si>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</si>
  <si>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</si>
  <si>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</si>
  <si>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</si>
  <si>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</si>
  <si>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</si>
  <si>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</si>
  <si>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</si>
  <si>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</si>
  <si>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</si>
  <si>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</si>
  <si>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</si>
  <si>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</si>
  <si>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</si>
  <si>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</si>
  <si>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</si>
  <si>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</si>
  <si>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</si>
  <si>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</si>
  <si>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</si>
  <si>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</si>
  <si>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</si>
  <si>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</si>
  <si>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</si>
  <si>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</si>
  <si>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</si>
  <si>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</si>
  <si>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</si>
  <si>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</si>
  <si>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</si>
  <si>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</si>
  <si>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</si>
  <si>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</si>
  <si>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</si>
  <si>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</si>
  <si>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</si>
  <si>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</si>
  <si>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</si>
  <si>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</si>
  <si>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</si>
  <si>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</si>
  <si>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</si>
  <si>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</si>
  <si>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</si>
  <si>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</si>
  <si>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</si>
  <si>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</si>
  <si>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</si>
  <si>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</si>
  <si>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</si>
  <si>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</si>
  <si>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</si>
  <si>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</si>
  <si>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</si>
  <si>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</si>
  <si>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</si>
  <si>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</si>
  <si>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</si>
  <si>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</si>
  <si>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</si>
  <si>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</si>
  <si>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</si>
  <si>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</si>
  <si>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</si>
  <si>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</si>
  <si>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</si>
  <si>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</si>
  <si>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</si>
  <si>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</si>
  <si>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</si>
  <si>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</si>
  <si>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</si>
  <si>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</si>
  <si>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</si>
  <si>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</si>
  <si>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</si>
  <si>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</si>
  <si>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</si>
  <si>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</si>
  <si>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</si>
  <si>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</si>
  <si>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</si>
  <si>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</si>
  <si>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</si>
  <si>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</si>
  <si>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</si>
  <si>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</si>
  <si>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</si>
  <si>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</si>
  <si>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</si>
  <si>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</si>
  <si>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</si>
  <si>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</si>
  <si>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</si>
  <si>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</si>
  <si>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</si>
  <si>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</si>
  <si>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</si>
  <si>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</si>
  <si>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</si>
  <si>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</si>
  <si>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</si>
  <si>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</si>
  <si>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</si>
  <si>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</si>
  <si>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</si>
  <si>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</si>
  <si>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</si>
  <si>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</si>
  <si>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</si>
  <si>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</si>
  <si>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</si>
  <si>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</si>
  <si>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</si>
  <si>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</si>
  <si>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</si>
  <si>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</si>
  <si>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</si>
  <si>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</si>
  <si>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</si>
  <si>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</si>
  <si>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</si>
  <si>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</si>
  <si>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</si>
  <si>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</si>
  <si>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</si>
  <si>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</si>
  <si>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</si>
  <si>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</si>
  <si>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</si>
  <si>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</si>
  <si>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</si>
  <si>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</si>
  <si>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</si>
  <si>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</si>
  <si>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</si>
  <si>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</si>
  <si>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</si>
  <si>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</si>
  <si>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</si>
  <si>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</si>
  <si>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</si>
  <si>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</si>
  <si>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</si>
  <si>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</si>
  <si>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</si>
  <si>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</si>
  <si>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</si>
  <si>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</si>
  <si>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</si>
  <si>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</si>
  <si>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</si>
  <si>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</si>
  <si>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</si>
  <si>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</si>
  <si>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</si>
  <si>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</si>
  <si>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</si>
  <si>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</si>
  <si>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</si>
  <si>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</si>
  <si>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</si>
  <si>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</si>
  <si>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</si>
  <si>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</si>
  <si>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</si>
  <si>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</si>
  <si>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</si>
  <si>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</si>
  <si>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</si>
  <si>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</si>
  <si>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</si>
  <si>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</si>
  <si>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</si>
  <si>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</si>
  <si>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</si>
  <si>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</si>
  <si>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</si>
  <si>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</si>
  <si>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</si>
  <si>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</si>
  <si>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</si>
  <si>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</si>
  <si>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</si>
  <si>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</si>
  <si>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</si>
  <si>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</si>
  <si>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</si>
  <si>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</si>
  <si>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</si>
  <si>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</si>
  <si>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</si>
  <si>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</si>
  <si>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</si>
  <si>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</si>
  <si>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</si>
  <si>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</si>
  <si>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</si>
  <si>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</si>
  <si>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</si>
  <si>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</si>
  <si>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</si>
  <si>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</si>
  <si>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</si>
  <si>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</si>
  <si>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</si>
  <si>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</si>
  <si>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</si>
  <si>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</si>
  <si>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</si>
  <si>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</si>
  <si>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</si>
  <si>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</si>
  <si>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</si>
  <si>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</si>
  <si>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</si>
  <si>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</si>
  <si>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</si>
  <si>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</si>
  <si>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</si>
  <si>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</si>
  <si>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</si>
  <si>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</si>
  <si>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</si>
  <si>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</si>
  <si>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</si>
  <si>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</si>
  <si>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</si>
  <si>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</si>
  <si>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</si>
  <si>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</si>
  <si>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</si>
  <si>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</si>
  <si>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</si>
  <si>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</si>
  <si>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</si>
  <si>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</si>
  <si>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</si>
  <si>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</si>
  <si>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</si>
  <si>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</si>
  <si>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</si>
  <si>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</si>
  <si>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</si>
  <si>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</si>
  <si>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</si>
  <si>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</si>
  <si>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</si>
  <si>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</si>
  <si>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</si>
  <si>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</si>
  <si>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</si>
  <si>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</si>
  <si>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</si>
  <si>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</si>
  <si>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</si>
  <si>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</si>
  <si>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</si>
  <si>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</si>
  <si>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</si>
  <si>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</si>
  <si>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</si>
  <si>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</si>
  <si>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</si>
  <si>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</si>
  <si>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</si>
  <si>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</si>
  <si>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</si>
  <si>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</si>
  <si>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</si>
  <si>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</si>
  <si>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</si>
  <si>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</si>
  <si>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</si>
  <si>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</si>
  <si>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</si>
  <si>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</si>
  <si>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</si>
  <si>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</si>
  <si>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</si>
  <si>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</si>
  <si>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</si>
  <si>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</si>
  <si>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</si>
  <si>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</si>
  <si>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</si>
  <si>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</si>
  <si>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</si>
  <si>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</si>
  <si>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</si>
  <si>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</si>
  <si>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</si>
  <si>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</si>
  <si>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</si>
  <si>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</si>
  <si>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</si>
  <si>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</si>
  <si>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</si>
  <si>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</si>
  <si>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</si>
  <si>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</si>
  <si>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</si>
  <si>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</si>
  <si>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</si>
  <si>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</si>
  <si>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</si>
  <si>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</si>
  <si>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</si>
  <si>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</si>
  <si>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</si>
  <si>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</si>
  <si>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</si>
  <si>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</si>
  <si>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</si>
  <si>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</si>
  <si>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</si>
  <si>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</si>
  <si>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</si>
  <si>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</si>
  <si>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</si>
  <si>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</si>
  <si>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</si>
  <si>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</si>
  <si>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</si>
  <si>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</si>
  <si>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</si>
  <si>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</si>
  <si>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</si>
  <si>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</si>
  <si>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</si>
  <si>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</si>
  <si>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</si>
  <si>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</si>
  <si>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</si>
  <si>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</si>
  <si>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</si>
  <si>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</si>
  <si>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</si>
  <si>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</si>
  <si>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</si>
  <si>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</si>
  <si>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</si>
  <si>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</si>
  <si>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</si>
  <si>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</si>
  <si>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</si>
  <si>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</si>
  <si>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</si>
  <si>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</si>
  <si>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</si>
  <si>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</si>
  <si>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</si>
  <si>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</si>
  <si>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</si>
  <si>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</si>
  <si>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</si>
  <si>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</si>
  <si>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</si>
  <si>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</si>
  <si>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</si>
  <si>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</si>
  <si>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</si>
  <si>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</si>
  <si>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</si>
  <si>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</si>
  <si>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</si>
  <si>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</si>
  <si>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</si>
  <si>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</si>
  <si>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</si>
  <si>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</si>
  <si>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</si>
  <si>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</si>
  <si>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</si>
  <si>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</si>
  <si>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</si>
  <si>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</si>
  <si>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</si>
  <si>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</si>
  <si>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</si>
  <si>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</si>
  <si>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</si>
  <si>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</si>
  <si>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</si>
  <si>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</si>
  <si>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</si>
  <si>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</si>
  <si>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</si>
  <si>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</si>
  <si>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</si>
  <si>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</si>
  <si>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</si>
  <si>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</si>
  <si>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</si>
  <si>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</si>
  <si>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</si>
  <si>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</si>
  <si>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</si>
  <si>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</si>
  <si>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</si>
  <si>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</si>
  <si>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</si>
  <si>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</si>
  <si>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</si>
  <si>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</si>
  <si>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</si>
  <si>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</si>
  <si>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</si>
  <si>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</si>
  <si>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</si>
  <si>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</si>
  <si>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</si>
  <si>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</si>
  <si>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</si>
  <si>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</si>
  <si>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</si>
  <si>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</si>
  <si>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</si>
  <si>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</si>
  <si>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</si>
  <si>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</si>
  <si>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</si>
  <si>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</si>
  <si>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</si>
  <si>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</si>
  <si>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</si>
  <si>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</si>
  <si>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</si>
  <si>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</si>
  <si>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</si>
  <si>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</si>
  <si>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</si>
  <si>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</si>
  <si>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</si>
  <si>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</si>
  <si>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</si>
  <si>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</si>
  <si>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</si>
  <si>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</si>
  <si>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</si>
  <si>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</si>
  <si>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</si>
  <si>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</si>
  <si>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</si>
  <si>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</si>
  <si>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</si>
  <si>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</si>
  <si>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</si>
  <si>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</si>
  <si>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</si>
  <si>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</si>
  <si>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</si>
  <si>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</si>
  <si>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</si>
  <si>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</si>
  <si>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</si>
  <si>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</si>
  <si>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</si>
  <si>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</si>
  <si>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</si>
  <si>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</si>
  <si>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</si>
  <si>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</si>
  <si>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</si>
  <si>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</si>
  <si>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</si>
  <si>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</si>
  <si>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</si>
  <si>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</si>
  <si>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</si>
  <si>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</si>
  <si>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</si>
  <si>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</si>
  <si>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</si>
  <si>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</si>
  <si>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</si>
  <si>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</si>
  <si>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</si>
  <si>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</si>
  <si>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</si>
  <si>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</si>
  <si>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</si>
  <si>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</si>
  <si>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</si>
  <si>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</si>
  <si>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</si>
  <si>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</si>
  <si>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</si>
  <si>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</si>
  <si>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</si>
  <si>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</si>
  <si>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</si>
  <si>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</si>
  <si>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</si>
  <si>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</si>
  <si>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</si>
  <si>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</si>
  <si>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</si>
  <si>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</si>
  <si>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</si>
  <si>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</si>
  <si>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</si>
  <si>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</si>
  <si>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</si>
  <si>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</si>
  <si>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</si>
  <si>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</si>
  <si>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</si>
  <si>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</si>
  <si>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</si>
  <si>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</si>
  <si>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</si>
  <si>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</si>
  <si>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</si>
  <si>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</si>
  <si>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</si>
  <si>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</si>
  <si>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</si>
  <si>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</si>
  <si>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</si>
  <si>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</si>
  <si>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</si>
  <si>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</si>
  <si>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</si>
  <si>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</si>
  <si>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</si>
  <si>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</si>
  <si>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</si>
  <si>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</si>
  <si>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</si>
  <si>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</si>
  <si>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</si>
  <si>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</si>
  <si>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</si>
  <si>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</si>
  <si>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</si>
  <si>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</si>
  <si>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</si>
  <si>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</si>
  <si>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</si>
  <si>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</si>
  <si>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</si>
  <si>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</si>
  <si>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</si>
  <si>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</si>
  <si>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</si>
  <si>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</si>
  <si>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</si>
  <si>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</si>
  <si>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</si>
  <si>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</si>
  <si>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</si>
  <si>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</si>
  <si>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</si>
  <si>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</si>
  <si>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</si>
  <si>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</si>
  <si>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</si>
  <si>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</si>
  <si>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</si>
  <si>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</si>
  <si>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</si>
  <si>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</si>
  <si>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</si>
  <si>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</si>
  <si>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</si>
  <si>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</si>
  <si>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</si>
  <si>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</si>
  <si>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</si>
  <si>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</si>
  <si>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</si>
  <si>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</si>
  <si>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</si>
  <si>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</si>
  <si>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</si>
  <si>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</si>
  <si>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</si>
  <si>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</si>
  <si>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</si>
  <si>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</si>
  <si>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</si>
  <si>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</si>
  <si>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</si>
  <si>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</si>
  <si>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</si>
  <si>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</si>
  <si>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</si>
  <si>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</si>
  <si>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</si>
  <si>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</si>
  <si>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</si>
  <si>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</si>
  <si>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</si>
  <si>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</si>
  <si>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</si>
  <si>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</si>
  <si>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</si>
  <si>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</si>
  <si>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</si>
  <si>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</si>
  <si>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</si>
  <si>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</si>
  <si>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</si>
  <si>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</si>
  <si>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</si>
  <si>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</si>
  <si>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</si>
  <si>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</si>
  <si>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</si>
  <si>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</si>
  <si>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</si>
  <si>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</si>
  <si>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</si>
  <si>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</si>
  <si>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</si>
  <si>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</si>
  <si>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</si>
  <si>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</si>
  <si>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</si>
  <si>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</si>
  <si>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</si>
  <si>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</si>
  <si>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</si>
  <si>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</si>
  <si>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</si>
  <si>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</si>
  <si>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</si>
  <si>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</si>
  <si>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</si>
  <si>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</si>
  <si>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</si>
  <si>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</si>
  <si>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</si>
  <si>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</si>
  <si>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</si>
  <si>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</si>
  <si>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</si>
  <si>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</si>
  <si>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</si>
  <si>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</si>
  <si>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</si>
  <si>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</si>
  <si>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</si>
  <si>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</si>
  <si>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</si>
  <si>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</si>
  <si>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</si>
  <si>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</si>
  <si>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</si>
  <si>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</si>
  <si>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</si>
  <si>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</si>
  <si>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</si>
  <si>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</si>
  <si>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</si>
  <si>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</si>
  <si>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</si>
  <si>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</si>
  <si>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</si>
  <si>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</si>
  <si>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</si>
  <si>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</si>
  <si>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</si>
  <si>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</si>
  <si>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</si>
  <si>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</si>
  <si>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</si>
  <si>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</si>
  <si>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</si>
  <si>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</si>
  <si>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</si>
  <si>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</si>
  <si>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</si>
  <si>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</si>
  <si>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</si>
  <si>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</si>
  <si>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</si>
  <si>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</si>
  <si>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</si>
  <si>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</si>
  <si>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</si>
  <si>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</si>
  <si>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</si>
  <si>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</si>
  <si>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</si>
  <si>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</si>
  <si>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</si>
  <si>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</si>
  <si>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</si>
  <si>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</si>
  <si>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</si>
  <si>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</si>
  <si>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</si>
  <si>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</si>
  <si>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</si>
  <si>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</si>
  <si>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</si>
  <si>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</si>
  <si>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</si>
  <si>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</si>
  <si>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</si>
  <si>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</si>
  <si>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</si>
  <si>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</si>
  <si>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</si>
  <si>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</si>
  <si>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</si>
  <si>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</si>
  <si>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</si>
  <si>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</si>
  <si>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</si>
  <si>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</si>
  <si>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</si>
  <si>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</si>
  <si>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</si>
  <si>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</si>
  <si>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</si>
  <si>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</si>
  <si>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</si>
  <si>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</si>
  <si>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</si>
  <si>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</si>
  <si>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</si>
  <si>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</si>
  <si>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</si>
  <si>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</si>
  <si>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</si>
  <si>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</si>
  <si>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</si>
  <si>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</si>
  <si>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</si>
  <si>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</si>
  <si>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</si>
  <si>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</si>
  <si>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</si>
  <si>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</si>
  <si>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</si>
  <si>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</si>
  <si>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</si>
  <si>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</si>
  <si>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</si>
  <si>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</si>
  <si>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</si>
  <si>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</si>
  <si>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</si>
  <si>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</si>
  <si>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</si>
  <si>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</si>
  <si>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</si>
  <si>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</si>
  <si>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</si>
  <si>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</si>
  <si>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</si>
  <si>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</si>
  <si>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</si>
  <si>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</si>
  <si>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</si>
  <si>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</si>
  <si>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</si>
  <si>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</si>
  <si>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</si>
  <si>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</si>
  <si>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</si>
  <si>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</si>
  <si>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</si>
  <si>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</si>
  <si>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</si>
  <si>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</si>
  <si>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</si>
  <si>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</si>
  <si>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</si>
  <si>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</si>
  <si>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</si>
  <si>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</si>
  <si>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</si>
  <si>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</si>
  <si>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</si>
  <si>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</si>
  <si>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</si>
  <si>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</si>
  <si>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</si>
  <si>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</si>
  <si>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</si>
  <si>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</si>
  <si>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</si>
  <si>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</si>
  <si>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</si>
  <si>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</si>
  <si>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</si>
  <si>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</si>
  <si>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</si>
  <si>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</si>
  <si>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</si>
  <si>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</si>
  <si>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</si>
  <si>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</si>
  <si>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</si>
  <si>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</si>
  <si>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</si>
  <si>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</si>
  <si>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</si>
  <si>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</si>
  <si>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</si>
  <si>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</si>
  <si>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</si>
  <si>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</si>
  <si>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</si>
  <si>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</si>
  <si>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</si>
  <si>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</si>
  <si>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</si>
  <si>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</si>
  <si>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</si>
  <si>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</si>
  <si>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</si>
  <si>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</si>
  <si>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</si>
  <si>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</si>
  <si>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</si>
  <si>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</si>
  <si>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</si>
  <si>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</si>
  <si>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</si>
  <si>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</si>
  <si>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</si>
  <si>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</si>
  <si>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</si>
  <si>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</si>
  <si>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</si>
  <si>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</si>
  <si>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</si>
  <si>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</si>
  <si>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</si>
  <si>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</si>
  <si>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</si>
  <si>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</si>
  <si>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</si>
  <si>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</si>
  <si>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</si>
  <si>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</si>
  <si>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</si>
  <si>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</si>
  <si>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</si>
  <si>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</si>
  <si>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</si>
  <si>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</si>
  <si>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</si>
  <si>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</si>
  <si>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</si>
  <si>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</si>
  <si>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</si>
  <si>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</si>
  <si>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</si>
  <si>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</si>
  <si>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</si>
  <si>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</si>
  <si>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</si>
  <si>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</si>
  <si>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</si>
  <si>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</si>
  <si>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</si>
  <si>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</si>
  <si>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</si>
  <si>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</si>
  <si>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</si>
  <si>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</si>
  <si>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</si>
  <si>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</si>
  <si>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</si>
  <si>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</si>
  <si>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</si>
  <si>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</si>
  <si>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</si>
  <si>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</si>
  <si>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</si>
  <si>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</si>
  <si>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</si>
  <si>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</si>
  <si>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</si>
  <si>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</si>
  <si>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</si>
  <si>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</si>
  <si>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</si>
  <si>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</si>
  <si>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</si>
  <si>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</si>
  <si>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</si>
  <si>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</si>
  <si>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</si>
  <si>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</si>
  <si>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</si>
  <si>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</si>
  <si>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</si>
  <si>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</si>
  <si>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</si>
  <si>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</si>
  <si>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</si>
  <si>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</si>
  <si>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</si>
  <si>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</si>
  <si>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</si>
  <si>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</si>
  <si>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</si>
  <si>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</si>
  <si>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</si>
  <si>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</si>
  <si>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</si>
  <si>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</si>
  <si>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</si>
  <si>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</si>
  <si>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</si>
  <si>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</si>
  <si>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</si>
  <si>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</si>
  <si>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</si>
  <si>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</si>
  <si>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</si>
  <si>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</si>
  <si>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</si>
  <si>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</si>
  <si>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</si>
  <si>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</si>
  <si>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</si>
  <si>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</si>
  <si>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</si>
  <si>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</si>
  <si>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</si>
  <si>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</si>
  <si>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</si>
  <si>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</si>
  <si>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</si>
  <si>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</si>
  <si>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</si>
  <si>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</si>
  <si>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</si>
  <si>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</si>
  <si>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</si>
  <si>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</si>
  <si>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</si>
  <si>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</si>
  <si>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</si>
  <si>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</si>
  <si>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</si>
  <si>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</si>
  <si>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</si>
  <si>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</si>
  <si>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</si>
  <si>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</si>
  <si>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</si>
  <si>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</si>
  <si>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</si>
  <si>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</si>
  <si>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</si>
  <si>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</si>
  <si>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</si>
  <si>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</si>
  <si>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</si>
  <si>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</si>
  <si>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</si>
  <si>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</si>
  <si>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</si>
  <si>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</si>
  <si>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</si>
  <si>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</si>
  <si>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</si>
  <si>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</si>
  <si>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</si>
  <si>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</si>
  <si>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</si>
  <si>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</si>
  <si>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</si>
  <si>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</si>
  <si>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</si>
  <si>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</si>
  <si>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</si>
  <si>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</si>
  <si>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</si>
  <si>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</si>
  <si>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</si>
  <si>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</si>
  <si>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</si>
  <si>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</si>
  <si>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</si>
  <si>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</si>
  <si>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</si>
  <si>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</si>
  <si>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</si>
  <si>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</si>
  <si>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</si>
  <si>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</si>
  <si>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</si>
  <si>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</si>
  <si>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</si>
  <si>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</si>
  <si>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</si>
  <si>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</si>
  <si>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</si>
  <si>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</si>
  <si>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</si>
  <si>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</si>
  <si>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</si>
  <si>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</si>
  <si>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</si>
  <si>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</si>
  <si>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</si>
  <si>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</si>
  <si>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</si>
  <si>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</si>
  <si>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</si>
  <si>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</si>
  <si>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</si>
  <si>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</si>
  <si>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</si>
  <si>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</si>
  <si>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</si>
  <si>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</si>
  <si>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</si>
  <si>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</si>
  <si>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</si>
  <si>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</si>
  <si>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</si>
  <si>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</si>
  <si>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</si>
  <si>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</si>
  <si>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</si>
  <si>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</si>
  <si>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</si>
  <si>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</si>
  <si>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</si>
  <si>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</si>
  <si>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</si>
  <si>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</si>
  <si>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</si>
  <si>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</si>
  <si>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</si>
  <si>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</si>
  <si>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</si>
  <si>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</si>
  <si>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</si>
  <si>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</si>
  <si>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</si>
  <si>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</si>
  <si>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</si>
  <si>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</si>
  <si>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</si>
  <si>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</si>
  <si>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</si>
  <si>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</si>
  <si>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</si>
  <si>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</si>
  <si>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</si>
  <si>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</si>
  <si>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</si>
  <si>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</si>
  <si>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</si>
  <si>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</si>
  <si>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</si>
  <si>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</si>
  <si>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</si>
  <si>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</si>
  <si>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</si>
  <si>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</si>
  <si>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</si>
  <si>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</si>
  <si>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</si>
  <si>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</si>
  <si>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</si>
  <si>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</si>
  <si>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</si>
  <si>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</si>
  <si>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</si>
  <si>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</si>
  <si>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</si>
  <si>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</si>
  <si>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</si>
  <si>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</si>
  <si>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</si>
  <si>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</si>
  <si>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</si>
  <si>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</si>
  <si>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</si>
  <si>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</si>
  <si>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</si>
  <si>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</si>
  <si>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</si>
  <si>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</si>
  <si>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</si>
  <si>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</si>
  <si>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</si>
  <si>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</si>
  <si>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</si>
  <si>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</si>
  <si>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</si>
  <si>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</si>
  <si>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</si>
  <si>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</si>
  <si>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</si>
  <si>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</si>
  <si>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</si>
  <si>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</si>
  <si>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</si>
  <si>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</si>
  <si>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</si>
  <si>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</si>
  <si>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</si>
  <si>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</si>
  <si>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</si>
  <si>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</si>
  <si>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</si>
  <si>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</si>
  <si>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</si>
  <si>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</si>
  <si>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</si>
  <si>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</si>
  <si>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</si>
  <si>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</si>
  <si>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</si>
  <si>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</si>
  <si>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</si>
  <si>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</si>
  <si>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</si>
  <si>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</si>
  <si>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</si>
  <si>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</si>
  <si>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</si>
  <si>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</si>
  <si>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</si>
  <si>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</si>
  <si>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</si>
  <si>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</si>
  <si>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</si>
  <si>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</si>
  <si>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</si>
  <si>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</si>
  <si>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</si>
  <si>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</si>
  <si>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</si>
  <si>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</si>
  <si>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</si>
  <si>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</si>
  <si>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</si>
  <si>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</si>
  <si>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</si>
  <si>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</si>
  <si>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</si>
  <si>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</si>
  <si>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</si>
  <si>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</si>
  <si>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</si>
  <si>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</si>
  <si>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</si>
  <si>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</si>
  <si>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</si>
  <si>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</si>
  <si>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</si>
  <si>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</si>
  <si>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</si>
  <si>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</si>
  <si>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</si>
  <si>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</si>
  <si>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</si>
  <si>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</si>
  <si>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</si>
  <si>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</si>
  <si>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</si>
  <si>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</si>
  <si>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</si>
  <si>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</si>
  <si>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</si>
  <si>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</si>
  <si>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</si>
  <si>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</si>
  <si>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</si>
  <si>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</si>
  <si>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</si>
  <si>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</si>
  <si>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</si>
  <si>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</si>
  <si>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</si>
  <si>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</si>
  <si>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</si>
  <si>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</si>
  <si>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</si>
  <si>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</si>
  <si>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</si>
  <si>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</si>
  <si>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</si>
  <si>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</si>
  <si>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</si>
  <si>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</si>
  <si>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</si>
  <si>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</si>
  <si>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</si>
  <si>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</si>
  <si>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</si>
  <si>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</si>
  <si>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</si>
  <si>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</si>
  <si>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</si>
  <si>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</si>
  <si>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</si>
  <si>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</si>
  <si>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</si>
  <si>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</si>
  <si>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</si>
  <si>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</si>
  <si>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</si>
  <si>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</si>
  <si>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</si>
  <si>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</si>
  <si>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</si>
  <si>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</si>
  <si>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</si>
  <si>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</si>
  <si>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</si>
  <si>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</si>
  <si>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</si>
  <si>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</si>
  <si>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</si>
  <si>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</si>
  <si>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</si>
  <si>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</si>
  <si>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</si>
  <si>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</si>
  <si>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</si>
  <si>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</si>
  <si>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</si>
  <si>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</si>
  <si>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</si>
  <si>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</si>
  <si>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</si>
  <si>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</si>
  <si>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</si>
  <si>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</si>
  <si>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</si>
  <si>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</si>
  <si>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</si>
  <si>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</si>
  <si>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</si>
  <si>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</si>
  <si>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</si>
  <si>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</si>
  <si>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</si>
  <si>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</si>
  <si>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</si>
  <si>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</si>
  <si>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</si>
  <si>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</si>
  <si>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</si>
  <si>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</si>
  <si>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</si>
  <si>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</si>
  <si>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</si>
  <si>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</si>
  <si>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</si>
  <si>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</si>
  <si>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</si>
  <si>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</si>
  <si>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</si>
  <si>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</si>
  <si>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</si>
  <si>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</si>
  <si>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</si>
  <si>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</si>
  <si>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</si>
  <si>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</si>
  <si>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</si>
  <si>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</si>
  <si>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</si>
  <si>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</si>
  <si>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</si>
  <si>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</si>
  <si>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</si>
  <si>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</si>
  <si>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</si>
  <si>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</si>
  <si>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</si>
  <si>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</si>
  <si>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</si>
  <si>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</si>
  <si>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</si>
  <si>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</si>
  <si>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</si>
  <si>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</si>
  <si>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</si>
  <si>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</si>
  <si>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</si>
  <si>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</si>
  <si>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</si>
  <si>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</si>
  <si>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</si>
  <si>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</si>
  <si>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</si>
  <si>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</si>
  <si>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</si>
  <si>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</si>
  <si>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</si>
  <si>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</si>
  <si>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</si>
  <si>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</si>
  <si>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</si>
  <si>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</si>
  <si>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</si>
  <si>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</si>
  <si>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</si>
  <si>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</si>
  <si>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</si>
  <si>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</si>
  <si>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</si>
  <si>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</si>
  <si>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</si>
  <si>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</si>
  <si>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</si>
  <si>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</si>
  <si>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</si>
  <si>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</si>
  <si>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</si>
  <si>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</si>
  <si>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</si>
  <si>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</si>
  <si>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</si>
  <si>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</si>
  <si>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</si>
  <si>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</si>
  <si>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</si>
  <si>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</si>
  <si>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</si>
  <si>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</si>
  <si>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</si>
  <si>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</si>
  <si>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</si>
  <si>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</si>
  <si>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</si>
  <si>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</si>
  <si>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</si>
  <si>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</si>
  <si>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</si>
  <si>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</si>
  <si>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</si>
  <si>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</si>
  <si>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</si>
  <si>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</si>
  <si>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</si>
  <si>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</si>
  <si>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</si>
  <si>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</si>
  <si>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</si>
  <si>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</si>
  <si>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</si>
  <si>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</si>
  <si>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</si>
  <si>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</si>
  <si>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</si>
  <si>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</si>
  <si>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</si>
  <si>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</si>
  <si>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</si>
  <si>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</si>
  <si>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</si>
  <si>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</si>
  <si>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</si>
  <si>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</si>
  <si>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</si>
  <si>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</si>
  <si>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</si>
  <si>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</si>
  <si>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</si>
  <si>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</si>
  <si>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</si>
  <si>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</si>
  <si>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</si>
  <si>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</si>
  <si>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</si>
  <si>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</si>
  <si>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</si>
  <si>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</si>
  <si>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</si>
  <si>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</si>
  <si>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</si>
  <si>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</si>
  <si>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</si>
  <si>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</si>
  <si>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</si>
  <si>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</si>
  <si>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</si>
  <si>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</si>
  <si>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</si>
  <si>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</si>
  <si>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</si>
  <si>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</si>
  <si>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</si>
  <si>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</si>
  <si>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</si>
  <si>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</si>
  <si>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</si>
  <si>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</si>
  <si>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</si>
  <si>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</si>
  <si>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</si>
  <si>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</si>
  <si>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</si>
  <si>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</si>
  <si>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</si>
  <si>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</si>
  <si>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</si>
  <si>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</si>
  <si>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</si>
  <si>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</si>
  <si>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</si>
  <si>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</si>
  <si>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</si>
  <si>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</si>
  <si>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</si>
  <si>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</si>
  <si>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</si>
  <si>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</si>
  <si>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</si>
  <si>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</si>
  <si>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</si>
  <si>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</si>
  <si>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</si>
  <si>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</si>
  <si>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</si>
  <si>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</si>
  <si>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</si>
  <si>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</si>
  <si>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</si>
  <si>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</si>
  <si>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</si>
  <si>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</si>
  <si>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</si>
  <si>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</si>
  <si>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</si>
  <si>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</si>
  <si>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</si>
  <si>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</si>
  <si>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</si>
  <si>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</si>
  <si>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</si>
  <si>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</si>
  <si>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</si>
  <si>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</si>
  <si>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</si>
  <si>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</si>
  <si>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</si>
  <si>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</si>
  <si>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</si>
  <si>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</si>
  <si>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</si>
  <si>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</si>
  <si>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</si>
  <si>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</si>
  <si>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</si>
  <si>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</si>
  <si>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</si>
  <si>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</si>
  <si>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</si>
  <si>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</si>
  <si>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</si>
  <si>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</si>
  <si>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</si>
  <si>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</si>
  <si>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</si>
  <si>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</si>
  <si>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</si>
  <si>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</si>
  <si>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</si>
  <si>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</si>
  <si>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</si>
  <si>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</si>
  <si>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</si>
  <si>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</si>
  <si>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</si>
  <si>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</si>
  <si>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</si>
  <si>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</si>
  <si>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</si>
  <si>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</si>
  <si>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</si>
  <si>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</si>
  <si>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</si>
  <si>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</si>
  <si>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</si>
  <si>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</si>
  <si>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</si>
  <si>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</si>
  <si>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</si>
  <si>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</si>
  <si>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</si>
  <si>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</si>
  <si>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</si>
  <si>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</si>
  <si>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</si>
  <si>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</si>
  <si>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</si>
  <si>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</si>
  <si>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</si>
  <si>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</si>
  <si>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</si>
  <si>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</si>
  <si>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</si>
  <si>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</si>
  <si>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</si>
  <si>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</si>
  <si>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</si>
  <si>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</si>
  <si>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</si>
  <si>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</si>
  <si>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</si>
  <si>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</si>
  <si>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</si>
  <si>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</si>
  <si>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</si>
  <si>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</si>
  <si>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</si>
  <si>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</si>
  <si>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</si>
  <si>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</si>
  <si>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</si>
  <si>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</si>
  <si>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</si>
  <si>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</si>
  <si>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</si>
  <si>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</si>
  <si>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</si>
  <si>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</si>
  <si>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</si>
  <si>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</si>
  <si>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</si>
  <si>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</si>
  <si>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</si>
  <si>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</si>
  <si>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</si>
  <si>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</si>
  <si>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</si>
  <si>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</si>
  <si>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</si>
  <si>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</si>
  <si>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</si>
  <si>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</si>
  <si>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</si>
  <si>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</si>
  <si>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</si>
  <si>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</si>
  <si>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</si>
  <si>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</si>
  <si>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</si>
  <si>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</si>
  <si>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</si>
  <si>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</si>
  <si>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</si>
  <si>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</si>
  <si>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</si>
  <si>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</si>
  <si>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</si>
  <si>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</si>
  <si>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</si>
  <si>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</si>
  <si>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</si>
  <si>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</si>
  <si>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</si>
  <si>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</si>
  <si>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</si>
  <si>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</si>
  <si>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</si>
  <si>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</si>
  <si>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</si>
  <si>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</si>
  <si>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</si>
  <si>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</si>
  <si>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</si>
  <si>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</si>
  <si>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</si>
  <si>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</si>
  <si>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</si>
  <si>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</si>
  <si>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</si>
  <si>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</si>
  <si>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</si>
  <si>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</si>
  <si>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</si>
  <si>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</si>
  <si>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</si>
  <si>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</si>
  <si>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</si>
  <si>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</si>
  <si>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</si>
  <si>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</si>
  <si>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</si>
  <si>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</si>
  <si>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</si>
  <si>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</si>
  <si>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</si>
  <si>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</si>
  <si>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</si>
  <si>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</si>
  <si>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</si>
  <si>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</si>
  <si>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</si>
  <si>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</si>
  <si>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</si>
  <si>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</si>
  <si>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</si>
  <si>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</si>
  <si>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</si>
  <si>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</si>
  <si>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</si>
  <si>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</si>
  <si>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</si>
  <si>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</si>
  <si>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</si>
  <si>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</si>
  <si>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</si>
  <si>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</si>
  <si>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</si>
  <si>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</si>
  <si>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</si>
  <si>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</si>
  <si>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</si>
  <si>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</si>
  <si>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</si>
  <si>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</si>
  <si>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</si>
  <si>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</si>
  <si>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</si>
  <si>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</si>
  <si>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</si>
  <si>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</si>
  <si>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</si>
  <si>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</si>
  <si>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</si>
  <si>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</si>
  <si>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</si>
  <si>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</si>
  <si>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</si>
  <si>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</si>
  <si>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</si>
  <si>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</si>
  <si>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</si>
  <si>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</si>
  <si>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</si>
  <si>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</si>
  <si>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</si>
  <si>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</si>
  <si>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</si>
  <si>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</si>
  <si>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</si>
  <si>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</si>
  <si>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</si>
  <si>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</si>
  <si>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</si>
  <si>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</si>
  <si>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</si>
  <si>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</si>
  <si>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</si>
  <si>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</si>
  <si>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</si>
  <si>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</si>
  <si>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</si>
  <si>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</si>
  <si>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</si>
  <si>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</si>
  <si>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</si>
  <si>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</si>
  <si>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</si>
  <si>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</si>
  <si>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</si>
  <si>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</si>
  <si>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</si>
  <si>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</si>
  <si>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</si>
  <si>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</si>
  <si>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</si>
  <si>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</si>
  <si>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</si>
  <si>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</si>
  <si>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</si>
  <si>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</si>
  <si>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</si>
  <si>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</si>
  <si>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</si>
  <si>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</si>
  <si>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</si>
  <si>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</si>
  <si>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</si>
  <si>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</si>
  <si>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</si>
  <si>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</si>
  <si>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</si>
  <si>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</si>
  <si>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</si>
  <si>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</si>
  <si>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</si>
  <si>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</si>
  <si>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</si>
  <si>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</si>
  <si>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</si>
  <si>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</si>
  <si>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</si>
  <si>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</si>
  <si>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</si>
  <si>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</si>
  <si>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</si>
  <si>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</si>
  <si>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</si>
  <si>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</si>
  <si>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</si>
  <si>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</si>
  <si>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</si>
  <si>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</si>
  <si>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</si>
  <si>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</si>
  <si>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</si>
  <si>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</si>
  <si>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</si>
  <si>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</si>
  <si>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</si>
  <si>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</si>
  <si>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</si>
  <si>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</si>
  <si>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</si>
  <si>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</si>
  <si>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</si>
  <si>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</si>
  <si>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</si>
  <si>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</si>
  <si>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</si>
  <si>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</si>
  <si>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</si>
  <si>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</si>
  <si>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</si>
  <si>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</si>
  <si>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</si>
  <si>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</si>
  <si>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</si>
  <si>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</si>
  <si>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</si>
  <si>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</si>
  <si>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</si>
  <si>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</si>
  <si>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</si>
  <si>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</si>
  <si>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</si>
  <si>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</si>
  <si>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</si>
  <si>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</si>
  <si>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</si>
  <si>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</si>
  <si>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</si>
  <si>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</si>
  <si>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</si>
  <si>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</si>
  <si>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</si>
  <si>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</si>
  <si>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</si>
  <si>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</si>
  <si>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</si>
  <si>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</si>
  <si>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</si>
  <si>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</si>
  <si>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</si>
  <si>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</si>
  <si>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</si>
  <si>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</si>
  <si>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</si>
  <si>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</si>
  <si>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</si>
  <si>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</si>
  <si>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</si>
  <si>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</si>
  <si>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</si>
  <si>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</si>
  <si>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</si>
  <si>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</si>
  <si>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</si>
  <si>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</si>
  <si>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</si>
  <si>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</si>
  <si>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</si>
  <si>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</si>
  <si>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</si>
  <si>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</si>
  <si>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</si>
  <si>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</si>
  <si>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</si>
  <si>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</si>
  <si>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</si>
  <si>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</si>
  <si>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</si>
  <si>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</si>
  <si>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</si>
  <si>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</si>
  <si>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</si>
  <si>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</si>
  <si>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</si>
  <si>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</si>
  <si>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</si>
  <si>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</si>
  <si>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</si>
  <si>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</si>
  <si>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</si>
  <si>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</si>
  <si>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</si>
  <si>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</si>
  <si>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</si>
  <si>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</si>
  <si>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</si>
  <si>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</si>
  <si>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</si>
  <si>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</si>
  <si>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</si>
  <si>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</si>
  <si>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</si>
  <si>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</si>
  <si>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</si>
  <si>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</si>
  <si>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</si>
  <si>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</si>
  <si>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</si>
  <si>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</si>
  <si>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</si>
  <si>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</si>
  <si>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</si>
  <si>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</si>
  <si>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</si>
  <si>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</si>
  <si>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</si>
  <si>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</si>
  <si>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</si>
  <si>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</si>
  <si>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</si>
  <si>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</si>
  <si>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</si>
  <si>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</si>
  <si>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</si>
  <si>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</si>
  <si>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</si>
  <si>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</si>
  <si>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</si>
  <si>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</si>
  <si>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</si>
  <si>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</si>
  <si>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</si>
  <si>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</si>
  <si>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</si>
  <si>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</si>
  <si>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</si>
  <si>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</si>
  <si>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</si>
  <si>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</si>
  <si>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</si>
  <si>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</si>
  <si>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</si>
  <si>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</si>
  <si>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</si>
  <si>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</si>
  <si>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</si>
  <si>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</si>
  <si>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</si>
  <si>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</si>
  <si>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</si>
  <si>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</si>
  <si>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</si>
  <si>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</si>
  <si>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</si>
  <si>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</si>
  <si>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</si>
  <si>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</si>
  <si>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</si>
  <si>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</si>
  <si>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</si>
  <si>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</si>
  <si>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</si>
  <si>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</si>
  <si>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</si>
  <si>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</si>
  <si>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</si>
  <si>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</si>
  <si>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</si>
  <si>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</si>
  <si>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</si>
  <si>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</si>
  <si>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</si>
  <si>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</si>
  <si>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</si>
  <si>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</si>
  <si>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</si>
  <si>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</si>
  <si>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</si>
  <si>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</si>
  <si>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</si>
  <si>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</si>
  <si>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</si>
  <si>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</si>
  <si>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</si>
  <si>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</si>
  <si>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</si>
  <si>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</si>
  <si>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</si>
  <si>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</si>
  <si>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</si>
  <si>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</si>
  <si>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</si>
  <si>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</si>
  <si>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</si>
  <si>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</si>
  <si>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</si>
  <si>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</si>
  <si>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</si>
  <si>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</si>
  <si>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</si>
  <si>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</si>
  <si>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</si>
  <si>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</si>
  <si>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</si>
  <si>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</si>
  <si>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</si>
  <si>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</si>
  <si>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</si>
  <si>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</si>
  <si>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</si>
  <si>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</si>
  <si>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</si>
  <si>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</si>
  <si>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</si>
  <si>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</si>
  <si>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</si>
  <si>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</si>
  <si>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</si>
  <si>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</si>
  <si>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</si>
  <si>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</si>
  <si>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</si>
  <si>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</si>
  <si>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</si>
  <si>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</si>
  <si>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</si>
  <si>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</si>
  <si>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</si>
  <si>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</si>
  <si>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</si>
  <si>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</si>
  <si>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</si>
  <si>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</si>
  <si>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</si>
  <si>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</si>
  <si>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</si>
  <si>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</si>
  <si>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</si>
  <si>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</si>
  <si>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</si>
  <si>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</si>
  <si>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</si>
  <si>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</si>
  <si>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</si>
  <si>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</si>
  <si>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</si>
  <si>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</si>
  <si>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</si>
  <si>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</si>
  <si>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</si>
  <si>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</si>
  <si>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</si>
  <si>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</si>
  <si>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</si>
  <si>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</si>
  <si>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</si>
  <si>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</si>
  <si>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</si>
  <si>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</si>
  <si>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</si>
  <si>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</si>
  <si>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</si>
  <si>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</si>
  <si>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</si>
  <si>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</si>
  <si>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</si>
  <si>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</si>
  <si>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</si>
  <si>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</si>
  <si>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</si>
  <si>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</si>
  <si>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</si>
  <si>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</si>
  <si>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</si>
  <si>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</si>
  <si>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</si>
  <si>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</si>
  <si>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</si>
  <si>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</si>
  <si>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</si>
  <si>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</si>
  <si>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</si>
  <si>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</si>
  <si>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</si>
  <si>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</si>
  <si>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</si>
  <si>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</si>
  <si>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</si>
  <si>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</si>
  <si>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</si>
  <si>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</si>
  <si>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</si>
  <si>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</si>
  <si>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</si>
  <si>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</si>
  <si>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</si>
  <si>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</si>
  <si>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</si>
  <si>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</si>
  <si>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</si>
  <si>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</si>
  <si>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</si>
  <si>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</si>
  <si>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</si>
  <si>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</si>
  <si>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</si>
  <si>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</si>
  <si>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</si>
  <si>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</si>
  <si>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</si>
  <si>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</si>
  <si>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</si>
  <si>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</si>
  <si>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</si>
  <si>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</si>
  <si>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</si>
  <si>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</si>
  <si>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</si>
  <si>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</si>
  <si>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</si>
  <si>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</si>
  <si>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</si>
  <si>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</si>
  <si>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</si>
  <si>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</si>
  <si>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</si>
  <si>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</si>
  <si>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</si>
  <si>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</si>
  <si>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</si>
  <si>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</si>
  <si>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</si>
  <si>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</si>
  <si>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</si>
  <si>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</si>
  <si>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</si>
  <si>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</si>
  <si>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</si>
  <si>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</si>
  <si>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</si>
  <si>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</si>
  <si>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</si>
  <si>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</si>
  <si>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</si>
  <si>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</si>
  <si>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</si>
  <si>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</si>
  <si>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</si>
  <si>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</si>
  <si>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</si>
  <si>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</si>
  <si>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</si>
  <si>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</si>
  <si>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</si>
  <si>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</si>
  <si>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</si>
  <si>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</si>
  <si>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</si>
  <si>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</si>
  <si>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</si>
  <si>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</si>
  <si>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</si>
  <si>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</si>
  <si>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</si>
  <si>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</si>
  <si>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</si>
  <si>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</si>
  <si>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</si>
  <si>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</si>
  <si>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</si>
  <si>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</si>
  <si>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</si>
  <si>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</si>
  <si>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</si>
  <si>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</si>
  <si>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</si>
  <si>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</si>
  <si>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</si>
  <si>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</si>
  <si>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</si>
  <si>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</si>
  <si>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</si>
  <si>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</si>
  <si>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</si>
  <si>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</si>
  <si>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</si>
  <si>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</si>
  <si>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</si>
  <si>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</si>
  <si>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</si>
  <si>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</si>
  <si>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</si>
  <si>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</si>
  <si>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</si>
  <si>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</si>
  <si>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</si>
  <si>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</si>
  <si>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</si>
  <si>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</si>
  <si>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</si>
  <si>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</si>
  <si>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</si>
  <si>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</si>
  <si>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</si>
  <si>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</si>
  <si>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</si>
  <si>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</si>
  <si>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</si>
  <si>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</si>
  <si>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</si>
  <si>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</si>
  <si>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</si>
  <si>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</si>
  <si>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</si>
  <si>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</si>
  <si>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</si>
  <si>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</si>
  <si>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</si>
  <si>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</si>
  <si>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</si>
  <si>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</si>
  <si>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</si>
  <si>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</si>
  <si>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</si>
  <si>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</si>
  <si>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</si>
  <si>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</si>
  <si>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</si>
  <si>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</si>
  <si>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</si>
  <si>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</si>
  <si>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</si>
  <si>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</si>
  <si>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</si>
  <si>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</si>
  <si>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</si>
  <si>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</si>
  <si>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</si>
  <si>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</si>
  <si>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</si>
  <si>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</si>
  <si>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</si>
  <si>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</si>
  <si>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</si>
  <si>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</si>
  <si>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</si>
  <si>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</si>
  <si>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</si>
  <si>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</si>
  <si>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</si>
  <si>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</si>
  <si>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</si>
  <si>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</si>
  <si>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</si>
  <si>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</si>
  <si>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</si>
  <si>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</si>
  <si>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</si>
  <si>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</si>
  <si>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</si>
  <si>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</si>
  <si>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</si>
  <si>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</si>
  <si>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</si>
  <si>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</si>
  <si>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</si>
  <si>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</si>
  <si>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</si>
  <si>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</si>
  <si>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</si>
  <si>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</si>
  <si>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</si>
  <si>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</si>
  <si>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</si>
  <si>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</si>
  <si>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</si>
  <si>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</si>
  <si>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</si>
  <si>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</si>
  <si>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</si>
  <si>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</si>
  <si>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</si>
  <si>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</si>
  <si>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</si>
  <si>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</si>
  <si>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</si>
  <si>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</si>
  <si>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</si>
  <si>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</si>
  <si>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</si>
  <si>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</si>
  <si>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</si>
  <si>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</si>
  <si>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</si>
  <si>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</si>
  <si>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</si>
  <si>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</si>
  <si>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</si>
  <si>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</si>
  <si>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</si>
  <si>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</si>
  <si>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</si>
  <si>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</si>
  <si>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</si>
  <si>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</si>
  <si>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</si>
  <si>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</si>
  <si>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</si>
  <si>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</si>
  <si>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</si>
  <si>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</si>
  <si>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</si>
  <si>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</si>
  <si>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</si>
  <si>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</si>
  <si>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</si>
  <si>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</si>
  <si>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</si>
  <si>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</si>
  <si>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</si>
  <si>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</si>
  <si>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</si>
  <si>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</si>
  <si>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</si>
  <si>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</si>
  <si>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</si>
  <si>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</si>
  <si>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</si>
  <si>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</si>
  <si>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</si>
  <si>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</si>
  <si>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</si>
  <si>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</si>
  <si>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</si>
  <si>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</si>
  <si>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</si>
  <si>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</si>
  <si>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</si>
  <si>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</si>
  <si>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</si>
  <si>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</si>
  <si>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</si>
  <si>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</si>
  <si>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</si>
  <si>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</si>
  <si>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</si>
  <si>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</si>
  <si>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</si>
  <si>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</si>
  <si>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</si>
  <si>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</si>
  <si>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</si>
  <si>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</si>
  <si>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</si>
  <si>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</si>
  <si>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</si>
  <si>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</si>
  <si>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</si>
  <si>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</si>
  <si>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</si>
  <si>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</si>
  <si>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</si>
  <si>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</si>
  <si>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</si>
  <si>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</si>
  <si>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</si>
  <si>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</si>
  <si>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</si>
  <si>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</si>
  <si>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</si>
  <si>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</si>
  <si>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</si>
  <si>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</si>
  <si>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</si>
  <si>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</si>
  <si>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</si>
  <si>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</si>
  <si>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</si>
  <si>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</si>
  <si>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</si>
  <si>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</si>
  <si>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</si>
  <si>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</si>
  <si>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</si>
  <si>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</si>
  <si>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</si>
  <si>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</si>
  <si>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</si>
  <si>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</si>
  <si>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</si>
  <si>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</si>
  <si>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</si>
  <si>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</si>
  <si>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</si>
  <si>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</si>
  <si>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</si>
  <si>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</si>
  <si>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</si>
  <si>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</si>
  <si>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</si>
  <si>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</si>
  <si>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</si>
  <si>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</si>
  <si>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</si>
  <si>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</si>
  <si>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</si>
  <si>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</si>
  <si>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</si>
  <si>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</si>
  <si>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</si>
  <si>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</si>
  <si>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</si>
  <si>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</si>
  <si>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</si>
  <si>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</si>
  <si>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</si>
  <si>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</si>
  <si>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</si>
  <si>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</si>
  <si>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</si>
  <si>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</si>
  <si>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</si>
  <si>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</si>
  <si>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</si>
  <si>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</si>
  <si>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</si>
  <si>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</si>
  <si>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</si>
  <si>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</si>
  <si>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</si>
  <si>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</si>
  <si>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</si>
  <si>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</si>
  <si>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</si>
  <si>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</si>
  <si>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</si>
  <si>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</si>
  <si>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</si>
  <si>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</si>
  <si>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</si>
  <si>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</si>
  <si>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</si>
  <si>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</si>
  <si>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</si>
  <si>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</si>
  <si>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</si>
  <si>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</si>
  <si>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</si>
  <si>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</si>
  <si>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</si>
  <si>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</si>
  <si>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</si>
  <si>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</si>
  <si>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</si>
  <si>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</si>
  <si>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</si>
  <si>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</si>
  <si>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</si>
  <si>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</si>
  <si>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</si>
  <si>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</si>
  <si>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</si>
  <si>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</si>
  <si>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</si>
  <si>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</si>
  <si>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</si>
  <si>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</si>
  <si>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</si>
  <si>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</si>
  <si>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</si>
  <si>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</si>
  <si>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</si>
  <si>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</si>
  <si>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</si>
  <si>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</si>
  <si>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</si>
  <si>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</si>
  <si>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</si>
  <si>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</si>
  <si>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</si>
  <si>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</si>
  <si>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</si>
  <si>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</si>
  <si>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</si>
  <si>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</si>
  <si>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</si>
  <si>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</si>
  <si>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</si>
  <si>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</si>
  <si>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</si>
  <si>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</si>
  <si>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</si>
  <si>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</si>
  <si>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</si>
  <si>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</si>
  <si>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</si>
  <si>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</si>
  <si>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</si>
  <si>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</si>
  <si>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</si>
  <si>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</si>
  <si>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</si>
  <si>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</si>
  <si>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</si>
  <si>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</si>
  <si>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</si>
  <si>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</si>
  <si>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</si>
  <si>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</si>
  <si>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</si>
  <si>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</si>
  <si>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</si>
  <si>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</si>
  <si>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</si>
  <si>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</si>
  <si>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</si>
  <si>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</si>
  <si>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</si>
  <si>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</si>
  <si>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</si>
  <si>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</si>
  <si>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</si>
  <si>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</si>
  <si>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</si>
  <si>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</si>
  <si>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</si>
  <si>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</si>
  <si>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</si>
  <si>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</si>
  <si>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</si>
  <si>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</si>
  <si>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</si>
  <si>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</si>
  <si>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</si>
  <si>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</si>
  <si>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</si>
  <si>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</si>
  <si>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</si>
  <si>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</si>
  <si>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</si>
  <si>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</si>
  <si>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</si>
  <si>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</si>
  <si>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</si>
  <si>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</si>
  <si>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</si>
  <si>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</si>
  <si>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</si>
  <si>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</si>
  <si>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</si>
  <si>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</si>
  <si>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</si>
  <si>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</si>
  <si>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</si>
  <si>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</si>
  <si>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</si>
  <si>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</si>
  <si>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</si>
  <si>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</si>
  <si>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</si>
  <si>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</si>
  <si>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</si>
  <si>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</si>
  <si>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</si>
  <si>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</si>
  <si>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</si>
  <si>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</si>
  <si>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</si>
  <si>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</si>
  <si>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</si>
  <si>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</si>
  <si>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</si>
  <si>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</si>
  <si>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</si>
  <si>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</si>
  <si>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</si>
  <si>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</si>
  <si>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</si>
  <si>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</si>
  <si>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</si>
  <si>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</si>
  <si>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</si>
  <si>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</si>
  <si>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</si>
  <si>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</si>
  <si>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</si>
  <si>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</si>
  <si>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</si>
  <si>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</si>
  <si>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</si>
  <si>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</si>
  <si>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</si>
  <si>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</si>
  <si>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</si>
  <si>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</si>
  <si>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</si>
  <si>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</si>
  <si>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</si>
  <si>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</si>
  <si>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</si>
  <si>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</si>
  <si>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</si>
  <si>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</si>
  <si>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</si>
  <si>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</si>
  <si>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</si>
  <si>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</si>
  <si>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</si>
  <si>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</si>
  <si>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</si>
  <si>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</si>
  <si>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</si>
  <si>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</si>
  <si>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</si>
  <si>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</si>
  <si>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</si>
  <si>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</si>
  <si>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</si>
  <si>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</si>
  <si>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</si>
  <si>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</si>
  <si>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</si>
  <si>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</si>
  <si>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</si>
  <si>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</si>
  <si>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</si>
  <si>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</si>
  <si>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</si>
  <si>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</si>
  <si>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</si>
  <si>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</si>
  <si>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</si>
  <si>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</si>
  <si>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</si>
  <si>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</si>
  <si>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</si>
  <si>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</si>
  <si>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</si>
  <si>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</si>
  <si>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</si>
  <si>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</si>
  <si>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</si>
  <si>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</si>
  <si>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</si>
  <si>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</si>
  <si>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</si>
  <si>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</si>
  <si>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</si>
  <si>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</si>
  <si>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</si>
  <si>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</si>
  <si>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</si>
  <si>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</si>
  <si>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</si>
  <si>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</si>
  <si>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</si>
  <si>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</si>
  <si>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</si>
  <si>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</si>
  <si>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</si>
  <si>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</si>
  <si>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</si>
  <si>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</si>
  <si>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</si>
  <si>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</si>
  <si>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</si>
  <si>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</si>
  <si>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</si>
  <si>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</si>
  <si>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</si>
  <si>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</si>
  <si>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</si>
  <si>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</si>
  <si>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</si>
  <si>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</si>
  <si>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</si>
  <si>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</si>
  <si>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</si>
  <si>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</si>
  <si>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</si>
  <si>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</si>
  <si>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</si>
  <si>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</si>
  <si>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</si>
  <si>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</si>
  <si>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</si>
  <si>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</si>
  <si>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</si>
  <si>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</si>
  <si>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</si>
  <si>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</si>
  <si>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</si>
  <si>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</si>
  <si>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</si>
  <si>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</si>
  <si>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</si>
  <si>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</si>
  <si>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</si>
  <si>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</si>
  <si>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</si>
  <si>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</si>
  <si>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</si>
  <si>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</si>
  <si>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</si>
  <si>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</si>
  <si>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</si>
  <si>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</si>
  <si>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</si>
  <si>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</si>
  <si>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</si>
  <si>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</si>
  <si>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</si>
  <si>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</si>
  <si>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</si>
  <si>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</si>
  <si>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</si>
  <si>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</si>
  <si>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</si>
  <si>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</si>
  <si>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</si>
  <si>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</si>
  <si>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</si>
  <si>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</si>
  <si>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</si>
  <si>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</si>
  <si>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</si>
  <si>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</si>
  <si>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</si>
  <si>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</si>
  <si>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</si>
  <si>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</si>
  <si>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</si>
  <si>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</si>
  <si>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</si>
  <si>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</si>
  <si>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</si>
  <si>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</si>
  <si>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</si>
  <si>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</si>
  <si>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</si>
  <si>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</si>
  <si>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</si>
  <si>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</si>
  <si>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</si>
  <si>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</si>
  <si>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</si>
  <si>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</si>
  <si>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</si>
  <si>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</si>
  <si>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</si>
  <si>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</si>
  <si>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</si>
  <si>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</si>
  <si>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</si>
  <si>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</si>
  <si>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</si>
  <si>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</si>
  <si>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</si>
  <si>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</si>
  <si>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</si>
  <si>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</si>
  <si>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</si>
  <si>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</si>
  <si>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</si>
  <si>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</si>
  <si>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</si>
  <si>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</si>
  <si>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</si>
  <si>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</si>
  <si>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</si>
  <si>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</si>
  <si>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</si>
  <si>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</si>
  <si>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</si>
  <si>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</si>
  <si>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</si>
  <si>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</si>
  <si>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</si>
  <si>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</si>
  <si>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</si>
  <si>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</si>
  <si>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</si>
  <si>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</si>
  <si>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</si>
  <si>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</si>
  <si>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</si>
  <si>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</si>
  <si>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</si>
  <si>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</si>
  <si>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</si>
  <si>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</si>
  <si>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</si>
  <si>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</si>
  <si>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</si>
  <si>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</si>
  <si>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</si>
  <si>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</si>
  <si>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</si>
  <si>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</si>
  <si>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</si>
  <si>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</si>
  <si>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</si>
  <si>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</si>
  <si>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</si>
  <si>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</si>
  <si>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</si>
  <si>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</si>
  <si>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</si>
  <si>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</si>
  <si>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</si>
  <si>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</si>
  <si>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</si>
  <si>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</si>
  <si>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</si>
  <si>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</si>
  <si>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</si>
  <si>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</si>
  <si>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</si>
  <si>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</si>
  <si>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</si>
  <si>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</si>
  <si>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</si>
  <si>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</si>
  <si>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</si>
  <si>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</si>
  <si>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</si>
  <si>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</si>
  <si>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</si>
  <si>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</si>
  <si>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</si>
  <si>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</si>
  <si>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</si>
  <si>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</si>
  <si>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</si>
  <si>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</si>
  <si>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</si>
  <si>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</si>
  <si>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</si>
  <si>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</si>
  <si>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</si>
  <si>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</si>
  <si>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</si>
  <si>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</si>
  <si>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</si>
  <si>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</si>
  <si>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</si>
  <si>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</si>
  <si>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</si>
  <si>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</si>
  <si>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</si>
  <si>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</si>
  <si>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</si>
  <si>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</si>
  <si>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</si>
  <si>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</si>
  <si>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</si>
  <si>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</si>
  <si>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</si>
  <si>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</si>
  <si>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</si>
  <si>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</si>
  <si>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</si>
  <si>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</si>
  <si>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</si>
  <si>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</si>
  <si>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</si>
  <si>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</si>
  <si>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</si>
  <si>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</si>
  <si>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</si>
  <si>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</si>
  <si>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</si>
  <si>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</si>
  <si>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</si>
  <si>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</si>
  <si>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</si>
  <si>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</si>
  <si>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</si>
  <si>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</si>
  <si>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</si>
  <si>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</si>
  <si>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</si>
  <si>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</si>
  <si>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</si>
  <si>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</si>
  <si>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</si>
  <si>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</si>
  <si>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</si>
  <si>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</si>
  <si>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</si>
  <si>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</si>
  <si>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</si>
  <si>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</si>
  <si>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</si>
  <si>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</si>
  <si>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</si>
  <si>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</si>
  <si>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</si>
  <si>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</si>
  <si>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</si>
  <si>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</si>
  <si>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</si>
  <si>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</si>
  <si>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</si>
  <si>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</si>
  <si>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</si>
  <si>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</si>
  <si>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</si>
  <si>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</si>
  <si>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</si>
  <si>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</si>
  <si>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</si>
  <si>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</si>
  <si>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</si>
  <si>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</si>
  <si>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</si>
  <si>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</si>
  <si>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</si>
  <si>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</si>
  <si>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</si>
  <si>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</si>
  <si>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</si>
  <si>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</si>
  <si>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</si>
  <si>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</si>
  <si>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</si>
  <si>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</si>
  <si>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</si>
  <si>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</si>
  <si>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</si>
  <si>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</si>
  <si>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</si>
  <si>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</si>
  <si>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</si>
  <si>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</si>
  <si>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</si>
  <si>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</si>
  <si>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</si>
  <si>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</si>
  <si>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</si>
  <si>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</si>
  <si>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</si>
  <si>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</si>
  <si>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</si>
  <si>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</si>
  <si>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</si>
  <si>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</si>
  <si>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</si>
  <si>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</si>
  <si>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</si>
  <si>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</si>
  <si>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</si>
  <si>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</si>
  <si>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</si>
  <si>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</si>
  <si>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</si>
  <si>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</si>
  <si>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</si>
  <si>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</si>
  <si>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</si>
  <si>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</si>
  <si>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</si>
  <si>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</si>
  <si>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</si>
  <si>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</si>
  <si>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</si>
  <si>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</si>
  <si>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</si>
  <si>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</si>
  <si>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</si>
  <si>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</si>
  <si>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</si>
  <si>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</si>
  <si>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</si>
  <si>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</si>
  <si>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</si>
  <si>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</si>
  <si>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</si>
  <si>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</si>
  <si>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</si>
  <si>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</si>
  <si>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</si>
  <si>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</si>
  <si>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</si>
  <si>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</si>
  <si>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</si>
  <si>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</si>
  <si>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</si>
  <si>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</si>
  <si>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</si>
  <si>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</si>
  <si>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</si>
  <si>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</si>
  <si>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</si>
  <si>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</si>
  <si>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</si>
  <si>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</si>
  <si>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</si>
  <si>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</si>
  <si>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</si>
  <si>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</si>
  <si>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</si>
  <si>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</si>
  <si>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</si>
  <si>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</si>
  <si>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</si>
  <si>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</si>
  <si>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</si>
  <si>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</si>
  <si>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</si>
  <si>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</si>
  <si>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</si>
  <si>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</si>
  <si>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</si>
  <si>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</si>
  <si>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</si>
  <si>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</si>
  <si>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</si>
  <si>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</si>
  <si>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</si>
  <si>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</si>
  <si>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</si>
  <si>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</si>
  <si>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</si>
  <si>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</si>
  <si>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</si>
  <si>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</si>
  <si>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</si>
  <si>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</si>
  <si>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</si>
  <si>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</si>
  <si>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</si>
  <si>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</si>
  <si>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</si>
  <si>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</si>
  <si>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</si>
  <si>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</si>
  <si>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</si>
  <si>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</si>
  <si>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</si>
  <si>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</si>
  <si>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</si>
  <si>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</si>
  <si>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</si>
  <si>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</si>
  <si>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</si>
  <si>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</si>
  <si>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</si>
  <si>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</si>
  <si>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</si>
  <si>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</si>
  <si>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</si>
  <si>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</si>
  <si>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</si>
  <si>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</si>
  <si>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</si>
  <si>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</si>
  <si>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</si>
  <si>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</si>
  <si>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</si>
  <si>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</si>
  <si>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</si>
  <si>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</si>
  <si>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</si>
  <si>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</si>
  <si>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</si>
  <si>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</si>
  <si>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</si>
  <si>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</si>
  <si>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</si>
  <si>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</si>
  <si>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</si>
  <si>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</si>
  <si>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</si>
  <si>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</si>
  <si>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</si>
  <si>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</si>
  <si>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</si>
  <si>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</si>
  <si>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</si>
  <si>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</si>
  <si>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</si>
  <si>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</si>
  <si>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</si>
  <si>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</si>
  <si>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</si>
  <si>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</si>
  <si>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</si>
  <si>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</si>
  <si>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</si>
  <si>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</si>
  <si>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</si>
  <si>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</si>
  <si>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</si>
  <si>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</si>
  <si>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</si>
  <si>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</si>
  <si>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</si>
  <si>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</si>
  <si>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</si>
  <si>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</si>
  <si>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</si>
  <si>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</si>
  <si>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</si>
  <si>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</si>
  <si>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</si>
  <si>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</si>
  <si>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</si>
  <si>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</si>
  <si>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</si>
  <si>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</si>
  <si>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</si>
  <si>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</si>
  <si>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</si>
  <si>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</si>
  <si>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</si>
  <si>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</si>
  <si>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</si>
  <si>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</si>
  <si>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</si>
  <si>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</si>
  <si>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</si>
  <si>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</si>
  <si>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</si>
  <si>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</si>
  <si>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</si>
  <si>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</si>
  <si>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</si>
  <si>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</si>
  <si>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</si>
  <si>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</si>
  <si>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</si>
  <si>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</si>
  <si>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</si>
  <si>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</si>
  <si>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</si>
  <si>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</si>
  <si>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</si>
  <si>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</si>
  <si>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</si>
  <si>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</si>
  <si>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</si>
  <si>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</si>
  <si>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</si>
  <si>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</si>
  <si>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</si>
  <si>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</si>
  <si>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</si>
  <si>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</si>
  <si>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</si>
  <si>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</si>
  <si>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</si>
  <si>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</si>
  <si>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</si>
  <si>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</si>
  <si>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</si>
  <si>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</si>
  <si>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</si>
  <si>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</si>
  <si>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</si>
  <si>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</si>
  <si>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</si>
  <si>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</si>
  <si>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</si>
  <si>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</si>
  <si>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</si>
  <si>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</si>
  <si>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</si>
  <si>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</si>
  <si>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</si>
  <si>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</si>
  <si>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</si>
  <si>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</si>
  <si>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</si>
  <si>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</si>
  <si>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</si>
  <si>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</si>
  <si>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</si>
  <si>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</si>
  <si>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</si>
  <si>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</si>
  <si>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</si>
  <si>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</si>
  <si>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</si>
  <si>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</si>
  <si>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</si>
  <si>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</si>
  <si>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</si>
  <si>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</si>
  <si>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</si>
  <si>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</si>
  <si>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</si>
  <si>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</si>
  <si>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</si>
  <si>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</si>
  <si>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</si>
  <si>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</si>
  <si>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</si>
  <si>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</si>
  <si>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</si>
  <si>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</si>
  <si>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</si>
  <si>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</si>
  <si>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</si>
  <si>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</si>
  <si>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</si>
  <si>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</si>
  <si>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</si>
  <si>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</si>
  <si>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</si>
  <si>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</si>
  <si>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</si>
  <si>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</si>
  <si>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</si>
  <si>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</si>
  <si>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</si>
  <si>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</si>
  <si>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</si>
  <si>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</si>
  <si>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</si>
  <si>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</si>
  <si>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</si>
  <si>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</si>
  <si>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</si>
  <si>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</si>
  <si>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</si>
  <si>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</si>
  <si>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</si>
  <si>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</si>
  <si>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</si>
  <si>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</si>
  <si>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</si>
  <si>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</si>
  <si>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</si>
  <si>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</si>
  <si>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</si>
  <si>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</si>
  <si>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</si>
  <si>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</si>
  <si>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</si>
  <si>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</si>
  <si>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</si>
  <si>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</si>
  <si>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</si>
  <si>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</si>
  <si>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</si>
  <si>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</si>
  <si>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</si>
  <si>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</si>
  <si>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</si>
  <si>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</si>
  <si>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</si>
  <si>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</si>
  <si>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</si>
  <si>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</si>
  <si>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</si>
  <si>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</si>
  <si>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</si>
  <si>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</si>
  <si>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</si>
  <si>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</si>
  <si>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</si>
  <si>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</si>
  <si>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</si>
  <si>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</si>
  <si>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</si>
  <si>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</si>
  <si>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</si>
  <si>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</si>
  <si>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</si>
  <si>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</si>
  <si>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</si>
  <si>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</si>
  <si>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</si>
  <si>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</si>
  <si>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</si>
  <si>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</si>
  <si>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</si>
  <si>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</si>
  <si>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</si>
  <si>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</si>
  <si>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</si>
  <si>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</si>
  <si>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</si>
  <si>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</si>
  <si>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</si>
  <si>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</si>
  <si>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</si>
  <si>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</si>
  <si>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</si>
  <si>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</si>
  <si>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</si>
  <si>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</si>
  <si>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</si>
  <si>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</si>
  <si>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</si>
  <si>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</si>
  <si>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</si>
  <si>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</si>
  <si>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</si>
  <si>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</si>
  <si>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</si>
  <si>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</si>
  <si>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</si>
  <si>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</si>
  <si>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</si>
  <si>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</si>
  <si>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</si>
  <si>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</si>
  <si>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</si>
  <si>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</si>
  <si>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</si>
  <si>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</si>
  <si>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</si>
  <si>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</si>
  <si>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</si>
  <si>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</si>
  <si>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</si>
  <si>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</si>
  <si>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</si>
  <si>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</si>
  <si>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</si>
  <si>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</si>
  <si>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</si>
  <si>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</si>
  <si>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</si>
  <si>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</si>
  <si>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</si>
  <si>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</si>
  <si>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</si>
  <si>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</si>
  <si>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</si>
  <si>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</si>
  <si>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</si>
  <si>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</si>
  <si>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</si>
  <si>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</si>
  <si>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</si>
  <si>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</si>
  <si>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</si>
  <si>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</si>
  <si>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</si>
  <si>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</si>
  <si>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</si>
  <si>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</si>
  <si>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</si>
  <si>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</si>
  <si>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</si>
  <si>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</si>
  <si>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</si>
  <si>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</si>
  <si>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</si>
  <si>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</si>
  <si>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</si>
  <si>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</si>
  <si>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</si>
  <si>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</si>
  <si>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</si>
  <si>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</si>
  <si>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</si>
  <si>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</si>
  <si>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</si>
  <si>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</si>
  <si>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</si>
  <si>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</si>
  <si>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</si>
  <si>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</si>
  <si>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</si>
  <si>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</si>
  <si>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</si>
  <si>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</si>
  <si>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</si>
  <si>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</si>
  <si>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</si>
  <si>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</si>
  <si>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</si>
  <si>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</si>
  <si>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</si>
  <si>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</si>
  <si>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</si>
  <si>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</si>
  <si>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</si>
  <si>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</si>
  <si>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</si>
  <si>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</si>
  <si>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</si>
  <si>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</si>
  <si>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</si>
  <si>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</si>
  <si>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</si>
  <si>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</si>
  <si>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</si>
  <si>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</si>
  <si>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</si>
  <si>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</si>
  <si>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</si>
  <si>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</si>
  <si>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</si>
  <si>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</si>
  <si>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</si>
  <si>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</si>
  <si>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</si>
  <si>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</si>
  <si>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</si>
  <si>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</si>
  <si>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</si>
  <si>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</si>
  <si>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</si>
  <si>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</si>
  <si>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</si>
  <si>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</si>
  <si>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</si>
  <si>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</si>
  <si>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</si>
  <si>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</si>
  <si>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</si>
  <si>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</si>
  <si>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</si>
  <si>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</si>
  <si>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</si>
  <si>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</si>
  <si>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</si>
  <si>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</si>
  <si>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</si>
  <si>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</si>
  <si>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</si>
  <si>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</si>
  <si>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</si>
  <si>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</si>
  <si>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</si>
  <si>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</si>
  <si>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</si>
  <si>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</si>
  <si>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</si>
  <si>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</si>
  <si>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</si>
  <si>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</si>
  <si>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</si>
  <si>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</si>
  <si>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</si>
  <si>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</si>
  <si>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</si>
  <si>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</si>
  <si>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</si>
  <si>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</si>
  <si>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</si>
  <si>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</si>
  <si>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</si>
  <si>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</si>
  <si>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</si>
  <si>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</si>
  <si>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</si>
  <si>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</si>
  <si>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</si>
  <si>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</si>
  <si>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</si>
  <si>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</si>
  <si>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</si>
  <si>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</si>
  <si>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</si>
  <si>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</si>
  <si>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</si>
  <si>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</si>
  <si>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</si>
  <si>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</si>
  <si>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</si>
  <si>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</si>
  <si>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</si>
  <si>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</si>
  <si>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</si>
  <si>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</si>
  <si>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</si>
  <si>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</si>
  <si>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</si>
  <si>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</si>
  <si>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</si>
  <si>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</si>
  <si>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</si>
  <si>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</si>
  <si>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</si>
  <si>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</si>
  <si>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</si>
  <si>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</si>
  <si>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</si>
  <si>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</si>
  <si>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</si>
  <si>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</si>
  <si>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</si>
  <si>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</si>
  <si>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</si>
  <si>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</si>
  <si>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</si>
  <si>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</si>
  <si>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</si>
  <si>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</si>
  <si>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</si>
  <si>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</si>
  <si>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</si>
  <si>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</si>
  <si>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</si>
  <si>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</si>
  <si>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</si>
  <si>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</si>
  <si>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</si>
  <si>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</si>
  <si>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</si>
  <si>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</si>
  <si>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</si>
  <si>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</si>
  <si>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</si>
  <si>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</si>
  <si>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</si>
  <si>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</si>
  <si>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</si>
  <si>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</si>
  <si>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</si>
  <si>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</si>
  <si>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</si>
  <si>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</si>
  <si>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</si>
  <si>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</si>
  <si>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</si>
  <si>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</si>
  <si>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</si>
  <si>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</si>
  <si>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</si>
  <si>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</si>
  <si>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</si>
  <si>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</si>
  <si>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</si>
  <si>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</si>
  <si>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</si>
  <si>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</si>
  <si>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</si>
  <si>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</si>
  <si>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</si>
  <si>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</si>
  <si>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</si>
  <si>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</si>
  <si>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</si>
  <si>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</si>
  <si>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</si>
  <si>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</si>
  <si>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</si>
  <si>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</si>
  <si>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</si>
  <si>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</si>
  <si>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</si>
  <si>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</si>
  <si>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</si>
  <si>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</si>
  <si>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</si>
  <si>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</si>
  <si>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</si>
  <si>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</si>
  <si>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</si>
  <si>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</si>
  <si>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</si>
  <si>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</si>
  <si>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</si>
  <si>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</si>
  <si>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</si>
  <si>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</si>
  <si>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</si>
  <si>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</si>
  <si>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</si>
  <si>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</si>
  <si>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</si>
  <si>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</si>
  <si>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</si>
  <si>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</si>
  <si>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</si>
  <si>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</si>
  <si>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</si>
  <si>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</si>
  <si>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</si>
  <si>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</si>
  <si>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</si>
  <si>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</si>
  <si>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</si>
  <si>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</si>
  <si>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</si>
  <si>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</si>
  <si>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</si>
  <si>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</si>
  <si>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</si>
  <si>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</si>
  <si>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</si>
  <si>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</si>
  <si>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</si>
  <si>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</si>
  <si>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</si>
  <si>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</si>
  <si>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</si>
  <si>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</si>
  <si>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</si>
  <si>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</si>
  <si>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</si>
  <si>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</si>
  <si>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</si>
  <si>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</si>
  <si>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</si>
  <si>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</si>
  <si>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</si>
  <si>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</si>
  <si>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</si>
  <si>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</si>
  <si>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</si>
  <si>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</si>
  <si>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</si>
  <si>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</si>
  <si>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</si>
  <si>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</si>
  <si>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</si>
  <si>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</si>
  <si>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</si>
  <si>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</si>
  <si>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</si>
  <si>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</si>
  <si>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</si>
  <si>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</si>
  <si>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</si>
  <si>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</si>
  <si>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</si>
  <si>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</si>
  <si>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</si>
  <si>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</si>
  <si>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</si>
  <si>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</si>
  <si>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</si>
  <si>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</si>
  <si>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</si>
  <si>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</si>
  <si>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</si>
  <si>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</si>
  <si>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</si>
  <si>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</si>
  <si>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</si>
  <si>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</si>
  <si>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</si>
  <si>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</si>
  <si>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</si>
  <si>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</si>
  <si>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</si>
  <si>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</si>
  <si>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</si>
  <si>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</si>
  <si>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</si>
  <si>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</si>
  <si>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</si>
  <si>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</si>
  <si>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</si>
  <si>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</si>
  <si>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</si>
  <si>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</si>
  <si>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</si>
  <si>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</si>
  <si>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</si>
  <si>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</si>
  <si>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</si>
  <si>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</si>
  <si>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</si>
  <si>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</si>
  <si>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</si>
  <si>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</si>
  <si>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</si>
  <si>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</si>
  <si>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</si>
  <si>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</si>
  <si>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</si>
  <si>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</si>
  <si>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</si>
  <si>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</si>
  <si>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</si>
  <si>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</si>
  <si>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</si>
  <si>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</si>
  <si>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</si>
  <si>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</si>
  <si>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</si>
  <si>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</si>
  <si>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</si>
  <si>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</si>
  <si>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</si>
  <si>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</si>
  <si>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</si>
  <si>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</si>
  <si>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</si>
  <si>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</si>
  <si>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</si>
  <si>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</si>
  <si>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</si>
  <si>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</si>
  <si>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</si>
  <si>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</si>
  <si>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</si>
  <si>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</si>
  <si>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</si>
  <si>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</si>
  <si>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</si>
  <si>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</si>
  <si>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</si>
  <si>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</si>
  <si>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</si>
  <si>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</si>
  <si>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</si>
  <si>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</si>
  <si>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</si>
  <si>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</si>
  <si>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</si>
  <si>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</si>
  <si>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</si>
  <si>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</si>
  <si>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</si>
  <si>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</si>
  <si>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</si>
  <si>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</si>
  <si>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</si>
  <si>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</si>
  <si>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</si>
  <si>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</si>
  <si>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</si>
  <si>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</si>
  <si>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</si>
  <si>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</si>
  <si>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</si>
  <si>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</si>
  <si>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</si>
  <si>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</si>
  <si>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</si>
  <si>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</si>
  <si>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</si>
  <si>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</si>
  <si>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</si>
  <si>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</si>
  <si>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</si>
  <si>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</si>
  <si>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</si>
  <si>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</si>
  <si>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</si>
  <si>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</si>
  <si>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</si>
  <si>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</si>
  <si>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</si>
  <si>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</si>
  <si>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</si>
  <si>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</si>
  <si>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</si>
  <si>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</si>
  <si>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</si>
  <si>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</si>
  <si>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</si>
  <si>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</si>
  <si>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</si>
  <si>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</si>
  <si>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</si>
  <si>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</si>
  <si>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</si>
  <si>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</si>
  <si>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</si>
  <si>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</si>
  <si>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</si>
  <si>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</si>
  <si>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</si>
  <si>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</si>
  <si>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</si>
  <si>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</si>
  <si>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</si>
  <si>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</si>
  <si>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</si>
  <si>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</si>
  <si>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</si>
  <si>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</si>
  <si>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</si>
  <si>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</si>
  <si>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</si>
  <si>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</si>
  <si>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</si>
  <si>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</si>
  <si>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</si>
  <si>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</si>
  <si>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</si>
  <si>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</si>
  <si>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</si>
  <si>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</si>
  <si>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</si>
  <si>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</si>
  <si>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</si>
  <si>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</si>
  <si>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</si>
  <si>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</si>
  <si>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</si>
  <si>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</si>
  <si>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</si>
  <si>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</si>
  <si>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</si>
  <si>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</si>
  <si>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</si>
  <si>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</si>
  <si>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</si>
  <si>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</si>
  <si>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</si>
  <si>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</si>
  <si>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</si>
  <si>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</si>
  <si>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</si>
  <si>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</si>
  <si>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</si>
  <si>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</si>
  <si>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</si>
  <si>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</si>
  <si>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</si>
  <si>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</si>
  <si>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</si>
  <si>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</si>
  <si>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</si>
  <si>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</si>
  <si>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</si>
  <si>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</si>
  <si>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</si>
  <si>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</si>
  <si>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</si>
  <si>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</si>
  <si>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</si>
  <si>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</si>
  <si>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</si>
  <si>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</si>
  <si>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</si>
  <si>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</si>
  <si>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</si>
  <si>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</si>
  <si>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</si>
  <si>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</si>
  <si>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</si>
  <si>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</si>
  <si>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</si>
  <si>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</si>
  <si>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</si>
  <si>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</si>
  <si>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</si>
  <si>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</si>
  <si>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</si>
  <si>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</si>
  <si>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</si>
  <si>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</si>
  <si>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</si>
  <si>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</si>
  <si>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</si>
  <si>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</si>
  <si>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</si>
  <si>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</si>
  <si>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</si>
  <si>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</si>
  <si>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</si>
  <si>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</si>
  <si>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</si>
  <si>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</si>
  <si>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</si>
  <si>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</si>
  <si>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</si>
  <si>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</si>
  <si>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</si>
  <si>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</si>
  <si>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</si>
  <si>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</si>
  <si>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</si>
  <si>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</si>
  <si>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</si>
  <si>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</si>
  <si>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</si>
  <si>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</si>
  <si>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</si>
  <si>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</si>
  <si>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</si>
  <si>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</si>
  <si>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</si>
  <si>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</si>
  <si>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</si>
  <si>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</si>
  <si>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</si>
  <si>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</si>
  <si>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</si>
  <si>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</si>
  <si>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</si>
  <si>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</si>
  <si>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</si>
  <si>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</si>
  <si>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</si>
  <si>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</si>
  <si>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</si>
  <si>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</si>
  <si>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</si>
  <si>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</si>
  <si>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</si>
  <si>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</si>
  <si>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</si>
  <si>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</si>
  <si>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</si>
  <si>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</si>
  <si>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</si>
  <si>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</si>
  <si>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</si>
  <si>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</si>
  <si>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</si>
  <si>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</si>
  <si>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</si>
  <si>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</si>
  <si>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</si>
  <si>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</si>
  <si>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</si>
  <si>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</si>
  <si>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</si>
  <si>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</si>
  <si>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</si>
  <si>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</si>
  <si>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</si>
  <si>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</si>
  <si>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</si>
  <si>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</si>
  <si>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</si>
  <si>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</si>
  <si>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</si>
  <si>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</si>
  <si>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</si>
  <si>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</si>
  <si>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</si>
  <si>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</si>
  <si>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</si>
  <si>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</si>
  <si>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</si>
  <si>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</si>
  <si>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</si>
  <si>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</si>
  <si>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</si>
  <si>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</si>
  <si>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</si>
  <si>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</si>
  <si>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</si>
  <si>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</si>
  <si>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</si>
  <si>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</si>
  <si>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</si>
  <si>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</si>
  <si>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</si>
  <si>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</si>
  <si>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</si>
  <si>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</si>
  <si>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</si>
  <si>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</si>
  <si>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</si>
  <si>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</si>
  <si>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</si>
  <si>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</si>
  <si>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</si>
  <si>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</si>
  <si>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</si>
  <si>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</si>
  <si>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</si>
  <si>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</si>
  <si>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</si>
  <si>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</si>
  <si>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</si>
  <si>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</si>
  <si>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</si>
  <si>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</si>
  <si>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</si>
  <si>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</si>
  <si>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</si>
  <si>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</si>
  <si>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</si>
  <si>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</si>
  <si>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</si>
  <si>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</si>
  <si>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</si>
  <si>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</si>
  <si>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</si>
  <si>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</si>
  <si>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</si>
  <si>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</si>
  <si>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</si>
  <si>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</si>
  <si>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</si>
  <si>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</si>
  <si>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</si>
  <si>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</si>
  <si>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</si>
  <si>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</si>
  <si>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</si>
  <si>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</si>
  <si>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</si>
  <si>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</si>
  <si>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</si>
  <si>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</si>
  <si>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</si>
  <si>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</si>
  <si>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</si>
  <si>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</si>
  <si>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</si>
  <si>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</si>
  <si>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</si>
  <si>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</si>
  <si>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</si>
  <si>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</si>
  <si>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</si>
  <si>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</si>
  <si>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</si>
  <si>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</si>
  <si>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</si>
  <si>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</si>
  <si>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</si>
  <si>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</si>
  <si>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</si>
  <si>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</si>
  <si>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</si>
  <si>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</si>
  <si>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</si>
  <si>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</si>
  <si>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</si>
  <si>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</si>
  <si>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</si>
  <si>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</si>
  <si>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</si>
  <si>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</si>
  <si>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</si>
  <si>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</si>
  <si>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</si>
  <si>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</si>
  <si>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</si>
  <si>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</si>
  <si>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</si>
  <si>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</si>
  <si>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</si>
  <si>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</si>
  <si>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</si>
  <si>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</si>
  <si>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</si>
  <si>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</si>
  <si>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</si>
  <si>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</si>
  <si>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</si>
  <si>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</si>
  <si>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</si>
  <si>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</si>
  <si>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</si>
  <si>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</si>
  <si>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</si>
  <si>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</si>
  <si>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</si>
  <si>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</si>
  <si>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</si>
  <si>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</si>
  <si>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</si>
  <si>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</si>
  <si>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</si>
  <si>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</si>
  <si>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</si>
  <si>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</si>
  <si>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</si>
  <si>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</si>
  <si>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</si>
  <si>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</si>
  <si>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</si>
  <si>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</si>
  <si>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</si>
  <si>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</si>
  <si>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</si>
  <si>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</si>
  <si>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</si>
  <si>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</si>
  <si>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</si>
  <si>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</si>
  <si>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</si>
  <si>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</si>
  <si>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</si>
  <si>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</si>
  <si>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</si>
  <si>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</si>
  <si>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</si>
  <si>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</si>
  <si>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</si>
  <si>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</si>
  <si>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</si>
  <si>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</si>
  <si>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</si>
  <si>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</si>
  <si>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</si>
  <si>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</si>
  <si>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</si>
  <si>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</si>
  <si>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</si>
  <si>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</si>
  <si>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</si>
  <si>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</si>
  <si>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</si>
  <si>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</si>
  <si>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</si>
  <si>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</si>
  <si>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</si>
  <si>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</si>
  <si>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</si>
  <si>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</si>
  <si>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</si>
  <si>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</si>
  <si>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</si>
  <si>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</si>
  <si>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</si>
  <si>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</si>
  <si>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</si>
  <si>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</si>
  <si>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</si>
  <si>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</si>
  <si>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</si>
  <si>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</si>
  <si>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</si>
  <si>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</si>
  <si>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</si>
  <si>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</si>
  <si>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</si>
  <si>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</si>
  <si>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</si>
  <si>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</si>
  <si>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</si>
  <si>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</si>
  <si>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</si>
  <si>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</si>
  <si>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</si>
  <si>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</si>
  <si>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</si>
  <si>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</si>
  <si>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</si>
  <si>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</si>
  <si>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</si>
  <si>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</si>
  <si>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</si>
  <si>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</si>
  <si>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</si>
  <si>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</si>
  <si>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</si>
  <si>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</si>
  <si>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</si>
  <si>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</si>
  <si>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</si>
  <si>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</si>
  <si>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</si>
  <si>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</si>
  <si>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</si>
  <si>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</si>
  <si>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</si>
  <si>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</si>
  <si>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</si>
  <si>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</si>
  <si>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</si>
  <si>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</si>
  <si>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</si>
  <si>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</si>
  <si>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</si>
  <si>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</si>
  <si>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</si>
  <si>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</si>
  <si>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</si>
  <si>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</si>
  <si>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</si>
  <si>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</si>
  <si>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</si>
  <si>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</si>
  <si>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</si>
  <si>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</si>
  <si>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</si>
  <si>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</si>
  <si>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</si>
  <si>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</si>
  <si>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</si>
  <si>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</si>
  <si>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</si>
  <si>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</si>
  <si>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</si>
  <si>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</si>
  <si>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</si>
  <si>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</si>
  <si>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</si>
  <si>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</si>
  <si>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</si>
  <si>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</si>
  <si>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</si>
  <si>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</si>
  <si>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</si>
  <si>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</si>
  <si>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</si>
  <si>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</si>
  <si>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</si>
  <si>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</si>
  <si>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</si>
  <si>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</si>
  <si>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</si>
  <si>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</si>
  <si>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</si>
  <si>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</si>
  <si>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</si>
  <si>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</si>
  <si>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</si>
  <si>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</si>
  <si>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</si>
  <si>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</si>
  <si>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</si>
  <si>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</si>
  <si>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</si>
  <si>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</si>
  <si>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</si>
  <si>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</si>
  <si>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</si>
  <si>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</si>
  <si>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 xml:space="preserve">                     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</si>
  <si>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</si>
  <si>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</si>
  <si>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</si>
  <si>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</si>
  <si>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</si>
  <si>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</si>
  <si>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</si>
  <si>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</si>
  <si>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</si>
  <si>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</si>
  <si>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</si>
  <si>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</si>
  <si>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</si>
  <si>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</si>
  <si>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</si>
  <si>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</si>
  <si>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</si>
  <si>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</si>
  <si>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</si>
  <si>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</si>
  <si>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</si>
  <si>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</si>
  <si>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</si>
  <si>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</si>
  <si>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</si>
  <si>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</si>
  <si>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</si>
  <si>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</si>
  <si>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</si>
  <si>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</si>
  <si>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</si>
  <si>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</si>
  <si>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</si>
  <si>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</si>
  <si>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</si>
  <si>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</si>
  <si>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</si>
  <si>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</si>
  <si>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</si>
  <si>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</si>
  <si>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</si>
  <si>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</si>
  <si>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</si>
  <si>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</si>
  <si>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</si>
  <si>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</si>
  <si>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</si>
  <si>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</si>
  <si>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</si>
  <si>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</si>
  <si>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</si>
  <si>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</si>
  <si>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</si>
  <si>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</si>
  <si>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</si>
  <si>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</si>
  <si>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</si>
  <si>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</si>
  <si>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</si>
  <si>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</si>
  <si>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</si>
  <si>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</si>
  <si>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</si>
  <si>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</si>
  <si>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</si>
  <si>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</si>
  <si>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</si>
  <si>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</si>
  <si>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</si>
  <si>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</si>
  <si>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</si>
  <si>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</si>
  <si>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</si>
  <si>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</si>
  <si>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</si>
  <si>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</si>
  <si>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</si>
  <si>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</si>
  <si>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</si>
  <si>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</si>
  <si>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</si>
  <si>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</si>
  <si>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</si>
  <si>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</si>
  <si>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</si>
  <si>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</si>
  <si>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</si>
  <si>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</si>
  <si>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</si>
  <si>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</si>
  <si>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</si>
  <si>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</si>
  <si>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</si>
  <si>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</si>
  <si>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</si>
  <si>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</si>
  <si>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</si>
  <si>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</si>
  <si>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</si>
  <si>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</si>
  <si>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</si>
  <si>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</si>
  <si>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</si>
  <si>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</si>
  <si>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</si>
  <si>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</si>
  <si>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</si>
  <si>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</si>
  <si>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</si>
  <si>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</si>
  <si>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</si>
  <si>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</si>
  <si>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</si>
  <si>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</si>
  <si>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</si>
  <si>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</si>
  <si>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</si>
  <si>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</si>
  <si>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</si>
  <si>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</si>
  <si>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</si>
  <si>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</si>
  <si>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</si>
  <si>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</si>
  <si>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</si>
  <si>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</si>
  <si>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</si>
  <si>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</si>
  <si>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</si>
  <si>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</si>
  <si>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</si>
  <si>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</si>
  <si>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</si>
  <si>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</si>
  <si>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</si>
  <si>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</si>
  <si>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</si>
  <si>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</si>
  <si>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</si>
  <si>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</si>
  <si>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</si>
  <si>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</si>
  <si>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</si>
  <si>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</si>
  <si>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</si>
  <si>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</si>
  <si>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</si>
  <si>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</si>
  <si>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</si>
  <si>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</si>
  <si>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</si>
  <si>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</si>
  <si>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</si>
  <si>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</si>
  <si>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</si>
  <si>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</si>
  <si>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</si>
  <si>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</si>
  <si>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</si>
  <si>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</si>
  <si>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</si>
  <si>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</si>
  <si>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</si>
  <si>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</si>
  <si>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</si>
  <si>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</si>
  <si>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</si>
  <si>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</si>
  <si>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</si>
  <si>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</si>
  <si>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</si>
  <si>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</si>
  <si>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</si>
  <si>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</si>
  <si>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</si>
  <si>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</si>
  <si>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</si>
  <si>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</si>
  <si>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</si>
  <si>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</si>
  <si>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</si>
  <si>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</si>
  <si>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</si>
  <si>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</si>
  <si>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</si>
  <si>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</si>
  <si>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</si>
  <si>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</si>
  <si>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</si>
  <si>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</si>
  <si>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towseef</t>
  </si>
  <si>
    <t>608268-006-0416857</t>
  </si>
  <si>
    <t>shaukat baba</t>
  </si>
  <si>
    <t>608268-006-0416858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</si>
</sst>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5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7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05" totalsRowShown="0" headerRowDxfId="86" dataDxfId="85">
  <autoFilter ref="A1:R905" xr:uid="{97E63F84-BDFB-4C38-B1FD-28318E0D1D3F}"/>
  <tableColumns count="18">
    <tableColumn id="1" xr3:uid="{DEBB3640-E433-4779-93BC-95B8FB492623}" name="S.NO" dataDxfId="84">
      <calculatedColumnFormula>ROW()-1</calculatedColumnFormula>
    </tableColumn>
    <tableColumn id="13" xr3:uid="{86C56767-9BFE-4154-9FC1-CEA7C183815E}" name="APPLICATION NO." dataDxfId="83"/>
    <tableColumn id="2" xr3:uid="{6ABB4EDF-0F58-40D7-979C-D37D8D91A6BC}" name="CHASSIS" dataDxfId="82"/>
    <tableColumn id="17" xr3:uid="{0BBF5E4D-B8B0-4055-8D5F-3A6BB4D4A4DA}" name="ENGINE NO." dataDxfId="81"/>
    <tableColumn id="3" xr3:uid="{285CC4F4-4CD1-4FFC-A101-ED051DA40438}" name="NAME" dataDxfId="80"/>
    <tableColumn id="4" xr3:uid="{28DC8B59-EFA0-4502-86B0-033B0B60D615}" name="MODEL" dataDxfId="79"/>
    <tableColumn id="14" xr3:uid="{B25F5A6A-3B72-4772-B75C-D86670F35131}" name="COLOR" dataDxfId="78"/>
    <tableColumn id="15" xr3:uid="{22F5E9AE-FC4E-4EBD-ADBF-5C93F85B331F}" name="RTO" dataDxfId="77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6"/>
    <tableColumn id="6" xr3:uid="{9942893D-0703-456F-8072-CD136C7B4052}" name="DATE OF REG" dataDxfId="75"/>
    <tableColumn id="12" xr3:uid="{CC83ADC7-1924-4CE0-83FB-B2DFBEF7A193}" name="CONTACT" dataDxfId="74"/>
    <tableColumn id="7" xr3:uid="{3AD2B0D9-D7A5-46E0-B596-F6B7F1CDDEA6}" name="DSE" dataDxfId="73"/>
    <tableColumn id="8" xr3:uid="{475221AE-3FDC-4CED-B76C-4DA1DD4F8AD9}" name="RC RECEIVED BY" dataDxfId="72"/>
    <tableColumn id="9" xr3:uid="{F594ED7D-6966-47AC-A5C3-25754B73A3CC}" name="DATE" dataDxfId="71"/>
    <tableColumn id="10" xr3:uid="{452E3ECD-E927-4EC7-A8A2-4A866233750E}" name="FASTTAG" dataDxfId="70"/>
    <tableColumn id="11" xr3:uid="{CFEE5573-D700-4B26-B382-BCA8210C54C2}" name="DATED" dataDxfId="69"/>
    <tableColumn id="16" xr3:uid="{07363D0C-2FBE-403B-A617-BDB5768FAC43}" name="FT STATUS" dataDxfId="68"/>
    <tableColumn id="19" xr3:uid="{9456CF5E-F4D1-41FB-BAEA-332735A8583D}" name="REMARKS" dataDxfId="6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6" dataDxfId="64" headerRowBorderDxfId="65" tableBorderDxfId="63">
  <autoFilter ref="A1:U1475" xr:uid="{D370B51C-D08F-47BE-AAB1-EC19B1CB5D0A}"/>
  <tableColumns count="21">
    <tableColumn id="1" xr3:uid="{F2AB5776-2910-4922-8F7A-A29B241AFBFB}" name="S.NO" dataDxfId="62"/>
    <tableColumn id="2" xr3:uid="{BD6FD91D-E737-4D6A-B00A-D80EC1A61CA8}" name="DATE" dataDxfId="61"/>
    <tableColumn id="3" xr3:uid="{523BFE7D-9361-4DD0-92B3-69A6F8F0C3E9}" name="CUSTOMER NAME" dataDxfId="60"/>
    <tableColumn id="4" xr3:uid="{D470DE80-5E84-419F-ABF9-6269311CD45E}" name="MARUTI" dataDxfId="59"/>
    <tableColumn id="5" xr3:uid="{89C10B6F-C9EE-4AD2-A610-262BFCF29B4E}" name="MODEL OR VARIANT" dataDxfId="58"/>
    <tableColumn id="6" xr3:uid="{9CB69D3E-706F-4EED-A315-D5399BE00D5C}" name="RTO" dataDxfId="57"/>
    <tableColumn id="7" xr3:uid="{2FB81954-C8D6-43B3-92E2-574B07BBFCCB}" name="VEHICLE CLASS" dataDxfId="56"/>
    <tableColumn id="8" xr3:uid="{1892A735-1187-4E6C-8786-9B173567AAD2}" name="REG. NO" dataDxfId="55"/>
    <tableColumn id="9" xr3:uid="{AFB37B1C-50E7-42BE-BC49-27B4D7E4E829}" name="VIN" dataDxfId="54"/>
    <tableColumn id="10" xr3:uid="{A3569458-1056-4E90-B079-94E3430A5743}" name="APPLICATION NO." dataDxfId="53"/>
    <tableColumn id="11" xr3:uid="{E25E7D92-4EC4-485D-93B8-A15B0538604A}" name="RTO AMMOUNT " dataDxfId="52"/>
    <tableColumn id="12" xr3:uid="{DB89535A-8F36-4EF8-B62C-86ABB378F51F}" name="HSRP" dataDxfId="51"/>
    <tableColumn id="13" xr3:uid="{6BD25826-954F-49C4-BE9E-24422B1B85BE}" name="ACCOUNT" dataDxfId="50"/>
    <tableColumn id="14" xr3:uid="{974951AE-D99C-487A-9DB5-065DA8DD25D4}" name="RM NAME" dataDxfId="49"/>
    <tableColumn id="15" xr3:uid="{FA4014CD-BE60-4554-9D6D-C0CC54B2CA05}" name="PAYMENT MODE" dataDxfId="48"/>
    <tableColumn id="16" xr3:uid="{84C48B22-72C9-4BD7-86AD-D8ECD87C3A64}" name="FILE PUNCHED BY" dataDxfId="47"/>
    <tableColumn id="17" xr3:uid="{87E46E14-6F6C-41D4-BBF8-CEAFAFE4CA8F}" name="PAYMENT ID" dataDxfId="46"/>
    <tableColumn id="18" xr3:uid="{0F2CD467-C868-4769-B436-AE2A25413B52}" name="RC STATUS" dataDxfId="45"/>
    <tableColumn id="19" xr3:uid="{0A9FDBF9-6418-4F2B-8B46-BE05C8150A04}" name="RC GIVEN DATE" dataDxfId="44"/>
    <tableColumn id="20" xr3:uid="{3A50F2B6-47D6-4A09-AA43-188FC568EA57}" name="FASTTAG ISSUE" dataDxfId="43"/>
    <tableColumn id="21" xr3:uid="{E4802D5D-D65F-42D3-B57E-E27729185964}" name="FASTTAG ISSUE DATE " dataDxfId="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15" totalsRowShown="0" headerRowDxfId="41" dataDxfId="40">
  <autoFilter ref="A2:I15" xr:uid="{74ED0DA7-B29F-4043-B63E-2DC322D6021E}"/>
  <tableColumns count="9">
    <tableColumn id="1" xr3:uid="{245016D5-DEB3-4F3E-B449-3096C2EF947B}" name="S.No." dataDxfId="39">
      <calculatedColumnFormula>ROW()-2</calculatedColumnFormula>
    </tableColumn>
    <tableColumn id="2" xr3:uid="{77ED4F47-8FDC-4F18-AB35-3830D899313B}" name="Dated" dataDxfId="38"/>
    <tableColumn id="3" xr3:uid="{67393A8B-58A2-4A4E-AA68-362B9B4F4E28}" name="Vehicle Num." dataDxfId="37"/>
    <tableColumn id="4" xr3:uid="{2C031EFD-E44B-468B-BEF0-3C97412F5E2E}" name="Name" dataDxfId="36"/>
    <tableColumn id="5" xr3:uid="{73873638-799E-44F5-B857-93DAE5E0F2FF}" name="Payment Mode" dataDxfId="35"/>
    <tableColumn id="6" xr3:uid="{BFB6E8F7-43C7-4B39-8FF0-E41A5EA5B2D3}" name="Trans Id." dataDxfId="34"/>
    <tableColumn id="8" xr3:uid="{3B1BF0B9-13BC-4A4E-B215-A3056576D199}" name="Trans. Date" dataDxfId="33"/>
    <tableColumn id="9" xr3:uid="{F64CF3FC-8352-46AE-80D1-01DDCE0247AC}" name="Amount" dataDxfId="32"/>
    <tableColumn id="7" xr3:uid="{22AF1F96-D5EA-48BA-A958-A42C203B5287}" name="Remarks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99" totalsRowShown="0" headerRowDxfId="30" dataDxfId="29">
  <autoFilter ref="A2:H599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28"/>
    <tableColumn id="11" xr3:uid="{7AA66E15-5D81-45A6-A480-BC2F7EFDEB4C}" name="Name" dataDxfId="27"/>
    <tableColumn id="10" xr3:uid="{DA1D923C-25B3-4F76-823C-435E6464FF55}" name="Contact" dataDxfId="26"/>
    <tableColumn id="2" xr3:uid="{5FEBD558-5EB7-4421-BA25-DCAC1134B168}" name="Barcode No." dataDxfId="25"/>
    <tableColumn id="12" xr3:uid="{77758C8B-F2C8-47C0-B104-570729F9693B}" name="Reg Num" dataDxfId="24"/>
    <tableColumn id="5" xr3:uid="{9AC97A3F-3009-4A59-ACCF-A178780E6F61}" name="Date" dataDxfId="23"/>
    <tableColumn id="7" xr3:uid="{82C8F4C5-8489-4228-83CC-0B9666328CDD}" name="CHANNEL" dataDxfId="22"/>
    <tableColumn id="8" xr3:uid="{DDF1FC61-A0D6-46E9-9515-6DDC5AB1E932}" name="Status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073"/>
  <sheetViews>
    <sheetView topLeftCell="A889" zoomScale="96" zoomScaleNormal="96" workbookViewId="0">
      <selection activeCell="B896" sqref="B89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50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>
        <v>7006805473</v>
      </c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6553</v>
      </c>
      <c r="C82" s="21" t="s">
        <v>6556</v>
      </c>
      <c r="D82" s="21"/>
      <c r="E82" s="21" t="s">
        <v>6557</v>
      </c>
      <c r="F82" s="21" t="s">
        <v>98</v>
      </c>
      <c r="G82" s="21" t="s">
        <v>197</v>
      </c>
      <c r="H82" s="21" t="str">
        <f t="shared" si="3"/>
        <v>SHOPIAN</v>
      </c>
      <c r="I82" s="21" t="s">
        <v>6560</v>
      </c>
      <c r="J82" s="22">
        <v>45981</v>
      </c>
      <c r="K82" s="21">
        <v>9906463872</v>
      </c>
      <c r="L82" s="21" t="s">
        <v>6564</v>
      </c>
      <c r="M82" s="23" t="s">
        <v>7605</v>
      </c>
      <c r="N82" s="22">
        <v>45990</v>
      </c>
      <c r="O82" s="21" t="s">
        <v>23</v>
      </c>
      <c r="P82" s="24">
        <v>45990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10668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10667</v>
      </c>
      <c r="J95" s="22">
        <v>45979</v>
      </c>
      <c r="K95" s="21">
        <v>9419687942</v>
      </c>
      <c r="L95" s="21" t="s">
        <v>47</v>
      </c>
      <c r="M95" s="23" t="s">
        <v>10868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6575</v>
      </c>
      <c r="C106" s="21" t="s">
        <v>6572</v>
      </c>
      <c r="D106" s="21" t="s">
        <v>6703</v>
      </c>
      <c r="E106" s="21" t="s">
        <v>6573</v>
      </c>
      <c r="F106" s="21" t="s">
        <v>116</v>
      </c>
      <c r="G106" s="21" t="s">
        <v>172</v>
      </c>
      <c r="H106" s="21" t="str">
        <f t="shared" si="3"/>
        <v>PULWAMA</v>
      </c>
      <c r="I106" s="21" t="s">
        <v>6577</v>
      </c>
      <c r="J106" s="22">
        <v>45982</v>
      </c>
      <c r="K106" s="21">
        <v>8825052137</v>
      </c>
      <c r="L106" s="21" t="s">
        <v>6574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6588</v>
      </c>
      <c r="C109" s="21" t="s">
        <v>6590</v>
      </c>
      <c r="D109" s="21"/>
      <c r="E109" s="21" t="s">
        <v>6589</v>
      </c>
      <c r="F109" s="21" t="s">
        <v>12</v>
      </c>
      <c r="G109" s="21" t="s">
        <v>171</v>
      </c>
      <c r="H109" s="21" t="str">
        <f t="shared" si="3"/>
        <v>SHOPIAN</v>
      </c>
      <c r="I109" s="21" t="s">
        <v>6595</v>
      </c>
      <c r="J109" s="22">
        <v>45983</v>
      </c>
      <c r="K109" s="21">
        <v>7006164327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6587</v>
      </c>
      <c r="C113" s="21" t="s">
        <v>6592</v>
      </c>
      <c r="D113" s="21"/>
      <c r="E113" s="21" t="s">
        <v>6215</v>
      </c>
      <c r="F113" s="21" t="s">
        <v>6591</v>
      </c>
      <c r="G113" s="21" t="s">
        <v>197</v>
      </c>
      <c r="H113" s="21" t="str">
        <f t="shared" si="3"/>
        <v>SHOPIAN</v>
      </c>
      <c r="I113" s="21" t="s">
        <v>6596</v>
      </c>
      <c r="J113" s="22">
        <v>45983</v>
      </c>
      <c r="K113" s="21">
        <v>8825050044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7232</v>
      </c>
      <c r="C114" s="21" t="s">
        <v>7229</v>
      </c>
      <c r="D114" s="21" t="s">
        <v>7230</v>
      </c>
      <c r="E114" s="21" t="s">
        <v>7231</v>
      </c>
      <c r="F114" s="21" t="s">
        <v>116</v>
      </c>
      <c r="G114" s="21" t="s">
        <v>197</v>
      </c>
      <c r="H114" s="21" t="str">
        <f t="shared" si="3"/>
        <v>PULWAMA</v>
      </c>
      <c r="I114" s="21" t="s">
        <v>7249</v>
      </c>
      <c r="J114" s="22">
        <v>46009</v>
      </c>
      <c r="K114" s="21">
        <v>7006889943</v>
      </c>
      <c r="L114" s="21" t="s">
        <v>6564</v>
      </c>
      <c r="M114" s="23" t="s">
        <v>7605</v>
      </c>
      <c r="N114" s="22">
        <v>46015</v>
      </c>
      <c r="O114" s="21"/>
      <c r="P114" s="24"/>
      <c r="Q114" s="21"/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7233</v>
      </c>
      <c r="C117" s="21" t="s">
        <v>7234</v>
      </c>
      <c r="D117" s="21" t="s">
        <v>7235</v>
      </c>
      <c r="E117" s="21" t="s">
        <v>7236</v>
      </c>
      <c r="F117" s="21" t="s">
        <v>31</v>
      </c>
      <c r="G117" s="21" t="s">
        <v>172</v>
      </c>
      <c r="H117" s="21" t="str">
        <f t="shared" si="3"/>
        <v>SHOPIAN</v>
      </c>
      <c r="I117" s="21" t="s">
        <v>7250</v>
      </c>
      <c r="J117" s="22">
        <v>46009</v>
      </c>
      <c r="K117" s="21">
        <v>8484070924</v>
      </c>
      <c r="L117" s="21" t="s">
        <v>6564</v>
      </c>
      <c r="M117" s="23" t="s">
        <v>7605</v>
      </c>
      <c r="N117" s="22">
        <v>46015</v>
      </c>
      <c r="O117" s="21"/>
      <c r="P117" s="24"/>
      <c r="Q117" s="21"/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 t="s">
        <v>11402</v>
      </c>
      <c r="E124" s="21" t="s">
        <v>6643</v>
      </c>
      <c r="F124" s="21" t="s">
        <v>234</v>
      </c>
      <c r="G124" s="21" t="s">
        <v>197</v>
      </c>
      <c r="H124" s="21" t="str">
        <f t="shared" si="3"/>
        <v>NEW</v>
      </c>
      <c r="I124" s="21" t="s">
        <v>11403</v>
      </c>
      <c r="J124" s="22">
        <v>45987</v>
      </c>
      <c r="K124" s="21">
        <v>7051441074</v>
      </c>
      <c r="L124" s="21" t="s">
        <v>163</v>
      </c>
      <c r="M124" s="23"/>
      <c r="N124" s="22"/>
      <c r="O124" s="21" t="s">
        <v>11404</v>
      </c>
      <c r="P124" s="24"/>
      <c r="Q124" s="21"/>
      <c r="R124" s="21" t="s">
        <v>6646</v>
      </c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7304</v>
      </c>
      <c r="C139" s="21" t="s">
        <v>7305</v>
      </c>
      <c r="D139" s="21" t="s">
        <v>7306</v>
      </c>
      <c r="E139" s="21" t="s">
        <v>7307</v>
      </c>
      <c r="F139" s="21" t="s">
        <v>116</v>
      </c>
      <c r="G139" s="21" t="s">
        <v>218</v>
      </c>
      <c r="H139" s="21" t="str">
        <f t="shared" si="5"/>
        <v>SHOPIAN</v>
      </c>
      <c r="I139" s="21" t="s">
        <v>7309</v>
      </c>
      <c r="J139" s="22">
        <v>46011</v>
      </c>
      <c r="K139" s="21">
        <v>6006713170</v>
      </c>
      <c r="L139" s="21" t="s">
        <v>6564</v>
      </c>
      <c r="M139" s="23" t="s">
        <v>7605</v>
      </c>
      <c r="N139" s="22">
        <v>46015</v>
      </c>
      <c r="O139" s="21"/>
      <c r="P139" s="24"/>
      <c r="Q139" s="21"/>
      <c r="R139" s="21" t="s">
        <v>7375</v>
      </c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8454</v>
      </c>
      <c r="C145" s="21" t="s">
        <v>8451</v>
      </c>
      <c r="D145" s="21" t="s">
        <v>8452</v>
      </c>
      <c r="E145" s="21" t="s">
        <v>8453</v>
      </c>
      <c r="F145" s="21" t="s">
        <v>116</v>
      </c>
      <c r="G145" s="21" t="s">
        <v>171</v>
      </c>
      <c r="H145" s="21" t="str">
        <f t="shared" si="5"/>
        <v>SHOPIAN</v>
      </c>
      <c r="I145" s="21" t="s">
        <v>8460</v>
      </c>
      <c r="J145" s="22">
        <v>46052</v>
      </c>
      <c r="K145" s="21">
        <v>8899524496</v>
      </c>
      <c r="L145" s="21" t="s">
        <v>7689</v>
      </c>
      <c r="M145" s="23" t="s">
        <v>7605</v>
      </c>
      <c r="N145" s="22">
        <v>46053</v>
      </c>
      <c r="O145" s="21" t="s">
        <v>23</v>
      </c>
      <c r="P145" s="24">
        <v>46055</v>
      </c>
      <c r="Q145" s="21" t="s">
        <v>6454</v>
      </c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7470</v>
      </c>
      <c r="C148" s="21" t="s">
        <v>7462</v>
      </c>
      <c r="D148" s="21" t="s">
        <v>7512</v>
      </c>
      <c r="E148" s="21" t="s">
        <v>7454</v>
      </c>
      <c r="F148" s="21" t="s">
        <v>65</v>
      </c>
      <c r="G148" s="21" t="s">
        <v>196</v>
      </c>
      <c r="H148" s="21" t="str">
        <f t="shared" si="5"/>
        <v>SHOPIAN</v>
      </c>
      <c r="I148" s="21" t="s">
        <v>7480</v>
      </c>
      <c r="J148" s="22">
        <v>46015</v>
      </c>
      <c r="K148" s="21">
        <v>6006293557</v>
      </c>
      <c r="L148" s="21" t="s">
        <v>6564</v>
      </c>
      <c r="M148" s="23" t="s">
        <v>8211</v>
      </c>
      <c r="N148" s="22">
        <v>46025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10281</v>
      </c>
      <c r="C159" s="21" t="s">
        <v>10282</v>
      </c>
      <c r="D159" s="21" t="s">
        <v>10283</v>
      </c>
      <c r="E159" s="21" t="s">
        <v>2977</v>
      </c>
      <c r="F159" s="21" t="s">
        <v>277</v>
      </c>
      <c r="G159" s="21" t="s">
        <v>197</v>
      </c>
      <c r="H159" s="21" t="str">
        <f t="shared" si="5"/>
        <v>SHOPIAN</v>
      </c>
      <c r="I159" s="21" t="s">
        <v>10284</v>
      </c>
      <c r="J159" s="22">
        <v>46140</v>
      </c>
      <c r="K159" s="21">
        <v>9797183691</v>
      </c>
      <c r="L159" s="21" t="s">
        <v>9241</v>
      </c>
      <c r="M159" s="23" t="s">
        <v>10468</v>
      </c>
      <c r="N159" s="22">
        <v>46140</v>
      </c>
      <c r="O159" s="21" t="s">
        <v>23</v>
      </c>
      <c r="P159" s="24">
        <v>46140</v>
      </c>
      <c r="Q159" s="21" t="s">
        <v>6454</v>
      </c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10843</v>
      </c>
      <c r="C168" s="21" t="s">
        <v>10844</v>
      </c>
      <c r="D168" s="21" t="s">
        <v>10845</v>
      </c>
      <c r="E168" s="21" t="s">
        <v>10846</v>
      </c>
      <c r="F168" s="21" t="s">
        <v>5</v>
      </c>
      <c r="G168" s="21" t="s">
        <v>196</v>
      </c>
      <c r="H168" s="21" t="str">
        <f t="shared" si="5"/>
        <v>KUPWARA</v>
      </c>
      <c r="I168" s="21" t="s">
        <v>10864</v>
      </c>
      <c r="J168" s="22">
        <v>46164</v>
      </c>
      <c r="K168" s="21">
        <v>9797964101</v>
      </c>
      <c r="L168" s="21" t="s">
        <v>7689</v>
      </c>
      <c r="M168" s="23" t="s">
        <v>11066</v>
      </c>
      <c r="N168" s="22">
        <v>46174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7658</v>
      </c>
      <c r="C180" s="21" t="s">
        <v>7659</v>
      </c>
      <c r="D180" s="21" t="s">
        <v>7660</v>
      </c>
      <c r="E180" s="21" t="s">
        <v>7661</v>
      </c>
      <c r="F180" s="21" t="s">
        <v>122</v>
      </c>
      <c r="G180" s="21" t="s">
        <v>171</v>
      </c>
      <c r="H180" s="21" t="str">
        <f t="shared" si="5"/>
        <v>SRINAGAR</v>
      </c>
      <c r="I180" s="21" t="s">
        <v>7673</v>
      </c>
      <c r="J180" s="22">
        <v>46019</v>
      </c>
      <c r="K180" s="21">
        <v>9622727272</v>
      </c>
      <c r="L180" s="21" t="s">
        <v>6564</v>
      </c>
      <c r="M180" s="23" t="s">
        <v>7765</v>
      </c>
      <c r="N180" s="22">
        <v>46031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8178</v>
      </c>
      <c r="C181" s="21" t="s">
        <v>8175</v>
      </c>
      <c r="D181" s="21" t="s">
        <v>8176</v>
      </c>
      <c r="E181" s="21" t="s">
        <v>8177</v>
      </c>
      <c r="F181" s="21" t="s">
        <v>6540</v>
      </c>
      <c r="G181" s="21" t="s">
        <v>197</v>
      </c>
      <c r="H181" s="21" t="str">
        <f t="shared" si="5"/>
        <v>KULGAM</v>
      </c>
      <c r="I181" s="21" t="s">
        <v>8185</v>
      </c>
      <c r="J181" s="22">
        <v>46030</v>
      </c>
      <c r="K181" s="21">
        <v>9541822070</v>
      </c>
      <c r="L181" s="21" t="s">
        <v>6564</v>
      </c>
      <c r="M181" s="23" t="s">
        <v>8215</v>
      </c>
      <c r="N181" s="22">
        <v>46034</v>
      </c>
      <c r="O181" s="21"/>
      <c r="P181" s="24"/>
      <c r="Q181" s="21"/>
      <c r="R181" s="21" t="s">
        <v>8199</v>
      </c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7255</v>
      </c>
      <c r="C190" s="21" t="s">
        <v>7256</v>
      </c>
      <c r="D190" s="21" t="s">
        <v>7257</v>
      </c>
      <c r="E190" s="21" t="s">
        <v>7258</v>
      </c>
      <c r="F190" s="21" t="s">
        <v>116</v>
      </c>
      <c r="G190" s="21" t="s">
        <v>172</v>
      </c>
      <c r="H190" s="21" t="str">
        <f t="shared" si="5"/>
        <v>SHOPIAN</v>
      </c>
      <c r="I190" s="21" t="s">
        <v>7259</v>
      </c>
      <c r="J190" s="22">
        <v>46009</v>
      </c>
      <c r="K190" s="21">
        <v>9103369022</v>
      </c>
      <c r="L190" s="21" t="s">
        <v>6564</v>
      </c>
      <c r="M190" s="23" t="s">
        <v>7284</v>
      </c>
      <c r="N190" s="22">
        <v>46010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7685</v>
      </c>
      <c r="C192" s="21" t="s">
        <v>7686</v>
      </c>
      <c r="D192" s="21" t="s">
        <v>7687</v>
      </c>
      <c r="E192" s="21" t="s">
        <v>7688</v>
      </c>
      <c r="F192" s="21" t="s">
        <v>482</v>
      </c>
      <c r="G192" s="21" t="s">
        <v>196</v>
      </c>
      <c r="H192" s="21" t="str">
        <f t="shared" si="5"/>
        <v>SHOPIAN</v>
      </c>
      <c r="I192" s="21" t="s">
        <v>7691</v>
      </c>
      <c r="J192" s="22">
        <v>46020</v>
      </c>
      <c r="K192" s="21">
        <v>7006540570</v>
      </c>
      <c r="L192" s="21" t="s">
        <v>7689</v>
      </c>
      <c r="M192" s="23" t="s">
        <v>7284</v>
      </c>
      <c r="N192" s="22">
        <v>46035</v>
      </c>
      <c r="O192" s="21"/>
      <c r="P192" s="24"/>
      <c r="Q192" s="21"/>
      <c r="R192" s="21" t="s">
        <v>7721</v>
      </c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7827</v>
      </c>
      <c r="C215" s="21" t="s">
        <v>7828</v>
      </c>
      <c r="D215" s="21" t="s">
        <v>7829</v>
      </c>
      <c r="E215" s="21" t="s">
        <v>7830</v>
      </c>
      <c r="F215" s="21" t="s">
        <v>31</v>
      </c>
      <c r="G215" s="21" t="s">
        <v>197</v>
      </c>
      <c r="H215" s="21" t="str">
        <f t="shared" si="7"/>
        <v>KULGAM</v>
      </c>
      <c r="I215" s="29" t="s">
        <v>7848</v>
      </c>
      <c r="J215" s="22">
        <v>46023</v>
      </c>
      <c r="K215" s="21">
        <v>7006176206</v>
      </c>
      <c r="L215" s="21" t="s">
        <v>6564</v>
      </c>
      <c r="M215" s="23" t="s">
        <v>7284</v>
      </c>
      <c r="N215" s="22">
        <v>46035</v>
      </c>
      <c r="O215" s="21" t="s">
        <v>23</v>
      </c>
      <c r="P215" s="24">
        <v>46058</v>
      </c>
      <c r="Q215" s="21" t="s">
        <v>6454</v>
      </c>
      <c r="R215" s="21"/>
    </row>
    <row r="216" spans="1:18" x14ac:dyDescent="0.25">
      <c r="A216" s="21">
        <f t="shared" si="6"/>
        <v>215</v>
      </c>
      <c r="B216" s="21" t="s">
        <v>7900</v>
      </c>
      <c r="C216" s="21" t="s">
        <v>7901</v>
      </c>
      <c r="D216" s="21" t="s">
        <v>7902</v>
      </c>
      <c r="E216" s="21" t="s">
        <v>7903</v>
      </c>
      <c r="F216" s="21" t="s">
        <v>482</v>
      </c>
      <c r="G216" s="21" t="s">
        <v>196</v>
      </c>
      <c r="H216" s="21" t="str">
        <f t="shared" si="7"/>
        <v>SHOPIAN</v>
      </c>
      <c r="I216" s="21" t="s">
        <v>7944</v>
      </c>
      <c r="J216" s="22">
        <v>46024</v>
      </c>
      <c r="K216" s="21">
        <v>7780943149</v>
      </c>
      <c r="L216" s="21" t="s">
        <v>6564</v>
      </c>
      <c r="M216" s="23" t="s">
        <v>7284</v>
      </c>
      <c r="N216" s="22">
        <v>46035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7959</v>
      </c>
      <c r="C217" s="21" t="s">
        <v>7956</v>
      </c>
      <c r="D217" s="21" t="s">
        <v>7957</v>
      </c>
      <c r="E217" s="21" t="s">
        <v>7958</v>
      </c>
      <c r="F217" s="21" t="s">
        <v>5</v>
      </c>
      <c r="G217" s="21" t="s">
        <v>196</v>
      </c>
      <c r="H217" s="21" t="str">
        <f t="shared" si="7"/>
        <v>SHOPIAN</v>
      </c>
      <c r="I217" s="21" t="s">
        <v>7965</v>
      </c>
      <c r="J217" s="22">
        <v>46025</v>
      </c>
      <c r="K217" s="21">
        <v>9103275011</v>
      </c>
      <c r="L217" s="21" t="s">
        <v>6564</v>
      </c>
      <c r="M217" s="23" t="s">
        <v>7284</v>
      </c>
      <c r="N217" s="22">
        <v>46034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7939</v>
      </c>
      <c r="C231" s="21" t="s">
        <v>7940</v>
      </c>
      <c r="D231" s="21" t="s">
        <v>7941</v>
      </c>
      <c r="E231" s="21" t="s">
        <v>7942</v>
      </c>
      <c r="F231" s="21" t="s">
        <v>5</v>
      </c>
      <c r="G231" s="21" t="s">
        <v>196</v>
      </c>
      <c r="H231" s="21" t="str">
        <f t="shared" si="7"/>
        <v>SHOPIAN</v>
      </c>
      <c r="I231" s="22" t="s">
        <v>8002</v>
      </c>
      <c r="J231" s="22">
        <v>46025</v>
      </c>
      <c r="K231" s="21">
        <v>7006820710</v>
      </c>
      <c r="L231" s="21" t="s">
        <v>6564</v>
      </c>
      <c r="M231" s="23" t="s">
        <v>7284</v>
      </c>
      <c r="N231" s="22">
        <v>46347</v>
      </c>
      <c r="O231" s="21"/>
      <c r="P231" s="24"/>
      <c r="Q231" s="21"/>
      <c r="R231" s="21"/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8778</v>
      </c>
      <c r="C258" s="21" t="s">
        <v>8779</v>
      </c>
      <c r="D258" s="21" t="s">
        <v>8780</v>
      </c>
      <c r="E258" s="21" t="s">
        <v>6215</v>
      </c>
      <c r="F258" s="21" t="s">
        <v>116</v>
      </c>
      <c r="G258" s="21" t="s">
        <v>197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8781</v>
      </c>
      <c r="J258" s="22">
        <v>46065</v>
      </c>
      <c r="K258" s="21">
        <v>9596414585</v>
      </c>
      <c r="L258" s="21" t="s">
        <v>6564</v>
      </c>
      <c r="M258" s="23" t="s">
        <v>8930</v>
      </c>
      <c r="N258" s="22">
        <v>46073</v>
      </c>
      <c r="O258" s="21" t="s">
        <v>23</v>
      </c>
      <c r="P258" s="24">
        <v>46073</v>
      </c>
      <c r="Q258" s="21" t="s">
        <v>6454</v>
      </c>
      <c r="R258" s="21" t="s">
        <v>8790</v>
      </c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8878</v>
      </c>
      <c r="C285" s="21" t="s">
        <v>8879</v>
      </c>
      <c r="D285" s="21" t="s">
        <v>8880</v>
      </c>
      <c r="E285" s="21" t="s">
        <v>8881</v>
      </c>
      <c r="F285" s="21" t="s">
        <v>98</v>
      </c>
      <c r="G285" s="21" t="s">
        <v>171</v>
      </c>
      <c r="H285" s="21" t="str">
        <f t="shared" si="9"/>
        <v>PULWAMA</v>
      </c>
      <c r="I285" s="21" t="s">
        <v>8889</v>
      </c>
      <c r="J285" s="22">
        <v>46071</v>
      </c>
      <c r="K285" s="21">
        <v>8082201253</v>
      </c>
      <c r="L285" s="21" t="s">
        <v>7689</v>
      </c>
      <c r="M285" s="23" t="s">
        <v>8930</v>
      </c>
      <c r="N285" s="22">
        <v>46077</v>
      </c>
      <c r="O285" s="21" t="s">
        <v>23</v>
      </c>
      <c r="P285" s="24">
        <v>46077</v>
      </c>
      <c r="Q285" s="21" t="s">
        <v>6454</v>
      </c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8941</v>
      </c>
      <c r="C290" s="21" t="s">
        <v>8939</v>
      </c>
      <c r="D290" s="21" t="s">
        <v>8940</v>
      </c>
      <c r="E290" s="21" t="s">
        <v>8938</v>
      </c>
      <c r="F290" s="21" t="s">
        <v>482</v>
      </c>
      <c r="G290" s="21" t="s">
        <v>171</v>
      </c>
      <c r="H290" s="21" t="str">
        <f t="shared" si="9"/>
        <v>SHOPIAN</v>
      </c>
      <c r="I290" s="21" t="s">
        <v>8956</v>
      </c>
      <c r="J290" s="22">
        <v>46074</v>
      </c>
      <c r="K290" s="21">
        <v>9419016072</v>
      </c>
      <c r="L290" s="21" t="s">
        <v>6564</v>
      </c>
      <c r="M290" s="23" t="s">
        <v>8930</v>
      </c>
      <c r="N290" s="22">
        <v>46077</v>
      </c>
      <c r="O290" s="21" t="s">
        <v>23</v>
      </c>
      <c r="P290" s="24">
        <v>46077</v>
      </c>
      <c r="Q290" s="21" t="s">
        <v>6454</v>
      </c>
      <c r="R290" s="21"/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9157</v>
      </c>
      <c r="C320" s="21" t="s">
        <v>9154</v>
      </c>
      <c r="D320" s="21" t="s">
        <v>9155</v>
      </c>
      <c r="E320" s="21" t="s">
        <v>9156</v>
      </c>
      <c r="F320" s="21" t="s">
        <v>116</v>
      </c>
      <c r="G320" s="21" t="s">
        <v>172</v>
      </c>
      <c r="H320" s="21" t="str">
        <f t="shared" si="9"/>
        <v>SHOPIAN</v>
      </c>
      <c r="I320" s="21" t="s">
        <v>9178</v>
      </c>
      <c r="J320" s="22">
        <v>46088</v>
      </c>
      <c r="K320" s="21">
        <v>7780894721</v>
      </c>
      <c r="L320" s="21" t="s">
        <v>9241</v>
      </c>
      <c r="M320" s="23" t="s">
        <v>8930</v>
      </c>
      <c r="N320" s="22">
        <v>46095</v>
      </c>
      <c r="O320" s="21" t="s">
        <v>23</v>
      </c>
      <c r="P320" s="24">
        <v>46095</v>
      </c>
      <c r="Q320" s="21" t="s">
        <v>8155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10325</v>
      </c>
      <c r="C331" s="21" t="s">
        <v>10326</v>
      </c>
      <c r="D331" s="21" t="s">
        <v>10327</v>
      </c>
      <c r="E331" s="21" t="s">
        <v>10328</v>
      </c>
      <c r="F331" s="21" t="s">
        <v>98</v>
      </c>
      <c r="G331" s="21" t="s">
        <v>197</v>
      </c>
      <c r="H331" s="21" t="str">
        <f t="shared" si="11"/>
        <v>PULWAMA</v>
      </c>
      <c r="I331" s="21" t="s">
        <v>10334</v>
      </c>
      <c r="J331" s="22">
        <v>46142</v>
      </c>
      <c r="K331" s="21">
        <v>7006832228</v>
      </c>
      <c r="L331" s="21" t="s">
        <v>6564</v>
      </c>
      <c r="M331" s="23" t="s">
        <v>8930</v>
      </c>
      <c r="N331" s="22">
        <v>46167</v>
      </c>
      <c r="O331" s="21" t="s">
        <v>23</v>
      </c>
      <c r="P331" s="24">
        <v>46167</v>
      </c>
      <c r="Q331" s="21" t="s">
        <v>6454</v>
      </c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10498</v>
      </c>
      <c r="C346" s="21" t="s">
        <v>10499</v>
      </c>
      <c r="D346" s="21" t="s">
        <v>10500</v>
      </c>
      <c r="E346" s="21" t="s">
        <v>10501</v>
      </c>
      <c r="F346" s="21" t="s">
        <v>12</v>
      </c>
      <c r="G346" s="21" t="s">
        <v>197</v>
      </c>
      <c r="H346" s="21" t="str">
        <f t="shared" si="11"/>
        <v>SHOPIAN</v>
      </c>
      <c r="I346" s="21" t="s">
        <v>10502</v>
      </c>
      <c r="J346" s="22">
        <v>46149</v>
      </c>
      <c r="K346" s="21">
        <v>7006112317</v>
      </c>
      <c r="L346" s="21" t="s">
        <v>6564</v>
      </c>
      <c r="M346" s="23" t="s">
        <v>8930</v>
      </c>
      <c r="N346" s="22">
        <v>46167</v>
      </c>
      <c r="O346" s="21" t="s">
        <v>23</v>
      </c>
      <c r="P346" s="24">
        <v>46167</v>
      </c>
      <c r="Q346" s="21" t="s">
        <v>6454</v>
      </c>
      <c r="R346" s="21"/>
    </row>
    <row r="347" spans="1:18" x14ac:dyDescent="0.25">
      <c r="A347" s="21">
        <f t="shared" si="10"/>
        <v>346</v>
      </c>
      <c r="B347" s="21" t="s">
        <v>10607</v>
      </c>
      <c r="C347" s="21" t="s">
        <v>10608</v>
      </c>
      <c r="D347" s="21" t="s">
        <v>10609</v>
      </c>
      <c r="E347" s="21" t="s">
        <v>10610</v>
      </c>
      <c r="F347" s="21" t="s">
        <v>5</v>
      </c>
      <c r="G347" s="21" t="s">
        <v>197</v>
      </c>
      <c r="H347" s="21" t="str">
        <f t="shared" si="11"/>
        <v>PULWAMA</v>
      </c>
      <c r="I347" s="21" t="s">
        <v>10612</v>
      </c>
      <c r="J347" s="22">
        <v>46156</v>
      </c>
      <c r="K347" s="21">
        <v>7780989757</v>
      </c>
      <c r="L347" s="21" t="s">
        <v>6564</v>
      </c>
      <c r="M347" s="23" t="s">
        <v>8930</v>
      </c>
      <c r="N347" s="22">
        <v>46167</v>
      </c>
      <c r="O347" s="21" t="s">
        <v>23</v>
      </c>
      <c r="P347" s="24">
        <v>46167</v>
      </c>
      <c r="Q347" s="21" t="s">
        <v>6454</v>
      </c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10983</v>
      </c>
      <c r="C375" s="21" t="s">
        <v>10980</v>
      </c>
      <c r="D375" s="21" t="s">
        <v>10981</v>
      </c>
      <c r="E375" s="21" t="s">
        <v>10982</v>
      </c>
      <c r="F375" s="21" t="s">
        <v>3126</v>
      </c>
      <c r="G375" s="21" t="s">
        <v>6469</v>
      </c>
      <c r="H375" s="21" t="str">
        <f t="shared" si="11"/>
        <v>SHOPIAN</v>
      </c>
      <c r="I375" s="21" t="s">
        <v>10990</v>
      </c>
      <c r="J375" s="22">
        <v>46172</v>
      </c>
      <c r="K375" s="21">
        <v>9858414762</v>
      </c>
      <c r="L375" s="21" t="s">
        <v>7689</v>
      </c>
      <c r="M375" s="23" t="s">
        <v>8930</v>
      </c>
      <c r="N375" s="22">
        <v>46179</v>
      </c>
      <c r="O375" s="21" t="s">
        <v>23</v>
      </c>
      <c r="P375" s="24">
        <v>46174</v>
      </c>
      <c r="Q375" s="21" t="s">
        <v>6454</v>
      </c>
      <c r="R375" s="21"/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8672</v>
      </c>
      <c r="C378" s="21" t="s">
        <v>8673</v>
      </c>
      <c r="D378" s="21" t="s">
        <v>8674</v>
      </c>
      <c r="E378" s="21" t="s">
        <v>8675</v>
      </c>
      <c r="F378" s="21" t="s">
        <v>98</v>
      </c>
      <c r="G378" s="21" t="s">
        <v>171</v>
      </c>
      <c r="H378" s="21" t="str">
        <f t="shared" si="11"/>
        <v>SHOPIAN</v>
      </c>
      <c r="I378" s="21" t="s">
        <v>8676</v>
      </c>
      <c r="J378" s="22">
        <v>46058</v>
      </c>
      <c r="K378" s="21">
        <v>8825090520</v>
      </c>
      <c r="L378" s="21" t="s">
        <v>9241</v>
      </c>
      <c r="M378" s="23" t="s">
        <v>8754</v>
      </c>
      <c r="N378" s="22">
        <v>46064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8655</v>
      </c>
      <c r="C385" s="21" t="s">
        <v>8656</v>
      </c>
      <c r="D385" s="21" t="s">
        <v>8657</v>
      </c>
      <c r="E385" s="21" t="s">
        <v>8658</v>
      </c>
      <c r="F385" s="21" t="s">
        <v>98</v>
      </c>
      <c r="G385" s="21" t="s">
        <v>178</v>
      </c>
      <c r="H385" s="21" t="str">
        <f t="shared" si="11"/>
        <v>SHOPIAN</v>
      </c>
      <c r="I385" s="21" t="s">
        <v>8665</v>
      </c>
      <c r="J385" s="22">
        <v>46058</v>
      </c>
      <c r="K385" s="21">
        <v>9419783314</v>
      </c>
      <c r="L385" s="21" t="s">
        <v>7689</v>
      </c>
      <c r="M385" s="23" t="s">
        <v>8754</v>
      </c>
      <c r="N385" s="22">
        <v>46064</v>
      </c>
      <c r="O385" s="21" t="s">
        <v>23</v>
      </c>
      <c r="P385" s="24">
        <v>46059</v>
      </c>
      <c r="Q385" s="21" t="s">
        <v>8690</v>
      </c>
      <c r="R385" s="21"/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9255</v>
      </c>
      <c r="C418" s="21" t="s">
        <v>9256</v>
      </c>
      <c r="D418" s="21" t="s">
        <v>9257</v>
      </c>
      <c r="E418" s="21" t="s">
        <v>9258</v>
      </c>
      <c r="F418" s="21" t="s">
        <v>98</v>
      </c>
      <c r="G418" s="21" t="s">
        <v>171</v>
      </c>
      <c r="H418" s="21" t="str">
        <f t="shared" si="13"/>
        <v>SHOPIAN</v>
      </c>
      <c r="I418" s="21" t="s">
        <v>9263</v>
      </c>
      <c r="J418" s="22">
        <v>46094</v>
      </c>
      <c r="K418" s="21">
        <v>9622761029</v>
      </c>
      <c r="L418" s="21" t="s">
        <v>6564</v>
      </c>
      <c r="M418" s="23" t="s">
        <v>9745</v>
      </c>
      <c r="N418" s="22">
        <v>46113</v>
      </c>
      <c r="O418" s="21"/>
      <c r="P418" s="24"/>
      <c r="Q418" s="21"/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11017</v>
      </c>
      <c r="C444" s="21" t="s">
        <v>11018</v>
      </c>
      <c r="D444" s="21" t="s">
        <v>11019</v>
      </c>
      <c r="E444" s="21" t="s">
        <v>11020</v>
      </c>
      <c r="F444" s="21" t="s">
        <v>3126</v>
      </c>
      <c r="G444" s="21" t="s">
        <v>197</v>
      </c>
      <c r="H444" s="21" t="str">
        <f t="shared" si="13"/>
        <v>PULWAMA</v>
      </c>
      <c r="I444" s="21" t="s">
        <v>11026</v>
      </c>
      <c r="J444" s="22">
        <v>46172</v>
      </c>
      <c r="K444" s="21">
        <v>7889312502</v>
      </c>
      <c r="L444" s="21" t="s">
        <v>9241</v>
      </c>
      <c r="M444" s="23" t="s">
        <v>11253</v>
      </c>
      <c r="N444" s="22">
        <v>46185</v>
      </c>
      <c r="O444" s="21" t="s">
        <v>23</v>
      </c>
      <c r="P444" s="24">
        <v>46174</v>
      </c>
      <c r="Q444" s="21" t="s">
        <v>6454</v>
      </c>
      <c r="R444" s="21"/>
    </row>
    <row r="445" spans="1:18" x14ac:dyDescent="0.25">
      <c r="A445" s="21">
        <f t="shared" si="12"/>
        <v>444</v>
      </c>
      <c r="B445" s="21" t="s">
        <v>9282</v>
      </c>
      <c r="C445" s="21" t="s">
        <v>9283</v>
      </c>
      <c r="D445" s="21" t="s">
        <v>9284</v>
      </c>
      <c r="E445" s="21" t="s">
        <v>1946</v>
      </c>
      <c r="F445" s="21" t="s">
        <v>6540</v>
      </c>
      <c r="G445" s="21" t="s">
        <v>6469</v>
      </c>
      <c r="H445" s="21" t="str">
        <f t="shared" si="13"/>
        <v>SHOPIAN</v>
      </c>
      <c r="I445" s="21" t="s">
        <v>9293</v>
      </c>
      <c r="J445" s="22">
        <v>46095</v>
      </c>
      <c r="K445" s="21">
        <v>7006544713</v>
      </c>
      <c r="L445" s="21" t="s">
        <v>9241</v>
      </c>
      <c r="M445" s="23" t="s">
        <v>7662</v>
      </c>
      <c r="N445" s="22">
        <v>46108</v>
      </c>
      <c r="O445" s="21"/>
      <c r="P445" s="24"/>
      <c r="Q445" s="21"/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9769</v>
      </c>
      <c r="C462" s="21" t="s">
        <v>9766</v>
      </c>
      <c r="D462" s="21" t="s">
        <v>9767</v>
      </c>
      <c r="E462" s="21" t="s">
        <v>9768</v>
      </c>
      <c r="F462" s="21" t="s">
        <v>5</v>
      </c>
      <c r="G462" s="21" t="s">
        <v>196</v>
      </c>
      <c r="H462" s="21" t="str">
        <f t="shared" si="15"/>
        <v>BHARAT</v>
      </c>
      <c r="I462" s="21" t="s">
        <v>9825</v>
      </c>
      <c r="J462" s="22">
        <v>46119</v>
      </c>
      <c r="K462" s="21">
        <v>9149899595</v>
      </c>
      <c r="L462" s="21" t="s">
        <v>6564</v>
      </c>
      <c r="M462" s="23" t="s">
        <v>10467</v>
      </c>
      <c r="N462" s="22">
        <v>46120</v>
      </c>
      <c r="O462" s="21" t="s">
        <v>23</v>
      </c>
      <c r="P462" s="24">
        <v>46119</v>
      </c>
      <c r="Q462" s="21" t="s">
        <v>6454</v>
      </c>
      <c r="R462" s="21"/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7605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8255</v>
      </c>
      <c r="C475" s="21" t="s">
        <v>8256</v>
      </c>
      <c r="D475" s="21" t="s">
        <v>8258</v>
      </c>
      <c r="E475" s="21" t="s">
        <v>8257</v>
      </c>
      <c r="F475" s="21" t="s">
        <v>8259</v>
      </c>
      <c r="G475" s="21" t="s">
        <v>197</v>
      </c>
      <c r="H475" s="21" t="str">
        <f t="shared" si="15"/>
        <v>SHOPIAN</v>
      </c>
      <c r="I475" s="21" t="s">
        <v>8260</v>
      </c>
      <c r="J475" s="22">
        <v>46038</v>
      </c>
      <c r="K475" s="21">
        <v>7006595403</v>
      </c>
      <c r="L475" s="21" t="s">
        <v>6564</v>
      </c>
      <c r="M475" s="23" t="s">
        <v>8302</v>
      </c>
      <c r="N475" s="22">
        <v>46042</v>
      </c>
      <c r="O475" s="21"/>
      <c r="P475" s="24"/>
      <c r="Q475" s="21"/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22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8306</v>
      </c>
      <c r="C484" s="21" t="s">
        <v>8303</v>
      </c>
      <c r="D484" s="21" t="s">
        <v>8304</v>
      </c>
      <c r="E484" s="21" t="s">
        <v>8305</v>
      </c>
      <c r="F484" s="21" t="s">
        <v>116</v>
      </c>
      <c r="G484" s="21" t="s">
        <v>172</v>
      </c>
      <c r="H484" s="21" t="str">
        <f t="shared" si="15"/>
        <v>SHOPIAN</v>
      </c>
      <c r="I484" s="21" t="s">
        <v>8309</v>
      </c>
      <c r="J484" s="22">
        <v>46042</v>
      </c>
      <c r="K484" s="21">
        <v>7006739253</v>
      </c>
      <c r="L484" s="21" t="s">
        <v>6564</v>
      </c>
      <c r="M484" s="23" t="s">
        <v>8302</v>
      </c>
      <c r="N484" s="22">
        <v>46059</v>
      </c>
      <c r="O484" s="21" t="s">
        <v>23</v>
      </c>
      <c r="P484" s="24">
        <v>46043</v>
      </c>
      <c r="Q484" s="21" t="s">
        <v>8155</v>
      </c>
      <c r="R484" s="21" t="s">
        <v>8340</v>
      </c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10285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9950</v>
      </c>
      <c r="C517" s="21" t="s">
        <v>9951</v>
      </c>
      <c r="D517" s="21" t="s">
        <v>9952</v>
      </c>
      <c r="E517" s="21" t="s">
        <v>9953</v>
      </c>
      <c r="F517" s="21" t="s">
        <v>116</v>
      </c>
      <c r="G517" s="21" t="s">
        <v>197</v>
      </c>
      <c r="H517" s="21" t="str">
        <f t="shared" si="17"/>
        <v>SHOPIAN</v>
      </c>
      <c r="I517" s="21" t="s">
        <v>9955</v>
      </c>
      <c r="J517" s="22">
        <v>46123</v>
      </c>
      <c r="K517" s="21">
        <v>9541124924</v>
      </c>
      <c r="L517" s="21" t="s">
        <v>6564</v>
      </c>
      <c r="M517" s="23" t="s">
        <v>8302</v>
      </c>
      <c r="N517" s="22">
        <v>46140</v>
      </c>
      <c r="O517" s="21"/>
      <c r="P517" s="24"/>
      <c r="Q517" s="21"/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6789</v>
      </c>
      <c r="C534" s="21" t="s">
        <v>6790</v>
      </c>
      <c r="D534" s="21" t="s">
        <v>6791</v>
      </c>
      <c r="E534" s="21" t="s">
        <v>6792</v>
      </c>
      <c r="F534" s="21" t="s">
        <v>31</v>
      </c>
      <c r="G534" s="21" t="s">
        <v>197</v>
      </c>
      <c r="H534" s="21" t="str">
        <f t="shared" si="17"/>
        <v>SHOPIAN</v>
      </c>
      <c r="I534" s="21" t="s">
        <v>6810</v>
      </c>
      <c r="J534" s="22">
        <v>45996</v>
      </c>
      <c r="K534" s="21">
        <v>9596254341</v>
      </c>
      <c r="L534" s="21" t="s">
        <v>6564</v>
      </c>
      <c r="M534" s="23" t="s">
        <v>7141</v>
      </c>
      <c r="N534" s="22">
        <v>46007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6816</v>
      </c>
      <c r="C539" s="21" t="s">
        <v>6813</v>
      </c>
      <c r="D539" s="21" t="s">
        <v>6814</v>
      </c>
      <c r="E539" s="21" t="s">
        <v>6815</v>
      </c>
      <c r="F539" s="21" t="s">
        <v>5</v>
      </c>
      <c r="G539" s="21" t="s">
        <v>196</v>
      </c>
      <c r="H539" s="21" t="str">
        <f t="shared" si="17"/>
        <v>SHOPIAN</v>
      </c>
      <c r="I539" s="21" t="s">
        <v>6833</v>
      </c>
      <c r="J539" s="22">
        <v>45997</v>
      </c>
      <c r="K539" s="21">
        <v>7006819575</v>
      </c>
      <c r="L539" s="21" t="s">
        <v>9241</v>
      </c>
      <c r="M539" s="21" t="s">
        <v>7141</v>
      </c>
      <c r="N539" s="22">
        <v>46007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6845</v>
      </c>
      <c r="C546" s="21" t="s">
        <v>6842</v>
      </c>
      <c r="D546" s="21" t="s">
        <v>6843</v>
      </c>
      <c r="E546" s="21" t="s">
        <v>6844</v>
      </c>
      <c r="F546" s="21" t="s">
        <v>5</v>
      </c>
      <c r="G546" s="21" t="s">
        <v>197</v>
      </c>
      <c r="H546" s="21" t="str">
        <f t="shared" si="17"/>
        <v>SHOPIAN</v>
      </c>
      <c r="I546" s="21" t="s">
        <v>6864</v>
      </c>
      <c r="J546" s="22">
        <v>45999</v>
      </c>
      <c r="K546" s="21">
        <v>9858319554</v>
      </c>
      <c r="L546" s="21" t="s">
        <v>6564</v>
      </c>
      <c r="M546" s="23" t="s">
        <v>7141</v>
      </c>
      <c r="N546" s="22">
        <v>46007</v>
      </c>
      <c r="O546" s="21"/>
      <c r="P546" s="24"/>
      <c r="Q546" s="21"/>
      <c r="R546" s="21"/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 t="s">
        <v>11401</v>
      </c>
      <c r="N563" s="22">
        <v>46192</v>
      </c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6904</v>
      </c>
      <c r="C624" s="21" t="s">
        <v>6911</v>
      </c>
      <c r="D624" s="21" t="s">
        <v>6912</v>
      </c>
      <c r="E624" s="21" t="s">
        <v>6905</v>
      </c>
      <c r="F624" s="21" t="s">
        <v>277</v>
      </c>
      <c r="G624" s="21" t="s">
        <v>196</v>
      </c>
      <c r="H624" s="21" t="str">
        <f t="shared" si="19"/>
        <v>SHOPIAN</v>
      </c>
      <c r="I624" s="21" t="s">
        <v>6903</v>
      </c>
      <c r="J624" s="22">
        <v>46000</v>
      </c>
      <c r="K624" s="21">
        <v>7006824047</v>
      </c>
      <c r="L624" s="21" t="s">
        <v>6574</v>
      </c>
      <c r="M624" s="23" t="s">
        <v>7141</v>
      </c>
      <c r="N624" s="22">
        <v>46007</v>
      </c>
      <c r="O624" s="21"/>
      <c r="P624" s="24"/>
      <c r="Q624" s="21"/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10881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7008</v>
      </c>
      <c r="C645" s="21" t="s">
        <v>7005</v>
      </c>
      <c r="D645" s="21" t="s">
        <v>7006</v>
      </c>
      <c r="E645" s="21" t="s">
        <v>7007</v>
      </c>
      <c r="F645" s="21" t="s">
        <v>31</v>
      </c>
      <c r="G645" s="21" t="s">
        <v>218</v>
      </c>
      <c r="H645" s="21" t="str">
        <f t="shared" si="21"/>
        <v>PULWAMA</v>
      </c>
      <c r="I645" s="21" t="s">
        <v>7010</v>
      </c>
      <c r="J645" s="22">
        <v>46002</v>
      </c>
      <c r="K645" s="21">
        <v>7889910978</v>
      </c>
      <c r="L645" s="21" t="s">
        <v>6564</v>
      </c>
      <c r="M645" s="23" t="s">
        <v>7141</v>
      </c>
      <c r="N645" s="22">
        <v>46007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10669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11300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10235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10190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10197</v>
      </c>
      <c r="C683" s="21" t="s">
        <v>10195</v>
      </c>
      <c r="D683" s="21" t="s">
        <v>10196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10206</v>
      </c>
      <c r="J683" s="22">
        <v>46136</v>
      </c>
      <c r="K683" s="21">
        <v>9697385697</v>
      </c>
      <c r="L683" s="21" t="s">
        <v>104</v>
      </c>
      <c r="M683" s="23" t="s">
        <v>10434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10198</v>
      </c>
      <c r="C684" s="21" t="s">
        <v>10199</v>
      </c>
      <c r="D684" s="21" t="s">
        <v>10200</v>
      </c>
      <c r="E684" s="21" t="s">
        <v>10201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10207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10202</v>
      </c>
      <c r="C685" s="21" t="s">
        <v>10203</v>
      </c>
      <c r="D685" s="21" t="s">
        <v>10204</v>
      </c>
      <c r="E685" s="21" t="s">
        <v>10205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10208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10209</v>
      </c>
      <c r="C686" s="21" t="s">
        <v>10210</v>
      </c>
      <c r="D686" s="21" t="s">
        <v>10211</v>
      </c>
      <c r="E686" s="21" t="s">
        <v>10212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10219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10216</v>
      </c>
      <c r="C687" s="21" t="s">
        <v>10217</v>
      </c>
      <c r="D687" s="21" t="s">
        <v>10231</v>
      </c>
      <c r="E687" s="21" t="s">
        <v>10218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10215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10220</v>
      </c>
      <c r="C688" s="21" t="s">
        <v>10221</v>
      </c>
      <c r="D688" s="21" t="s">
        <v>10234</v>
      </c>
      <c r="E688" s="21" t="s">
        <v>10222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10227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10223</v>
      </c>
      <c r="C689" s="21" t="s">
        <v>10224</v>
      </c>
      <c r="D689" s="21" t="s">
        <v>10233</v>
      </c>
      <c r="E689" s="21" t="s">
        <v>10225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10226</v>
      </c>
      <c r="J689" s="22">
        <v>46136</v>
      </c>
      <c r="K689" s="21">
        <v>7006510365</v>
      </c>
      <c r="L689" s="21" t="s">
        <v>10242</v>
      </c>
      <c r="M689" s="23" t="s">
        <v>10235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10229</v>
      </c>
      <c r="C690" s="21" t="s">
        <v>10230</v>
      </c>
      <c r="D690" s="21" t="s">
        <v>10232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10228</v>
      </c>
      <c r="J690" s="22">
        <v>46136</v>
      </c>
      <c r="K690" s="21">
        <v>9622500584</v>
      </c>
      <c r="L690" s="21" t="s">
        <v>2168</v>
      </c>
      <c r="M690" s="23" t="s">
        <v>10345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10243</v>
      </c>
      <c r="C691" s="21" t="s">
        <v>10244</v>
      </c>
      <c r="D691" s="21" t="s">
        <v>10245</v>
      </c>
      <c r="E691" s="21" t="s">
        <v>10246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10247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10249</v>
      </c>
      <c r="C692" s="21" t="s">
        <v>10250</v>
      </c>
      <c r="D692" s="21" t="s">
        <v>10252</v>
      </c>
      <c r="E692" s="21" t="s">
        <v>10251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10253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10254</v>
      </c>
      <c r="C693" s="21" t="s">
        <v>10255</v>
      </c>
      <c r="D693" s="21" t="s">
        <v>10256</v>
      </c>
      <c r="E693" s="21" t="s">
        <v>10257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10258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10259</v>
      </c>
      <c r="C694" s="21" t="s">
        <v>10261</v>
      </c>
      <c r="D694" s="21" t="s">
        <v>10262</v>
      </c>
      <c r="E694" s="21" t="s">
        <v>10260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10263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10266</v>
      </c>
      <c r="C695" s="21" t="s">
        <v>10267</v>
      </c>
      <c r="D695" s="21" t="s">
        <v>10268</v>
      </c>
      <c r="E695" s="21" t="s">
        <v>10269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10270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10274</v>
      </c>
      <c r="C696" s="21" t="s">
        <v>10271</v>
      </c>
      <c r="D696" s="21" t="s">
        <v>10272</v>
      </c>
      <c r="E696" s="21" t="s">
        <v>10273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10280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10275</v>
      </c>
      <c r="C697" s="21" t="s">
        <v>10277</v>
      </c>
      <c r="D697" s="21" t="s">
        <v>10278</v>
      </c>
      <c r="E697" s="21" t="s">
        <v>10276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10279</v>
      </c>
      <c r="J697" s="22">
        <v>46140</v>
      </c>
      <c r="K697" s="21">
        <v>7006974580</v>
      </c>
      <c r="L697" s="21" t="s">
        <v>68</v>
      </c>
      <c r="M697" s="23" t="s">
        <v>10469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6982</v>
      </c>
      <c r="C698" s="21" t="s">
        <v>6983</v>
      </c>
      <c r="D698" s="21" t="s">
        <v>6985</v>
      </c>
      <c r="E698" s="21" t="s">
        <v>6984</v>
      </c>
      <c r="F698" s="21" t="s">
        <v>5</v>
      </c>
      <c r="G698" s="21" t="s">
        <v>197</v>
      </c>
      <c r="H698" s="21" t="str">
        <f t="shared" si="21"/>
        <v>SHOPIAN</v>
      </c>
      <c r="I698" s="21" t="s">
        <v>7009</v>
      </c>
      <c r="J698" s="22">
        <v>46002</v>
      </c>
      <c r="K698" s="21">
        <v>9906277021</v>
      </c>
      <c r="L698" s="21" t="s">
        <v>6564</v>
      </c>
      <c r="M698" s="23" t="s">
        <v>7141</v>
      </c>
      <c r="N698" s="22">
        <v>46007</v>
      </c>
      <c r="O698" s="21"/>
      <c r="P698" s="24"/>
      <c r="Q698" s="21"/>
      <c r="R698" s="21"/>
    </row>
    <row r="699" spans="1:18" x14ac:dyDescent="0.25">
      <c r="A699" s="21">
        <f t="shared" si="20"/>
        <v>698</v>
      </c>
      <c r="B699" s="21" t="s">
        <v>10286</v>
      </c>
      <c r="C699" s="21" t="s">
        <v>10287</v>
      </c>
      <c r="D699" s="21" t="s">
        <v>10288</v>
      </c>
      <c r="E699" s="21" t="s">
        <v>10289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10294</v>
      </c>
      <c r="J699" s="22">
        <v>46140</v>
      </c>
      <c r="K699" s="21">
        <v>9906169445</v>
      </c>
      <c r="L699" s="21" t="s">
        <v>10108</v>
      </c>
      <c r="M699" s="23" t="s">
        <v>10346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10295</v>
      </c>
      <c r="C700" s="21" t="s">
        <v>10296</v>
      </c>
      <c r="D700" s="21" t="s">
        <v>10297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10306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10298</v>
      </c>
      <c r="C701" s="21" t="s">
        <v>10299</v>
      </c>
      <c r="D701" s="21" t="s">
        <v>10300</v>
      </c>
      <c r="E701" s="21" t="s">
        <v>10301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10307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10302</v>
      </c>
      <c r="C702" s="21" t="s">
        <v>10303</v>
      </c>
      <c r="D702" s="21" t="s">
        <v>10304</v>
      </c>
      <c r="E702" s="21" t="s">
        <v>10305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10308</v>
      </c>
      <c r="J702" s="22">
        <v>46141</v>
      </c>
      <c r="K702" s="21">
        <v>9906916201</v>
      </c>
      <c r="L702" s="21" t="s">
        <v>10242</v>
      </c>
      <c r="M702" s="23" t="s">
        <v>10235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10314</v>
      </c>
      <c r="C703" s="21" t="s">
        <v>10315</v>
      </c>
      <c r="D703" s="21" t="s">
        <v>10316</v>
      </c>
      <c r="E703" s="21" t="s">
        <v>10317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10319</v>
      </c>
      <c r="J703" s="22">
        <v>46141</v>
      </c>
      <c r="K703" s="21">
        <v>7780813464</v>
      </c>
      <c r="L703" s="21" t="s">
        <v>6534</v>
      </c>
      <c r="M703" s="23" t="s">
        <v>10470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10321</v>
      </c>
      <c r="C704" s="21" t="s">
        <v>10322</v>
      </c>
      <c r="D704" s="21" t="s">
        <v>10324</v>
      </c>
      <c r="E704" s="21" t="s">
        <v>10323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10335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7096</v>
      </c>
      <c r="C705" s="21" t="s">
        <v>7084</v>
      </c>
      <c r="D705" s="21" t="s">
        <v>7085</v>
      </c>
      <c r="E705" s="21" t="s">
        <v>7086</v>
      </c>
      <c r="F705" s="21" t="s">
        <v>31</v>
      </c>
      <c r="G705" s="21" t="s">
        <v>172</v>
      </c>
      <c r="H705" s="21" t="str">
        <f t="shared" si="21"/>
        <v>JAMMU</v>
      </c>
      <c r="I705" s="21" t="s">
        <v>7097</v>
      </c>
      <c r="J705" s="22">
        <v>46004</v>
      </c>
      <c r="K705" s="21">
        <v>7006058332</v>
      </c>
      <c r="L705" s="21" t="s">
        <v>9241</v>
      </c>
      <c r="M705" s="23" t="s">
        <v>7141</v>
      </c>
      <c r="N705" s="22">
        <v>46007</v>
      </c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10329</v>
      </c>
      <c r="C706" s="21" t="s">
        <v>10330</v>
      </c>
      <c r="D706" s="21" t="s">
        <v>10331</v>
      </c>
      <c r="E706" s="21" t="s">
        <v>10332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10333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10336</v>
      </c>
      <c r="C707" s="21" t="s">
        <v>10340</v>
      </c>
      <c r="D707" s="21" t="s">
        <v>10341</v>
      </c>
      <c r="E707" s="21" t="s">
        <v>10342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10343</v>
      </c>
      <c r="J707" s="22">
        <v>46142</v>
      </c>
      <c r="K707" s="21">
        <v>9906742075</v>
      </c>
      <c r="L707" s="21" t="s">
        <v>68</v>
      </c>
      <c r="M707" s="23" t="s">
        <v>10720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10339</v>
      </c>
      <c r="C708" s="21" t="s">
        <v>10337</v>
      </c>
      <c r="D708" s="21" t="s">
        <v>10338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10344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10347</v>
      </c>
      <c r="C709" s="21" t="s">
        <v>10348</v>
      </c>
      <c r="D709" s="21" t="s">
        <v>10357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10375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10349</v>
      </c>
      <c r="C710" s="21" t="s">
        <v>10350</v>
      </c>
      <c r="D710" s="21" t="s">
        <v>10356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10382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10351</v>
      </c>
      <c r="C711" s="21" t="s">
        <v>10352</v>
      </c>
      <c r="D711" s="21" t="s">
        <v>10359</v>
      </c>
      <c r="E711" s="21" t="s">
        <v>10353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10376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10354</v>
      </c>
      <c r="C712" s="21" t="s">
        <v>10355</v>
      </c>
      <c r="D712" s="21" t="s">
        <v>10358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10379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10360</v>
      </c>
      <c r="C713" s="21" t="s">
        <v>10361</v>
      </c>
      <c r="D713" s="21" t="s">
        <v>10362</v>
      </c>
      <c r="E713" s="21" t="s">
        <v>10363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10380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10732</v>
      </c>
    </row>
    <row r="714" spans="1:18" x14ac:dyDescent="0.25">
      <c r="A714" s="21">
        <f t="shared" si="22"/>
        <v>713</v>
      </c>
      <c r="B714" s="21" t="s">
        <v>10364</v>
      </c>
      <c r="C714" s="21" t="s">
        <v>10366</v>
      </c>
      <c r="D714" s="21" t="s">
        <v>10367</v>
      </c>
      <c r="E714" s="21" t="s">
        <v>10365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10377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10368</v>
      </c>
      <c r="C715" s="21" t="s">
        <v>10369</v>
      </c>
      <c r="D715" s="21" t="s">
        <v>10370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10378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10371</v>
      </c>
      <c r="C716" s="21" t="s">
        <v>10372</v>
      </c>
      <c r="D716" s="21" t="s">
        <v>10373</v>
      </c>
      <c r="E716" s="21" t="s">
        <v>10374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10381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10402</v>
      </c>
      <c r="C717" s="21" t="s">
        <v>10403</v>
      </c>
      <c r="D717" s="21" t="s">
        <v>10404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10409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10398</v>
      </c>
      <c r="C718" s="21" t="s">
        <v>10399</v>
      </c>
      <c r="D718" s="21" t="s">
        <v>10400</v>
      </c>
      <c r="E718" s="21" t="s">
        <v>10401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10410</v>
      </c>
      <c r="J718" s="22">
        <v>46144</v>
      </c>
      <c r="K718" s="21">
        <v>7006898249</v>
      </c>
      <c r="L718" s="21" t="s">
        <v>6515</v>
      </c>
      <c r="M718" s="23" t="s">
        <v>7705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10394</v>
      </c>
      <c r="C719" s="21" t="s">
        <v>10395</v>
      </c>
      <c r="D719" s="21" t="s">
        <v>10396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10397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10405</v>
      </c>
      <c r="C720" s="21" t="s">
        <v>10411</v>
      </c>
      <c r="D720" s="21" t="s">
        <v>10406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10407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10393</v>
      </c>
      <c r="C721" s="21" t="s">
        <v>10391</v>
      </c>
      <c r="D721" s="21" t="s">
        <v>10392</v>
      </c>
      <c r="E721" s="21" t="s">
        <v>10390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10408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10472</v>
      </c>
    </row>
    <row r="722" spans="1:18" x14ac:dyDescent="0.25">
      <c r="A722" s="21">
        <f t="shared" si="22"/>
        <v>721</v>
      </c>
      <c r="B722" s="21" t="s">
        <v>10419</v>
      </c>
      <c r="C722" s="21" t="s">
        <v>10416</v>
      </c>
      <c r="D722" s="21" t="s">
        <v>10417</v>
      </c>
      <c r="E722" s="21" t="s">
        <v>10418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10428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10424</v>
      </c>
      <c r="C723" s="21" t="s">
        <v>10425</v>
      </c>
      <c r="D723" s="21" t="s">
        <v>10426</v>
      </c>
      <c r="E723" s="21" t="s">
        <v>10427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10429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10420</v>
      </c>
      <c r="C724" s="21" t="s">
        <v>10421</v>
      </c>
      <c r="D724" s="21" t="s">
        <v>10422</v>
      </c>
      <c r="E724" s="21" t="s">
        <v>10423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10437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10430</v>
      </c>
      <c r="C725" s="21" t="s">
        <v>10431</v>
      </c>
      <c r="D725" s="21" t="s">
        <v>10432</v>
      </c>
      <c r="E725" s="21" t="s">
        <v>10433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10436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10444</v>
      </c>
      <c r="C726" s="21" t="s">
        <v>10445</v>
      </c>
      <c r="D726" s="21" t="s">
        <v>10446</v>
      </c>
      <c r="E726" s="21" t="s">
        <v>10447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10453</v>
      </c>
      <c r="J726" s="22">
        <v>46146</v>
      </c>
      <c r="K726" s="21">
        <v>7889743548</v>
      </c>
      <c r="L726" s="21" t="s">
        <v>135</v>
      </c>
      <c r="M726" s="23" t="s">
        <v>11423</v>
      </c>
      <c r="N726" s="22">
        <v>46195</v>
      </c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10448</v>
      </c>
      <c r="C727" s="21" t="s">
        <v>10449</v>
      </c>
      <c r="D727" s="21" t="s">
        <v>10450</v>
      </c>
      <c r="E727" s="21" t="s">
        <v>10451</v>
      </c>
      <c r="F727" s="21" t="s">
        <v>10452</v>
      </c>
      <c r="G727" s="21" t="s">
        <v>196</v>
      </c>
      <c r="H727" s="21" t="str">
        <f t="shared" si="23"/>
        <v>SRINAGAR</v>
      </c>
      <c r="I727" s="21" t="s">
        <v>10454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7087</v>
      </c>
      <c r="C728" s="21" t="s">
        <v>7092</v>
      </c>
      <c r="D728" s="21" t="s">
        <v>7093</v>
      </c>
      <c r="E728" s="21" t="s">
        <v>7094</v>
      </c>
      <c r="F728" s="21" t="s">
        <v>286</v>
      </c>
      <c r="G728" s="21" t="s">
        <v>172</v>
      </c>
      <c r="H728" s="21" t="str">
        <f t="shared" si="23"/>
        <v>SHOPIAN</v>
      </c>
      <c r="I728" s="21" t="s">
        <v>7095</v>
      </c>
      <c r="J728" s="22">
        <v>46004</v>
      </c>
      <c r="K728" s="21">
        <v>7006885644</v>
      </c>
      <c r="L728" s="21" t="s">
        <v>6574</v>
      </c>
      <c r="M728" s="23" t="s">
        <v>7141</v>
      </c>
      <c r="N728" s="22">
        <v>46007</v>
      </c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10459</v>
      </c>
      <c r="C729" s="21" t="s">
        <v>10460</v>
      </c>
      <c r="D729" s="21" t="s">
        <v>10461</v>
      </c>
      <c r="E729" s="21" t="s">
        <v>10462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10463</v>
      </c>
      <c r="J729" s="22">
        <v>46147</v>
      </c>
      <c r="K729" s="21">
        <v>9622856758</v>
      </c>
      <c r="L729" s="21" t="s">
        <v>2143</v>
      </c>
      <c r="M729" s="23" t="s">
        <v>11184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10473</v>
      </c>
      <c r="C730" s="21" t="s">
        <v>10474</v>
      </c>
      <c r="D730" s="21" t="s">
        <v>10475</v>
      </c>
      <c r="E730" s="21" t="s">
        <v>10476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10487</v>
      </c>
      <c r="J730" s="22">
        <v>46148</v>
      </c>
      <c r="K730" s="21">
        <v>6006411258</v>
      </c>
      <c r="L730" s="21" t="s">
        <v>6515</v>
      </c>
      <c r="M730" s="23" t="s">
        <v>7705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10477</v>
      </c>
      <c r="C731" s="21" t="s">
        <v>10478</v>
      </c>
      <c r="D731" s="21" t="s">
        <v>10479</v>
      </c>
      <c r="E731" s="21" t="s">
        <v>10480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10489</v>
      </c>
      <c r="J731" s="22">
        <v>46148</v>
      </c>
      <c r="K731" s="21">
        <v>9541581455</v>
      </c>
      <c r="L731" s="21" t="s">
        <v>10485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10481</v>
      </c>
      <c r="C732" s="21" t="s">
        <v>10482</v>
      </c>
      <c r="D732" s="21" t="s">
        <v>10483</v>
      </c>
      <c r="E732" s="21" t="s">
        <v>10484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10486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10508</v>
      </c>
      <c r="C733" s="21" t="s">
        <v>10515</v>
      </c>
      <c r="D733" s="21" t="s">
        <v>10509</v>
      </c>
      <c r="E733" s="21" t="s">
        <v>10510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10521</v>
      </c>
      <c r="J733" s="22">
        <v>46149</v>
      </c>
      <c r="K733" s="21">
        <v>8493884319</v>
      </c>
      <c r="L733" s="21" t="s">
        <v>6515</v>
      </c>
      <c r="M733" s="23" t="s">
        <v>7705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10494</v>
      </c>
      <c r="C734" s="21" t="s">
        <v>10495</v>
      </c>
      <c r="D734" s="21" t="s">
        <v>10496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10497</v>
      </c>
      <c r="J734" s="22">
        <v>46149</v>
      </c>
      <c r="K734" s="21">
        <v>9682180757</v>
      </c>
      <c r="L734" s="21" t="s">
        <v>10162</v>
      </c>
      <c r="M734" s="23" t="s">
        <v>10507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6741</v>
      </c>
      <c r="C735" s="21" t="s">
        <v>6746</v>
      </c>
      <c r="D735" s="21" t="s">
        <v>6750</v>
      </c>
      <c r="E735" s="21" t="s">
        <v>6747</v>
      </c>
      <c r="F735" s="21" t="s">
        <v>116</v>
      </c>
      <c r="G735" s="21" t="s">
        <v>6751</v>
      </c>
      <c r="H735" s="21" t="str">
        <f t="shared" si="23"/>
        <v>SHOPIAN</v>
      </c>
      <c r="I735" s="21" t="s">
        <v>6755</v>
      </c>
      <c r="J735" s="22">
        <v>45995</v>
      </c>
      <c r="K735" s="21">
        <v>7780824558</v>
      </c>
      <c r="L735" s="21" t="s">
        <v>9241</v>
      </c>
      <c r="M735" s="23" t="s">
        <v>6841</v>
      </c>
      <c r="N735" s="22">
        <v>45997</v>
      </c>
      <c r="O735" s="21" t="s">
        <v>23</v>
      </c>
      <c r="P735" s="24">
        <v>45995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10511</v>
      </c>
      <c r="C736" s="21" t="s">
        <v>10512</v>
      </c>
      <c r="D736" s="21" t="s">
        <v>10513</v>
      </c>
      <c r="E736" s="21" t="s">
        <v>10514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10522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10516</v>
      </c>
      <c r="C737" s="21" t="s">
        <v>10517</v>
      </c>
      <c r="D737" s="21" t="s">
        <v>10518</v>
      </c>
      <c r="E737" s="21" t="s">
        <v>10519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10520</v>
      </c>
      <c r="J737" s="22">
        <v>46149</v>
      </c>
      <c r="K737" s="21">
        <v>9682364085</v>
      </c>
      <c r="L737" s="21" t="s">
        <v>303</v>
      </c>
      <c r="M737" s="23" t="s">
        <v>10773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10541</v>
      </c>
      <c r="C738" s="21" t="s">
        <v>10539</v>
      </c>
      <c r="D738" s="21" t="s">
        <v>10540</v>
      </c>
      <c r="E738" s="21" t="s">
        <v>10528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10549</v>
      </c>
      <c r="J738" s="22">
        <v>46151</v>
      </c>
      <c r="K738" s="21">
        <v>6006411019</v>
      </c>
      <c r="L738" s="21" t="s">
        <v>6515</v>
      </c>
      <c r="M738" s="23" t="s">
        <v>7705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10535</v>
      </c>
      <c r="C739" s="21" t="s">
        <v>10533</v>
      </c>
      <c r="D739" s="21" t="s">
        <v>10534</v>
      </c>
      <c r="E739" s="21" t="s">
        <v>10530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10546</v>
      </c>
      <c r="J739" s="22">
        <v>46151</v>
      </c>
      <c r="K739" s="21">
        <v>6006091335</v>
      </c>
      <c r="L739" s="21" t="s">
        <v>6515</v>
      </c>
      <c r="M739" s="23" t="s">
        <v>7705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10523</v>
      </c>
      <c r="C740" s="21" t="s">
        <v>10524</v>
      </c>
      <c r="D740" s="21" t="s">
        <v>10525</v>
      </c>
      <c r="E740" s="21" t="s">
        <v>10526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10547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10538</v>
      </c>
      <c r="C741" s="21" t="s">
        <v>10536</v>
      </c>
      <c r="D741" s="21" t="s">
        <v>10537</v>
      </c>
      <c r="E741" s="21" t="s">
        <v>10529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10545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10544</v>
      </c>
      <c r="C742" s="21" t="s">
        <v>10542</v>
      </c>
      <c r="D742" s="21" t="s">
        <v>10543</v>
      </c>
      <c r="E742" s="21" t="s">
        <v>10527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10548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10553</v>
      </c>
      <c r="C743" s="21" t="s">
        <v>10552</v>
      </c>
      <c r="D743" s="21" t="s">
        <v>10554</v>
      </c>
      <c r="E743" s="21" t="s">
        <v>10551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10555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10573</v>
      </c>
      <c r="C744" s="21" t="s">
        <v>10574</v>
      </c>
      <c r="D744" s="21" t="s">
        <v>10575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10576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10562</v>
      </c>
      <c r="C745" s="21" t="s">
        <v>10559</v>
      </c>
      <c r="D745" s="21" t="s">
        <v>10560</v>
      </c>
      <c r="E745" s="21" t="s">
        <v>10561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10577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10563</v>
      </c>
      <c r="C746" s="21" t="s">
        <v>10564</v>
      </c>
      <c r="D746" s="21" t="s">
        <v>10565</v>
      </c>
      <c r="E746" s="21" t="s">
        <v>10566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10572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10567</v>
      </c>
      <c r="C747" s="21" t="s">
        <v>10568</v>
      </c>
      <c r="D747" s="21" t="s">
        <v>10569</v>
      </c>
      <c r="E747" s="21" t="s">
        <v>10570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10571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10578</v>
      </c>
      <c r="C748" s="21" t="s">
        <v>10579</v>
      </c>
      <c r="D748" s="21" t="s">
        <v>10580</v>
      </c>
      <c r="E748" s="21" t="s">
        <v>10581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10586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10585</v>
      </c>
      <c r="C749" s="21" t="s">
        <v>10582</v>
      </c>
      <c r="D749" s="21" t="s">
        <v>10583</v>
      </c>
      <c r="E749" s="21" t="s">
        <v>10584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10587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10591</v>
      </c>
      <c r="C750" s="21" t="s">
        <v>10588</v>
      </c>
      <c r="D750" s="21" t="s">
        <v>10589</v>
      </c>
      <c r="E750" s="21" t="s">
        <v>10590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10597</v>
      </c>
      <c r="J750" s="22">
        <v>46155</v>
      </c>
      <c r="K750" s="21">
        <v>6006602208</v>
      </c>
      <c r="L750" s="21" t="s">
        <v>1122</v>
      </c>
      <c r="M750" s="23" t="s">
        <v>10625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10592</v>
      </c>
      <c r="C751" s="21" t="s">
        <v>10593</v>
      </c>
      <c r="D751" s="21" t="s">
        <v>10594</v>
      </c>
      <c r="E751" s="21" t="s">
        <v>10595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10596</v>
      </c>
      <c r="J751" s="22">
        <v>46155</v>
      </c>
      <c r="K751" s="21">
        <v>8492878158</v>
      </c>
      <c r="L751" s="21" t="s">
        <v>26</v>
      </c>
      <c r="M751" s="23" t="s">
        <v>11117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10606</v>
      </c>
      <c r="C752" s="21" t="s">
        <v>10603</v>
      </c>
      <c r="D752" s="21" t="s">
        <v>10604</v>
      </c>
      <c r="E752" s="21" t="s">
        <v>10605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10613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6451</v>
      </c>
      <c r="C753" s="21" t="s">
        <v>6448</v>
      </c>
      <c r="D753" s="21" t="s">
        <v>6712</v>
      </c>
      <c r="E753" s="21" t="s">
        <v>6450</v>
      </c>
      <c r="F753" s="21" t="s">
        <v>98</v>
      </c>
      <c r="G753" s="21" t="s">
        <v>197</v>
      </c>
      <c r="H753" s="21" t="str">
        <f t="shared" si="23"/>
        <v>SHOPIAN</v>
      </c>
      <c r="I753" s="21" t="s">
        <v>6449</v>
      </c>
      <c r="J753" s="22">
        <v>45976</v>
      </c>
      <c r="K753" s="21">
        <v>6005447751</v>
      </c>
      <c r="L753" s="21" t="s">
        <v>6452</v>
      </c>
      <c r="M753" s="23" t="s">
        <v>6720</v>
      </c>
      <c r="N753" s="22">
        <v>45994</v>
      </c>
      <c r="O753" s="21" t="s">
        <v>23</v>
      </c>
      <c r="P753" s="24">
        <v>45994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10614</v>
      </c>
      <c r="C754" s="21" t="s">
        <v>10615</v>
      </c>
      <c r="D754" s="21" t="s">
        <v>10616</v>
      </c>
      <c r="E754" s="21" t="s">
        <v>10617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10622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10618</v>
      </c>
      <c r="C755" s="21" t="s">
        <v>10619</v>
      </c>
      <c r="D755" s="21" t="s">
        <v>10620</v>
      </c>
      <c r="E755" s="21" t="s">
        <v>10621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10623</v>
      </c>
      <c r="J755" s="22">
        <v>46156</v>
      </c>
      <c r="K755" s="21">
        <v>9906441078</v>
      </c>
      <c r="L755" s="21" t="s">
        <v>10670</v>
      </c>
      <c r="M755" s="23" t="s">
        <v>10969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10493</v>
      </c>
      <c r="C756" s="21" t="s">
        <v>10490</v>
      </c>
      <c r="D756" s="21" t="s">
        <v>10491</v>
      </c>
      <c r="E756" s="21" t="s">
        <v>10492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10626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10628</v>
      </c>
      <c r="C757" s="21" t="s">
        <v>10629</v>
      </c>
      <c r="D757" s="21" t="s">
        <v>10630</v>
      </c>
      <c r="E757" s="21" t="s">
        <v>10631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10637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10632</v>
      </c>
      <c r="C758" s="21" t="s">
        <v>10634</v>
      </c>
      <c r="D758" s="21" t="s">
        <v>10635</v>
      </c>
      <c r="E758" s="21" t="s">
        <v>10636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10633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10656</v>
      </c>
      <c r="C759" s="21" t="s">
        <v>10639</v>
      </c>
      <c r="D759" s="21" t="s">
        <v>10640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10649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10638</v>
      </c>
      <c r="C760" s="21" t="s">
        <v>10641</v>
      </c>
      <c r="D760" s="21" t="s">
        <v>10642</v>
      </c>
      <c r="E760" s="21" t="s">
        <v>10643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10648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10647</v>
      </c>
      <c r="C761" s="21" t="s">
        <v>10644</v>
      </c>
      <c r="D761" s="21" t="s">
        <v>10645</v>
      </c>
      <c r="E761" s="21" t="s">
        <v>10646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10650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10655</v>
      </c>
      <c r="C762" s="21" t="s">
        <v>10653</v>
      </c>
      <c r="D762" s="21" t="s">
        <v>10654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10659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10660</v>
      </c>
      <c r="C763" s="21" t="s">
        <v>10661</v>
      </c>
      <c r="D763" s="21" t="s">
        <v>10662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10672</v>
      </c>
      <c r="J763" s="22">
        <v>46158</v>
      </c>
      <c r="K763" s="21">
        <v>9797711481</v>
      </c>
      <c r="L763" s="21" t="s">
        <v>6515</v>
      </c>
      <c r="M763" s="23" t="s">
        <v>7705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10663</v>
      </c>
      <c r="C764" s="21" t="s">
        <v>10664</v>
      </c>
      <c r="D764" s="21" t="s">
        <v>10665</v>
      </c>
      <c r="E764" s="21" t="s">
        <v>10666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10671</v>
      </c>
      <c r="J764" s="22">
        <v>46158</v>
      </c>
      <c r="K764" s="21">
        <v>9622787355</v>
      </c>
      <c r="L764" s="21" t="s">
        <v>9902</v>
      </c>
      <c r="M764" s="23" t="s">
        <v>7705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10683</v>
      </c>
      <c r="C765" s="21" t="s">
        <v>10684</v>
      </c>
      <c r="D765" s="21" t="s">
        <v>10685</v>
      </c>
      <c r="E765" s="21" t="s">
        <v>10686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10687</v>
      </c>
      <c r="J765" s="22">
        <v>46158</v>
      </c>
      <c r="K765" s="21">
        <v>7006975068</v>
      </c>
      <c r="L765" s="21" t="s">
        <v>26</v>
      </c>
      <c r="M765" s="23" t="s">
        <v>11067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10691</v>
      </c>
      <c r="C766" s="21" t="s">
        <v>10689</v>
      </c>
      <c r="D766" s="21" t="s">
        <v>10690</v>
      </c>
      <c r="E766" s="21" t="s">
        <v>10688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10692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10694</v>
      </c>
      <c r="C767" s="21" t="s">
        <v>10695</v>
      </c>
      <c r="D767" s="21" t="s">
        <v>10696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10697</v>
      </c>
      <c r="J767" s="22">
        <v>46160</v>
      </c>
      <c r="K767" s="21">
        <v>7889482504</v>
      </c>
      <c r="L767" s="21" t="s">
        <v>10242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10701</v>
      </c>
      <c r="C768" s="21" t="s">
        <v>10698</v>
      </c>
      <c r="D768" s="21" t="s">
        <v>10699</v>
      </c>
      <c r="E768" s="21" t="s">
        <v>10700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10702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10706</v>
      </c>
      <c r="C769" s="21" t="s">
        <v>10703</v>
      </c>
      <c r="D769" s="21" t="s">
        <v>10704</v>
      </c>
      <c r="E769" s="21" t="s">
        <v>10705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10709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10681</v>
      </c>
      <c r="C770" s="21" t="s">
        <v>10678</v>
      </c>
      <c r="D770" s="21" t="s">
        <v>10679</v>
      </c>
      <c r="E770" s="21" t="s">
        <v>10680</v>
      </c>
      <c r="F770" s="21" t="s">
        <v>12</v>
      </c>
      <c r="G770" s="21" t="s">
        <v>178</v>
      </c>
      <c r="H770" s="21" t="str">
        <f t="shared" ref="H770:H833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10719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10735</v>
      </c>
      <c r="C771" s="21" t="s">
        <v>10725</v>
      </c>
      <c r="D771" s="21" t="s">
        <v>10726</v>
      </c>
      <c r="E771" s="21" t="s">
        <v>10733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10727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10736</v>
      </c>
      <c r="C772" s="21" t="s">
        <v>10729</v>
      </c>
      <c r="D772" s="21" t="s">
        <v>10730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10728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10721</v>
      </c>
      <c r="C773" s="21" t="s">
        <v>10722</v>
      </c>
      <c r="D773" s="21" t="s">
        <v>10724</v>
      </c>
      <c r="E773" s="21" t="s">
        <v>10723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10750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10761</v>
      </c>
      <c r="C774" s="21" t="s">
        <v>10762</v>
      </c>
      <c r="D774" s="21" t="s">
        <v>10763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10764</v>
      </c>
      <c r="J774" s="22">
        <v>46162</v>
      </c>
      <c r="K774" s="21">
        <v>9596210841</v>
      </c>
      <c r="L774" s="21" t="s">
        <v>6515</v>
      </c>
      <c r="M774" s="23" t="s">
        <v>7705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10737</v>
      </c>
      <c r="C775" s="21" t="s">
        <v>10739</v>
      </c>
      <c r="D775" s="21" t="s">
        <v>10740</v>
      </c>
      <c r="E775" s="21" t="s">
        <v>10738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10748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10741</v>
      </c>
      <c r="C776" s="21" t="s">
        <v>10742</v>
      </c>
      <c r="D776" s="21" t="s">
        <v>10743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10749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10747</v>
      </c>
      <c r="C777" s="21" t="s">
        <v>10744</v>
      </c>
      <c r="D777" s="21" t="s">
        <v>10745</v>
      </c>
      <c r="E777" s="21" t="s">
        <v>10746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10751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10753</v>
      </c>
      <c r="C778" s="21" t="s">
        <v>10754</v>
      </c>
      <c r="D778" s="21" t="s">
        <v>10756</v>
      </c>
      <c r="E778" s="21" t="s">
        <v>10755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10765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10853</v>
      </c>
      <c r="R778" s="21"/>
    </row>
    <row r="779" spans="1:18" x14ac:dyDescent="0.25">
      <c r="A779" s="21">
        <f t="shared" si="24"/>
        <v>778</v>
      </c>
      <c r="B779" s="21" t="s">
        <v>10757</v>
      </c>
      <c r="C779" s="21" t="s">
        <v>10758</v>
      </c>
      <c r="D779" s="21" t="s">
        <v>10759</v>
      </c>
      <c r="E779" s="21" t="s">
        <v>10760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10766</v>
      </c>
      <c r="J779" s="22">
        <v>46162</v>
      </c>
      <c r="K779" s="21">
        <v>7889983618</v>
      </c>
      <c r="L779" s="21" t="s">
        <v>303</v>
      </c>
      <c r="M779" s="23" t="s">
        <v>11065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10768</v>
      </c>
      <c r="C780" s="21" t="s">
        <v>10769</v>
      </c>
      <c r="D780" s="21" t="s">
        <v>10770</v>
      </c>
      <c r="E780" s="21" t="s">
        <v>10771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10772</v>
      </c>
      <c r="J780" s="22">
        <v>46163</v>
      </c>
      <c r="K780" s="21">
        <v>8082818254</v>
      </c>
      <c r="L780" s="21" t="s">
        <v>9612</v>
      </c>
      <c r="M780" s="23" t="s">
        <v>11516</v>
      </c>
      <c r="N780" s="22">
        <v>46197</v>
      </c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10777</v>
      </c>
      <c r="C781" s="21" t="s">
        <v>10778</v>
      </c>
      <c r="D781" s="21" t="s">
        <v>10779</v>
      </c>
      <c r="E781" s="21" t="s">
        <v>10780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10781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10774</v>
      </c>
      <c r="C782" s="21" t="s">
        <v>10775</v>
      </c>
      <c r="D782" s="21" t="s">
        <v>10776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10798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10783</v>
      </c>
      <c r="C783" s="21" t="s">
        <v>10784</v>
      </c>
      <c r="D783" s="21" t="s">
        <v>10785</v>
      </c>
      <c r="E783" s="21" t="s">
        <v>10786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10799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10790</v>
      </c>
      <c r="C784" s="21" t="s">
        <v>10787</v>
      </c>
      <c r="D784" s="21" t="s">
        <v>10788</v>
      </c>
      <c r="E784" s="21" t="s">
        <v>10789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10800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10791</v>
      </c>
      <c r="C785" s="21" t="s">
        <v>10792</v>
      </c>
      <c r="D785" s="21" t="s">
        <v>10793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10802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10794</v>
      </c>
      <c r="C786" s="21" t="s">
        <v>10795</v>
      </c>
      <c r="D786" s="21" t="s">
        <v>10796</v>
      </c>
      <c r="E786" s="21" t="s">
        <v>10797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10801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10812</v>
      </c>
      <c r="C787" s="21" t="s">
        <v>10809</v>
      </c>
      <c r="D787" s="21" t="s">
        <v>10810</v>
      </c>
      <c r="E787" s="21" t="s">
        <v>10811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10830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10815</v>
      </c>
      <c r="C788" s="21" t="s">
        <v>10813</v>
      </c>
      <c r="D788" s="21" t="s">
        <v>10814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10829</v>
      </c>
      <c r="J788" s="22">
        <v>46164</v>
      </c>
      <c r="K788" s="21">
        <v>9906666238</v>
      </c>
      <c r="L788" s="21" t="s">
        <v>68</v>
      </c>
      <c r="M788" s="23" t="s">
        <v>10988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10824</v>
      </c>
      <c r="C789" s="21" t="s">
        <v>10825</v>
      </c>
      <c r="D789" s="21" t="s">
        <v>10826</v>
      </c>
      <c r="E789" s="21" t="s">
        <v>10827</v>
      </c>
      <c r="F789" s="21" t="s">
        <v>12</v>
      </c>
      <c r="G789" s="21" t="s">
        <v>178</v>
      </c>
      <c r="H789" s="21" t="str">
        <f t="shared" si="25"/>
        <v>SRINAGAR</v>
      </c>
      <c r="I789" s="21" t="s">
        <v>10828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10820</v>
      </c>
      <c r="C790" s="21" t="s">
        <v>10821</v>
      </c>
      <c r="D790" s="21" t="s">
        <v>10822</v>
      </c>
      <c r="E790" s="21" t="s">
        <v>10823</v>
      </c>
      <c r="F790" s="21" t="s">
        <v>12</v>
      </c>
      <c r="G790" s="21" t="s">
        <v>178</v>
      </c>
      <c r="H790" s="21" t="str">
        <f t="shared" si="25"/>
        <v>TEMP</v>
      </c>
      <c r="I790" s="21" t="s">
        <v>10831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10842</v>
      </c>
      <c r="C791" s="21" t="s">
        <v>10839</v>
      </c>
      <c r="D791" s="21" t="s">
        <v>10840</v>
      </c>
      <c r="E791" s="21" t="s">
        <v>10841</v>
      </c>
      <c r="F791" s="21" t="s">
        <v>12</v>
      </c>
      <c r="G791" s="21" t="s">
        <v>178</v>
      </c>
      <c r="H791" s="21" t="str">
        <f t="shared" si="25"/>
        <v>SRINAGAR</v>
      </c>
      <c r="I791" s="21" t="s">
        <v>10865</v>
      </c>
      <c r="J791" s="22">
        <v>46164</v>
      </c>
      <c r="K791" s="21">
        <v>9419766402</v>
      </c>
      <c r="L791" s="21" t="s">
        <v>10242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6604</v>
      </c>
      <c r="C792" s="21" t="s">
        <v>6605</v>
      </c>
      <c r="D792" s="21" t="s">
        <v>6684</v>
      </c>
      <c r="E792" s="21" t="s">
        <v>6606</v>
      </c>
      <c r="F792" s="21" t="s">
        <v>116</v>
      </c>
      <c r="G792" s="21" t="s">
        <v>197</v>
      </c>
      <c r="H792" s="21" t="str">
        <f t="shared" si="25"/>
        <v>KULGAM</v>
      </c>
      <c r="I792" s="21" t="s">
        <v>6607</v>
      </c>
      <c r="J792" s="22">
        <v>45985</v>
      </c>
      <c r="K792" s="21">
        <v>9906619090</v>
      </c>
      <c r="L792" s="21" t="s">
        <v>6574</v>
      </c>
      <c r="M792" s="23" t="s">
        <v>6685</v>
      </c>
      <c r="N792" s="22">
        <v>45989</v>
      </c>
      <c r="O792" s="21" t="s">
        <v>23</v>
      </c>
      <c r="P792" s="24">
        <v>45989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10859</v>
      </c>
      <c r="C793" s="21" t="s">
        <v>10856</v>
      </c>
      <c r="D793" s="21" t="s">
        <v>10857</v>
      </c>
      <c r="E793" s="21" t="s">
        <v>10858</v>
      </c>
      <c r="F793" s="21" t="s">
        <v>5</v>
      </c>
      <c r="G793" s="21" t="s">
        <v>196</v>
      </c>
      <c r="H793" s="21" t="str">
        <f t="shared" si="25"/>
        <v>KULGAM</v>
      </c>
      <c r="I793" s="21" t="s">
        <v>10867</v>
      </c>
      <c r="J793" s="22">
        <v>46165</v>
      </c>
      <c r="K793" s="21">
        <v>6006180214</v>
      </c>
      <c r="L793" s="21" t="s">
        <v>434</v>
      </c>
      <c r="M793" s="23" t="s">
        <v>11084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10869</v>
      </c>
      <c r="C794" s="21" t="s">
        <v>10870</v>
      </c>
      <c r="D794" s="21" t="s">
        <v>10871</v>
      </c>
      <c r="E794" s="21" t="s">
        <v>10872</v>
      </c>
      <c r="F794" s="21" t="s">
        <v>190</v>
      </c>
      <c r="G794" s="21" t="s">
        <v>196</v>
      </c>
      <c r="H794" s="21" t="str">
        <f t="shared" si="25"/>
        <v>SRINAGAR</v>
      </c>
      <c r="I794" s="21" t="s">
        <v>10873</v>
      </c>
      <c r="J794" s="22">
        <v>46165</v>
      </c>
      <c r="K794" s="21">
        <v>6005528953</v>
      </c>
      <c r="L794" s="21" t="s">
        <v>2143</v>
      </c>
      <c r="M794" s="23" t="s">
        <v>8531</v>
      </c>
      <c r="N794" s="22">
        <v>46167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10880</v>
      </c>
      <c r="C795" s="21" t="s">
        <v>10878</v>
      </c>
      <c r="D795" s="21" t="s">
        <v>10879</v>
      </c>
      <c r="E795" s="21" t="s">
        <v>10877</v>
      </c>
      <c r="F795" s="21" t="s">
        <v>12</v>
      </c>
      <c r="G795" s="21" t="s">
        <v>178</v>
      </c>
      <c r="H795" s="21" t="str">
        <f t="shared" si="25"/>
        <v>NEW</v>
      </c>
      <c r="I795" s="21" t="s">
        <v>10882</v>
      </c>
      <c r="J795" s="22">
        <v>46165</v>
      </c>
      <c r="K795" s="21">
        <v>9622281979</v>
      </c>
      <c r="L795" s="21" t="s">
        <v>547</v>
      </c>
      <c r="M795" s="23" t="s">
        <v>7445</v>
      </c>
      <c r="N795" s="22">
        <v>46183</v>
      </c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10860</v>
      </c>
      <c r="C796" s="21" t="s">
        <v>10861</v>
      </c>
      <c r="D796" s="21" t="s">
        <v>10862</v>
      </c>
      <c r="E796" s="21" t="s">
        <v>10863</v>
      </c>
      <c r="F796" s="21" t="s">
        <v>65</v>
      </c>
      <c r="G796" s="21" t="s">
        <v>197</v>
      </c>
      <c r="H796" s="21" t="str">
        <f t="shared" si="25"/>
        <v>PULWAMA</v>
      </c>
      <c r="I796" s="21" t="s">
        <v>10866</v>
      </c>
      <c r="J796" s="22">
        <v>46165</v>
      </c>
      <c r="K796" s="21">
        <v>9622728446</v>
      </c>
      <c r="L796" s="21" t="s">
        <v>7228</v>
      </c>
      <c r="M796" s="23" t="s">
        <v>11329</v>
      </c>
      <c r="N796" s="22"/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10899</v>
      </c>
      <c r="C797" s="21" t="s">
        <v>10895</v>
      </c>
      <c r="D797" s="21" t="s">
        <v>10910</v>
      </c>
      <c r="E797" s="21" t="s">
        <v>10897</v>
      </c>
      <c r="F797" s="21" t="s">
        <v>5</v>
      </c>
      <c r="G797" s="21" t="s">
        <v>196</v>
      </c>
      <c r="H797" s="21" t="str">
        <f t="shared" si="25"/>
        <v>ANANTNAG</v>
      </c>
      <c r="I797" s="21" t="s">
        <v>10901</v>
      </c>
      <c r="J797" s="22">
        <v>46167</v>
      </c>
      <c r="K797" s="21">
        <v>9906564039</v>
      </c>
      <c r="L797" s="21" t="s">
        <v>10928</v>
      </c>
      <c r="M797" s="23" t="s">
        <v>11118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10900</v>
      </c>
      <c r="C798" s="21" t="s">
        <v>10896</v>
      </c>
      <c r="D798" s="21" t="s">
        <v>10911</v>
      </c>
      <c r="E798" s="21" t="s">
        <v>10898</v>
      </c>
      <c r="F798" s="21" t="s">
        <v>36</v>
      </c>
      <c r="G798" s="21" t="s">
        <v>196</v>
      </c>
      <c r="H798" s="21" t="str">
        <f t="shared" si="25"/>
        <v>SRINAGAR</v>
      </c>
      <c r="I798" s="21" t="s">
        <v>10902</v>
      </c>
      <c r="J798" s="22">
        <v>46167</v>
      </c>
      <c r="K798" s="21">
        <v>6005323353</v>
      </c>
      <c r="L798" s="21" t="s">
        <v>73</v>
      </c>
      <c r="M798" s="23" t="s">
        <v>11167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10904</v>
      </c>
      <c r="D799" s="21" t="s">
        <v>10905</v>
      </c>
      <c r="E799" s="21" t="s">
        <v>10906</v>
      </c>
      <c r="F799" s="21" t="s">
        <v>98</v>
      </c>
      <c r="G799" s="21" t="s">
        <v>171</v>
      </c>
      <c r="H799" s="21" t="str">
        <f t="shared" si="25"/>
        <v>BARAMULLA</v>
      </c>
      <c r="I799" s="21" t="s">
        <v>10913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10891</v>
      </c>
      <c r="C800" s="21" t="s">
        <v>10883</v>
      </c>
      <c r="D800" s="21" t="s">
        <v>10908</v>
      </c>
      <c r="E800" s="21" t="s">
        <v>10887</v>
      </c>
      <c r="F800" s="21" t="s">
        <v>98</v>
      </c>
      <c r="G800" s="21" t="s">
        <v>223</v>
      </c>
      <c r="H800" s="21" t="str">
        <f t="shared" si="25"/>
        <v>BUDGAM</v>
      </c>
      <c r="I800" s="21" t="s">
        <v>10915</v>
      </c>
      <c r="J800" s="22">
        <v>46167</v>
      </c>
      <c r="K800" s="21">
        <v>7889479226</v>
      </c>
      <c r="L800" s="21" t="s">
        <v>26</v>
      </c>
      <c r="M800" s="23" t="s">
        <v>10995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10892</v>
      </c>
      <c r="C801" s="21" t="s">
        <v>10884</v>
      </c>
      <c r="D801" s="21" t="s">
        <v>10909</v>
      </c>
      <c r="E801" s="21" t="s">
        <v>10888</v>
      </c>
      <c r="F801" s="21" t="s">
        <v>5</v>
      </c>
      <c r="G801" s="21" t="s">
        <v>196</v>
      </c>
      <c r="H801" s="21" t="str">
        <f t="shared" si="25"/>
        <v>BUDGAM</v>
      </c>
      <c r="I801" s="21" t="s">
        <v>10914</v>
      </c>
      <c r="J801" s="22">
        <v>46167</v>
      </c>
      <c r="K801" s="21">
        <v>9055028530</v>
      </c>
      <c r="L801" s="21" t="s">
        <v>68</v>
      </c>
      <c r="M801" s="23" t="s">
        <v>11116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10893</v>
      </c>
      <c r="C802" s="21" t="s">
        <v>10885</v>
      </c>
      <c r="D802" s="21" t="s">
        <v>10907</v>
      </c>
      <c r="E802" s="21" t="s">
        <v>10889</v>
      </c>
      <c r="F802" s="21" t="s">
        <v>12</v>
      </c>
      <c r="G802" s="21" t="s">
        <v>178</v>
      </c>
      <c r="H802" s="21" t="str">
        <f t="shared" si="25"/>
        <v>SRINAGAR</v>
      </c>
      <c r="I802" s="21" t="s">
        <v>10917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10894</v>
      </c>
      <c r="C803" s="21" t="s">
        <v>10886</v>
      </c>
      <c r="D803" s="21" t="s">
        <v>10912</v>
      </c>
      <c r="E803" s="21" t="s">
        <v>10890</v>
      </c>
      <c r="F803" s="21" t="s">
        <v>5</v>
      </c>
      <c r="G803" s="21" t="s">
        <v>197</v>
      </c>
      <c r="H803" s="21" t="str">
        <f t="shared" si="25"/>
        <v>SRINAGAR</v>
      </c>
      <c r="I803" s="21" t="s">
        <v>10916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10924</v>
      </c>
      <c r="C804" s="21" t="s">
        <v>10925</v>
      </c>
      <c r="D804" s="21" t="s">
        <v>10926</v>
      </c>
      <c r="E804" s="21" t="s">
        <v>10927</v>
      </c>
      <c r="F804" s="21" t="s">
        <v>98</v>
      </c>
      <c r="G804" s="21" t="s">
        <v>178</v>
      </c>
      <c r="H804" s="21" t="str">
        <f t="shared" si="25"/>
        <v>SRINAGAR</v>
      </c>
      <c r="I804" s="21" t="s">
        <v>10933</v>
      </c>
      <c r="J804" s="22">
        <v>46167</v>
      </c>
      <c r="K804" s="21">
        <v>7051923420</v>
      </c>
      <c r="L804" s="21" t="s">
        <v>10242</v>
      </c>
      <c r="M804" s="23" t="s">
        <v>11284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10930</v>
      </c>
      <c r="C805" s="21" t="s">
        <v>10849</v>
      </c>
      <c r="D805" s="21" t="s">
        <v>10931</v>
      </c>
      <c r="E805" s="21" t="s">
        <v>10847</v>
      </c>
      <c r="F805" s="21" t="s">
        <v>277</v>
      </c>
      <c r="G805" s="21" t="s">
        <v>197</v>
      </c>
      <c r="H805" s="21" t="str">
        <f t="shared" si="25"/>
        <v>SRINAGAR</v>
      </c>
      <c r="I805" s="21" t="s">
        <v>10932</v>
      </c>
      <c r="J805" s="22">
        <v>46167</v>
      </c>
      <c r="K805" s="21">
        <v>9796990530</v>
      </c>
      <c r="L805" s="21" t="s">
        <v>73</v>
      </c>
      <c r="M805" s="23" t="s">
        <v>10977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10934</v>
      </c>
      <c r="C806" s="21" t="s">
        <v>10935</v>
      </c>
      <c r="D806" s="21" t="s">
        <v>10936</v>
      </c>
      <c r="E806" s="21" t="s">
        <v>10937</v>
      </c>
      <c r="F806" s="21" t="s">
        <v>36</v>
      </c>
      <c r="G806" s="21" t="s">
        <v>196</v>
      </c>
      <c r="H806" s="21" t="str">
        <f t="shared" si="25"/>
        <v>GANDERBAL</v>
      </c>
      <c r="I806" s="21" t="s">
        <v>10943</v>
      </c>
      <c r="J806" s="22">
        <v>46168</v>
      </c>
      <c r="K806" s="21">
        <v>7006256901</v>
      </c>
      <c r="L806" s="21" t="s">
        <v>10242</v>
      </c>
      <c r="M806" s="23" t="s">
        <v>11168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10949</v>
      </c>
      <c r="C807" s="21" t="s">
        <v>10950</v>
      </c>
      <c r="D807" s="21" t="s">
        <v>10951</v>
      </c>
      <c r="E807" s="21" t="s">
        <v>10952</v>
      </c>
      <c r="F807" s="21" t="s">
        <v>12</v>
      </c>
      <c r="G807" s="21" t="s">
        <v>178</v>
      </c>
      <c r="H807" s="21" t="str">
        <f t="shared" si="25"/>
        <v>SRINAGAR</v>
      </c>
      <c r="I807" s="21" t="s">
        <v>10967</v>
      </c>
      <c r="J807" s="22">
        <v>46168</v>
      </c>
      <c r="K807" s="21">
        <v>8825062872</v>
      </c>
      <c r="L807" s="21" t="s">
        <v>10162</v>
      </c>
      <c r="M807" s="23" t="s">
        <v>7765</v>
      </c>
      <c r="N807" s="22">
        <v>46172</v>
      </c>
      <c r="O807" s="21" t="s">
        <v>23</v>
      </c>
      <c r="P807" s="24">
        <v>46172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10957</v>
      </c>
      <c r="C808" s="21" t="s">
        <v>10964</v>
      </c>
      <c r="D808" s="21" t="s">
        <v>10958</v>
      </c>
      <c r="E808" s="21" t="s">
        <v>10959</v>
      </c>
      <c r="F808" s="21" t="s">
        <v>12</v>
      </c>
      <c r="G808" s="21" t="s">
        <v>197</v>
      </c>
      <c r="H808" s="21" t="str">
        <f t="shared" si="25"/>
        <v>BUDGAM</v>
      </c>
      <c r="I808" s="21" t="s">
        <v>10965</v>
      </c>
      <c r="J808" s="22">
        <v>46168</v>
      </c>
      <c r="K808" s="21">
        <v>7889540230</v>
      </c>
      <c r="L808" s="21" t="s">
        <v>10242</v>
      </c>
      <c r="M808" s="23" t="s">
        <v>11168</v>
      </c>
      <c r="N808" s="22">
        <v>46183</v>
      </c>
      <c r="O808" s="21" t="s">
        <v>23</v>
      </c>
      <c r="P808" s="24">
        <v>46168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10960</v>
      </c>
      <c r="C809" s="21" t="s">
        <v>10961</v>
      </c>
      <c r="D809" s="21" t="s">
        <v>10962</v>
      </c>
      <c r="E809" s="21" t="s">
        <v>10963</v>
      </c>
      <c r="F809" s="21" t="s">
        <v>5</v>
      </c>
      <c r="G809" s="21" t="s">
        <v>197</v>
      </c>
      <c r="H809" s="21" t="str">
        <f t="shared" si="25"/>
        <v>KUPWARA</v>
      </c>
      <c r="I809" s="21" t="s">
        <v>10966</v>
      </c>
      <c r="J809" s="22">
        <v>46168</v>
      </c>
      <c r="K809" s="21">
        <v>9682167032</v>
      </c>
      <c r="L809" s="21" t="s">
        <v>191</v>
      </c>
      <c r="M809" s="23" t="s">
        <v>7585</v>
      </c>
      <c r="N809" s="22">
        <v>46168</v>
      </c>
      <c r="O809" s="21" t="s">
        <v>23</v>
      </c>
      <c r="P809" s="24">
        <v>46168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10953</v>
      </c>
      <c r="C810" s="21" t="s">
        <v>10954</v>
      </c>
      <c r="D810" s="21" t="s">
        <v>10955</v>
      </c>
      <c r="E810" s="21" t="s">
        <v>10956</v>
      </c>
      <c r="F810" s="21" t="s">
        <v>12</v>
      </c>
      <c r="G810" s="21" t="s">
        <v>197</v>
      </c>
      <c r="H810" s="21" t="str">
        <f t="shared" si="25"/>
        <v>SHOPIAN</v>
      </c>
      <c r="I810" s="21" t="s">
        <v>10968</v>
      </c>
      <c r="J810" s="22">
        <v>46168</v>
      </c>
      <c r="K810" s="21">
        <v>7006762518</v>
      </c>
      <c r="L810" s="21" t="s">
        <v>7228</v>
      </c>
      <c r="M810" s="23" t="s">
        <v>7705</v>
      </c>
      <c r="N810" s="22">
        <v>46190</v>
      </c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10970</v>
      </c>
      <c r="C811" s="21" t="s">
        <v>10971</v>
      </c>
      <c r="D811" s="21" t="s">
        <v>10972</v>
      </c>
      <c r="E811" s="21" t="s">
        <v>10973</v>
      </c>
      <c r="F811" s="21" t="s">
        <v>12</v>
      </c>
      <c r="G811" s="21" t="s">
        <v>178</v>
      </c>
      <c r="H811" s="21" t="str">
        <f t="shared" si="25"/>
        <v>PULWAMA</v>
      </c>
      <c r="I811" s="21" t="s">
        <v>10978</v>
      </c>
      <c r="J811" s="22">
        <v>46168</v>
      </c>
      <c r="K811" s="21">
        <v>7889400213</v>
      </c>
      <c r="L811" s="21" t="s">
        <v>6515</v>
      </c>
      <c r="M811" s="23" t="s">
        <v>11329</v>
      </c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10938</v>
      </c>
      <c r="C812" s="21" t="s">
        <v>10939</v>
      </c>
      <c r="D812" s="21" t="s">
        <v>10940</v>
      </c>
      <c r="E812" s="21" t="s">
        <v>10941</v>
      </c>
      <c r="F812" s="21" t="s">
        <v>12</v>
      </c>
      <c r="G812" s="21" t="s">
        <v>171</v>
      </c>
      <c r="H812" s="21" t="str">
        <f t="shared" si="25"/>
        <v>SHOPIAN</v>
      </c>
      <c r="I812" s="21" t="s">
        <v>10942</v>
      </c>
      <c r="J812" s="22">
        <v>46168</v>
      </c>
      <c r="K812" s="21">
        <v>9149409685</v>
      </c>
      <c r="L812" s="21" t="s">
        <v>9902</v>
      </c>
      <c r="M812" s="23" t="s">
        <v>11329</v>
      </c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10819</v>
      </c>
      <c r="C813" s="21" t="s">
        <v>10816</v>
      </c>
      <c r="D813" s="21" t="s">
        <v>10817</v>
      </c>
      <c r="E813" s="21" t="s">
        <v>10818</v>
      </c>
      <c r="F813" s="21" t="s">
        <v>12</v>
      </c>
      <c r="G813" s="21" t="s">
        <v>197</v>
      </c>
      <c r="H813" s="21" t="str">
        <f t="shared" si="25"/>
        <v>BARAMULLA</v>
      </c>
      <c r="I813" s="21" t="s">
        <v>10979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9331</v>
      </c>
      <c r="C814" s="21" t="s">
        <v>9336</v>
      </c>
      <c r="D814" s="21" t="s">
        <v>9337</v>
      </c>
      <c r="E814" s="21" t="s">
        <v>9338</v>
      </c>
      <c r="F814" s="21" t="s">
        <v>12</v>
      </c>
      <c r="G814" s="21" t="s">
        <v>197</v>
      </c>
      <c r="H814" s="21" t="str">
        <f t="shared" si="25"/>
        <v>PULWAMA</v>
      </c>
      <c r="I814" s="21" t="s">
        <v>9340</v>
      </c>
      <c r="J814" s="22">
        <v>46097</v>
      </c>
      <c r="K814" s="21">
        <v>7298762558</v>
      </c>
      <c r="L814" s="21" t="s">
        <v>6564</v>
      </c>
      <c r="M814" s="23"/>
      <c r="N814" s="22"/>
      <c r="O814" s="21"/>
      <c r="P814" s="24"/>
      <c r="Q814" s="21"/>
      <c r="R814" s="21" t="s">
        <v>9348</v>
      </c>
    </row>
    <row r="815" spans="1:18" x14ac:dyDescent="0.25">
      <c r="A815" s="21">
        <f t="shared" si="24"/>
        <v>814</v>
      </c>
      <c r="B815" s="21" t="s">
        <v>10985</v>
      </c>
      <c r="C815" s="21" t="s">
        <v>10984</v>
      </c>
      <c r="D815" s="21" t="s">
        <v>10986</v>
      </c>
      <c r="E815" s="21" t="s">
        <v>10987</v>
      </c>
      <c r="F815" s="21" t="s">
        <v>116</v>
      </c>
      <c r="G815" s="21" t="s">
        <v>197</v>
      </c>
      <c r="H815" s="21" t="str">
        <f t="shared" si="25"/>
        <v>SRINAGAR</v>
      </c>
      <c r="I815" s="21" t="s">
        <v>10989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10991</v>
      </c>
      <c r="C816" s="21" t="s">
        <v>10992</v>
      </c>
      <c r="D816" s="21" t="s">
        <v>10993</v>
      </c>
      <c r="E816" s="21" t="s">
        <v>10994</v>
      </c>
      <c r="F816" s="21" t="s">
        <v>5</v>
      </c>
      <c r="G816" s="21" t="s">
        <v>197</v>
      </c>
      <c r="H816" s="21" t="str">
        <f t="shared" si="25"/>
        <v>BANDIPORA</v>
      </c>
      <c r="I816" s="21" t="s">
        <v>11010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10999</v>
      </c>
      <c r="C817" s="21" t="s">
        <v>10996</v>
      </c>
      <c r="D817" s="21" t="s">
        <v>10997</v>
      </c>
      <c r="E817" s="21" t="s">
        <v>10998</v>
      </c>
      <c r="F817" s="21" t="s">
        <v>12</v>
      </c>
      <c r="G817" s="21" t="s">
        <v>197</v>
      </c>
      <c r="H817" s="21" t="str">
        <f t="shared" si="25"/>
        <v>BARAMULLA</v>
      </c>
      <c r="I817" s="21" t="s">
        <v>11011</v>
      </c>
      <c r="J817" s="22">
        <v>46172</v>
      </c>
      <c r="K817" s="21">
        <v>9682555158</v>
      </c>
      <c r="L817" s="21" t="s">
        <v>1122</v>
      </c>
      <c r="M817" s="23" t="s">
        <v>11330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11003</v>
      </c>
      <c r="C818" s="21" t="s">
        <v>11000</v>
      </c>
      <c r="D818" s="21" t="s">
        <v>11001</v>
      </c>
      <c r="E818" s="21" t="s">
        <v>11002</v>
      </c>
      <c r="F818" s="21" t="s">
        <v>12</v>
      </c>
      <c r="G818" s="21" t="s">
        <v>197</v>
      </c>
      <c r="H818" s="21" t="str">
        <f t="shared" si="25"/>
        <v>SRINAGAR</v>
      </c>
      <c r="I818" s="21" t="s">
        <v>11009</v>
      </c>
      <c r="J818" s="22">
        <v>46172</v>
      </c>
      <c r="K818" s="21">
        <v>9596263355</v>
      </c>
      <c r="L818" s="21" t="s">
        <v>10242</v>
      </c>
      <c r="M818" s="23" t="s">
        <v>11081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11008</v>
      </c>
      <c r="C819" s="21" t="s">
        <v>11005</v>
      </c>
      <c r="D819" s="21" t="s">
        <v>11006</v>
      </c>
      <c r="E819" s="21" t="s">
        <v>11004</v>
      </c>
      <c r="F819" s="21" t="s">
        <v>12</v>
      </c>
      <c r="G819" s="21" t="s">
        <v>197</v>
      </c>
      <c r="H819" s="21" t="str">
        <f t="shared" si="25"/>
        <v>SRINAGAR</v>
      </c>
      <c r="I819" s="21" t="s">
        <v>11012</v>
      </c>
      <c r="J819" s="22">
        <v>46172</v>
      </c>
      <c r="K819" s="21">
        <v>7889461451</v>
      </c>
      <c r="L819" s="21" t="s">
        <v>11007</v>
      </c>
      <c r="M819" s="23" t="s">
        <v>11120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11016</v>
      </c>
      <c r="C820" s="21" t="s">
        <v>11013</v>
      </c>
      <c r="D820" s="21" t="s">
        <v>11014</v>
      </c>
      <c r="E820" s="21" t="s">
        <v>2634</v>
      </c>
      <c r="F820" s="21" t="s">
        <v>5</v>
      </c>
      <c r="G820" s="21" t="s">
        <v>197</v>
      </c>
      <c r="H820" s="21" t="str">
        <f t="shared" si="25"/>
        <v>BANDIPORA</v>
      </c>
      <c r="I820" s="21" t="s">
        <v>11027</v>
      </c>
      <c r="J820" s="22">
        <v>46172</v>
      </c>
      <c r="K820" s="21">
        <v>7298499896</v>
      </c>
      <c r="L820" s="21" t="s">
        <v>11015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10455</v>
      </c>
      <c r="C821" s="21" t="s">
        <v>10456</v>
      </c>
      <c r="D821" s="21" t="s">
        <v>10457</v>
      </c>
      <c r="E821" s="21" t="s">
        <v>10458</v>
      </c>
      <c r="F821" s="21" t="s">
        <v>12</v>
      </c>
      <c r="G821" s="21" t="s">
        <v>171</v>
      </c>
      <c r="H821" s="21" t="str">
        <f t="shared" si="25"/>
        <v>SRINAGAR</v>
      </c>
      <c r="I821" s="21" t="s">
        <v>10464</v>
      </c>
      <c r="J821" s="22">
        <v>46147</v>
      </c>
      <c r="K821" s="21">
        <v>7006076673</v>
      </c>
      <c r="L821" s="21" t="s">
        <v>6564</v>
      </c>
      <c r="M821" s="23" t="s">
        <v>8930</v>
      </c>
      <c r="N821" s="22">
        <v>46190</v>
      </c>
      <c r="O821" s="21" t="s">
        <v>23</v>
      </c>
      <c r="P821" s="24">
        <v>46190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11021</v>
      </c>
      <c r="C822" s="21" t="s">
        <v>11022</v>
      </c>
      <c r="D822" s="21" t="s">
        <v>11023</v>
      </c>
      <c r="E822" s="21" t="s">
        <v>11024</v>
      </c>
      <c r="F822" s="21" t="s">
        <v>12</v>
      </c>
      <c r="G822" s="21" t="s">
        <v>197</v>
      </c>
      <c r="H822" s="21" t="str">
        <f t="shared" si="25"/>
        <v>KULGAM</v>
      </c>
      <c r="I822" s="21" t="s">
        <v>11025</v>
      </c>
      <c r="J822" s="22">
        <v>46172</v>
      </c>
      <c r="K822" s="21">
        <v>8825051434</v>
      </c>
      <c r="L822" s="21" t="s">
        <v>11076</v>
      </c>
      <c r="M822" s="23" t="s">
        <v>11166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11028</v>
      </c>
      <c r="C823" s="21" t="s">
        <v>11029</v>
      </c>
      <c r="D823" s="21" t="s">
        <v>11030</v>
      </c>
      <c r="E823" s="21" t="s">
        <v>11031</v>
      </c>
      <c r="F823" s="21" t="s">
        <v>12</v>
      </c>
      <c r="G823" s="21" t="s">
        <v>197</v>
      </c>
      <c r="H823" s="21" t="str">
        <f t="shared" si="25"/>
        <v>BARAMULLA</v>
      </c>
      <c r="I823" s="21" t="s">
        <v>11033</v>
      </c>
      <c r="J823" s="22">
        <v>46172</v>
      </c>
      <c r="K823" s="21">
        <v>9906912046</v>
      </c>
      <c r="L823" s="21" t="s">
        <v>7240</v>
      </c>
      <c r="M823" s="23"/>
      <c r="N823" s="22"/>
      <c r="O823" s="21"/>
      <c r="P823" s="24"/>
      <c r="Q823" s="21"/>
      <c r="R823" s="21"/>
    </row>
    <row r="824" spans="1:18" x14ac:dyDescent="0.25">
      <c r="A824" s="21">
        <f t="shared" si="24"/>
        <v>823</v>
      </c>
      <c r="B824" s="21" t="s">
        <v>11032</v>
      </c>
      <c r="C824" s="21" t="s">
        <v>11038</v>
      </c>
      <c r="D824" s="21" t="s">
        <v>11039</v>
      </c>
      <c r="E824" s="21" t="s">
        <v>11040</v>
      </c>
      <c r="F824" s="21" t="s">
        <v>36</v>
      </c>
      <c r="G824" s="21" t="s">
        <v>196</v>
      </c>
      <c r="H824" s="21" t="str">
        <f t="shared" si="25"/>
        <v>SRINAGAR</v>
      </c>
      <c r="I824" s="21" t="s">
        <v>11041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11034</v>
      </c>
      <c r="C825" s="21" t="s">
        <v>11035</v>
      </c>
      <c r="D825" s="21" t="s">
        <v>11036</v>
      </c>
      <c r="E825" s="21" t="s">
        <v>11037</v>
      </c>
      <c r="F825" s="21" t="s">
        <v>98</v>
      </c>
      <c r="G825" s="21" t="s">
        <v>178</v>
      </c>
      <c r="H825" s="21" t="str">
        <f t="shared" si="25"/>
        <v>PULWAMA</v>
      </c>
      <c r="I825" s="21" t="s">
        <v>11046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11045</v>
      </c>
      <c r="C826" s="21" t="s">
        <v>11043</v>
      </c>
      <c r="D826" s="21" t="s">
        <v>11044</v>
      </c>
      <c r="E826" s="21" t="s">
        <v>11042</v>
      </c>
      <c r="F826" s="21" t="s">
        <v>12</v>
      </c>
      <c r="G826" s="21" t="s">
        <v>197</v>
      </c>
      <c r="H826" s="21" t="str">
        <f t="shared" si="25"/>
        <v>SRINAGAR</v>
      </c>
      <c r="I826" s="21" t="s">
        <v>11047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11058</v>
      </c>
      <c r="C827" s="21" t="s">
        <v>11059</v>
      </c>
      <c r="D827" s="21" t="s">
        <v>11060</v>
      </c>
      <c r="E827" s="21" t="s">
        <v>11061</v>
      </c>
      <c r="F827" s="21" t="s">
        <v>5</v>
      </c>
      <c r="G827" s="21" t="s">
        <v>196</v>
      </c>
      <c r="H827" s="21" t="str">
        <f t="shared" si="25"/>
        <v>BARAMULLA</v>
      </c>
      <c r="I827" s="21" t="s">
        <v>11063</v>
      </c>
      <c r="J827" s="22">
        <v>46173</v>
      </c>
      <c r="K827" s="21">
        <v>7780954780</v>
      </c>
      <c r="L827" s="21" t="s">
        <v>42</v>
      </c>
      <c r="M827" s="23" t="s">
        <v>11115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11072</v>
      </c>
      <c r="C828" s="21" t="s">
        <v>11073</v>
      </c>
      <c r="D828" s="21" t="s">
        <v>11074</v>
      </c>
      <c r="E828" s="21" t="s">
        <v>11075</v>
      </c>
      <c r="F828" s="21" t="s">
        <v>3126</v>
      </c>
      <c r="G828" s="21" t="s">
        <v>197</v>
      </c>
      <c r="H828" s="21" t="str">
        <f t="shared" si="25"/>
        <v>SRINAGAR</v>
      </c>
      <c r="I828" s="21" t="s">
        <v>11077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11080</v>
      </c>
      <c r="C829" s="21" t="s">
        <v>11078</v>
      </c>
      <c r="D829" s="21" t="s">
        <v>11079</v>
      </c>
      <c r="E829" s="21" t="s">
        <v>519</v>
      </c>
      <c r="F829" s="21" t="s">
        <v>98</v>
      </c>
      <c r="G829" s="21" t="s">
        <v>171</v>
      </c>
      <c r="H829" s="21" t="str">
        <f t="shared" si="25"/>
        <v>SRINAGAR</v>
      </c>
      <c r="I829" s="21" t="s">
        <v>11082</v>
      </c>
      <c r="J829" s="22">
        <v>46175</v>
      </c>
      <c r="K829" s="21">
        <v>9797443504</v>
      </c>
      <c r="L829" s="21" t="s">
        <v>10242</v>
      </c>
      <c r="M829" s="23"/>
      <c r="N829" s="22"/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11105</v>
      </c>
      <c r="C830" s="21" t="s">
        <v>11106</v>
      </c>
      <c r="D830" s="21" t="s">
        <v>11112</v>
      </c>
      <c r="E830" s="21" t="s">
        <v>11101</v>
      </c>
      <c r="F830" s="21" t="s">
        <v>98</v>
      </c>
      <c r="G830" s="21" t="s">
        <v>178</v>
      </c>
      <c r="H830" s="21" t="str">
        <f t="shared" si="25"/>
        <v>PULWAMA</v>
      </c>
      <c r="I830" s="21" t="s">
        <v>11111</v>
      </c>
      <c r="J830" s="22">
        <v>46177</v>
      </c>
      <c r="K830" s="21">
        <v>9622785141</v>
      </c>
      <c r="L830" s="21" t="s">
        <v>6515</v>
      </c>
      <c r="M830" s="23" t="s">
        <v>7705</v>
      </c>
      <c r="N830" s="22">
        <v>46190</v>
      </c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 t="s">
        <v>11089</v>
      </c>
      <c r="C831" s="21" t="s">
        <v>11085</v>
      </c>
      <c r="D831" s="21" t="s">
        <v>11086</v>
      </c>
      <c r="E831" s="21" t="s">
        <v>11087</v>
      </c>
      <c r="F831" s="21" t="s">
        <v>36</v>
      </c>
      <c r="G831" s="21" t="s">
        <v>197</v>
      </c>
      <c r="H831" s="21" t="str">
        <f t="shared" si="25"/>
        <v>KULGAM</v>
      </c>
      <c r="I831" s="21" t="s">
        <v>11088</v>
      </c>
      <c r="J831" s="22">
        <v>46177</v>
      </c>
      <c r="K831" s="21">
        <v>8899693028</v>
      </c>
      <c r="L831" s="21" t="s">
        <v>26</v>
      </c>
      <c r="M831" s="23" t="s">
        <v>8802</v>
      </c>
      <c r="N831" s="22">
        <v>46185</v>
      </c>
      <c r="O831" s="21" t="s">
        <v>23</v>
      </c>
      <c r="P831" s="24">
        <v>46181</v>
      </c>
      <c r="Q831" s="21" t="s">
        <v>6454</v>
      </c>
      <c r="R831" s="21"/>
    </row>
    <row r="832" spans="1:18" x14ac:dyDescent="0.25">
      <c r="A832" s="21">
        <f t="shared" si="24"/>
        <v>831</v>
      </c>
      <c r="B832" s="21" t="s">
        <v>11107</v>
      </c>
      <c r="C832" s="21" t="s">
        <v>11108</v>
      </c>
      <c r="D832" s="21" t="s">
        <v>11114</v>
      </c>
      <c r="E832" s="21" t="s">
        <v>11102</v>
      </c>
      <c r="F832" s="21" t="s">
        <v>277</v>
      </c>
      <c r="G832" s="21" t="s">
        <v>196</v>
      </c>
      <c r="H832" s="21" t="str">
        <f t="shared" si="25"/>
        <v>SRINAGAR</v>
      </c>
      <c r="I832" s="21" t="s">
        <v>11109</v>
      </c>
      <c r="J832" s="22">
        <v>46177</v>
      </c>
      <c r="K832" s="21">
        <v>9596300301</v>
      </c>
      <c r="L832" s="21" t="s">
        <v>18</v>
      </c>
      <c r="M832" s="23" t="s">
        <v>7604</v>
      </c>
      <c r="N832" s="22">
        <v>46183</v>
      </c>
      <c r="O832" s="21" t="s">
        <v>23</v>
      </c>
      <c r="P832" s="24">
        <v>46181</v>
      </c>
      <c r="Q832" s="21" t="s">
        <v>6454</v>
      </c>
      <c r="R832" s="21"/>
    </row>
    <row r="833" spans="1:18" x14ac:dyDescent="0.25">
      <c r="A833" s="21">
        <f t="shared" si="24"/>
        <v>832</v>
      </c>
      <c r="B833" s="21" t="s">
        <v>11090</v>
      </c>
      <c r="C833" s="21" t="s">
        <v>11091</v>
      </c>
      <c r="D833" s="21" t="s">
        <v>11092</v>
      </c>
      <c r="E833" s="21" t="s">
        <v>11093</v>
      </c>
      <c r="F833" s="21" t="s">
        <v>98</v>
      </c>
      <c r="G833" s="21" t="s">
        <v>197</v>
      </c>
      <c r="H833" s="21" t="str">
        <f t="shared" si="25"/>
        <v>BARAMULLA</v>
      </c>
      <c r="I833" s="21" t="s">
        <v>11094</v>
      </c>
      <c r="J833" s="22">
        <v>46178</v>
      </c>
      <c r="K833" s="21">
        <v>9596863815</v>
      </c>
      <c r="L833" s="21" t="s">
        <v>7240</v>
      </c>
      <c r="M833" s="23" t="s">
        <v>7765</v>
      </c>
      <c r="N833" s="22">
        <v>46182</v>
      </c>
      <c r="O833" s="21" t="s">
        <v>23</v>
      </c>
      <c r="P833" s="24">
        <v>46195</v>
      </c>
      <c r="Q833" s="21" t="s">
        <v>6454</v>
      </c>
      <c r="R833" s="21" t="s">
        <v>11427</v>
      </c>
    </row>
    <row r="834" spans="1:18" x14ac:dyDescent="0.25">
      <c r="A834" s="21">
        <f t="shared" ref="A834:A897" si="26">ROW()-1</f>
        <v>833</v>
      </c>
      <c r="B834" s="21" t="s">
        <v>11095</v>
      </c>
      <c r="C834" s="21" t="s">
        <v>11096</v>
      </c>
      <c r="D834" s="21" t="s">
        <v>11097</v>
      </c>
      <c r="E834" s="21" t="s">
        <v>11098</v>
      </c>
      <c r="F834" s="21" t="s">
        <v>98</v>
      </c>
      <c r="G834" s="21" t="s">
        <v>178</v>
      </c>
      <c r="H834" s="21" t="str">
        <f t="shared" ref="H834:H869" si="27">IF(LEFT(I834,4)="JK13","PULWAMA",IF(LEFT(I834,4)="JK01","SRINAGAR",IF(LEFT(I834,4)="JK04","BUDGAM",IF(LEFT(I834,4)="JK03","ANANTNAG",IF(LEFT(I834,4)="LA01","KARGIL",IF(LEFT(I834,4)="JK05","BARAMULLA",IF(LEFT(I834,4)="26BH","BHARAT",IF(LEFT(I834,4)="25BH","BHARAT",IF(LEFT(I834,4)="JK12","POONCH",IF(LEFT(I834,4)="JK16","GANDERBAL",IF(LEFT(I834,4)="JK18","KULGAM",IF(LEFT(I834,4)="JK22","SHOPIAN",IF(LEFT(I834,4)="JK02","JAMMU",IF(LEFT(I834,4)="JK09","KUPWARA",IF(LEFT(I834,4)="JK15","BANDIPORA",IF(LEFT(I834,4)="JK17","KISHTWAR",IF(LEFT(I834,4)="LA01","KARGIL",IF(LEFT(I834,1)="T","TEMP","NEW"))))))))))))))))))</f>
        <v>PULWAMA</v>
      </c>
      <c r="I834" s="21" t="s">
        <v>11099</v>
      </c>
      <c r="J834" s="22">
        <v>46178</v>
      </c>
      <c r="K834" s="21">
        <v>7889385480</v>
      </c>
      <c r="L834" s="21" t="s">
        <v>6446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26"/>
        <v>834</v>
      </c>
      <c r="B835" s="21" t="s">
        <v>11104</v>
      </c>
      <c r="C835" s="21" t="s">
        <v>11103</v>
      </c>
      <c r="D835" s="21" t="s">
        <v>11113</v>
      </c>
      <c r="E835" s="21" t="s">
        <v>11100</v>
      </c>
      <c r="F835" s="21" t="s">
        <v>10452</v>
      </c>
      <c r="G835" s="21" t="s">
        <v>197</v>
      </c>
      <c r="H835" s="21" t="str">
        <f t="shared" si="27"/>
        <v>SRINAGAR</v>
      </c>
      <c r="I835" s="21" t="s">
        <v>11110</v>
      </c>
      <c r="J835" s="22">
        <v>46178</v>
      </c>
      <c r="K835" s="21">
        <v>9622566678</v>
      </c>
      <c r="L835" s="21" t="s">
        <v>163</v>
      </c>
      <c r="M835" s="23" t="s">
        <v>9341</v>
      </c>
      <c r="N835" s="22">
        <v>46193</v>
      </c>
      <c r="O835" s="21" t="s">
        <v>23</v>
      </c>
      <c r="P835" s="24">
        <v>46179</v>
      </c>
      <c r="Q835" s="21" t="s">
        <v>6454</v>
      </c>
      <c r="R835" s="21"/>
    </row>
    <row r="836" spans="1:18" x14ac:dyDescent="0.25">
      <c r="A836" s="21">
        <f t="shared" si="26"/>
        <v>835</v>
      </c>
      <c r="B836" s="21" t="s">
        <v>11121</v>
      </c>
      <c r="C836" s="21" t="s">
        <v>11122</v>
      </c>
      <c r="D836" s="21" t="s">
        <v>11123</v>
      </c>
      <c r="E836" s="21" t="s">
        <v>11124</v>
      </c>
      <c r="F836" s="21" t="s">
        <v>3126</v>
      </c>
      <c r="G836" s="21" t="s">
        <v>197</v>
      </c>
      <c r="H836" s="21" t="str">
        <f t="shared" si="27"/>
        <v>TEMP</v>
      </c>
      <c r="I836" s="21" t="s">
        <v>11126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/>
    </row>
    <row r="837" spans="1:18" x14ac:dyDescent="0.25">
      <c r="A837" s="21">
        <f t="shared" si="26"/>
        <v>836</v>
      </c>
      <c r="B837" s="21" t="s">
        <v>11131</v>
      </c>
      <c r="C837" s="21" t="s">
        <v>11128</v>
      </c>
      <c r="D837" s="21" t="s">
        <v>11129</v>
      </c>
      <c r="E837" s="21" t="s">
        <v>11130</v>
      </c>
      <c r="F837" s="21" t="s">
        <v>5</v>
      </c>
      <c r="G837" s="21" t="s">
        <v>197</v>
      </c>
      <c r="H837" s="21" t="str">
        <f t="shared" si="27"/>
        <v>PULWAMA</v>
      </c>
      <c r="I837" s="21" t="s">
        <v>11133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6"/>
        <v>837</v>
      </c>
      <c r="B838" s="21" t="s">
        <v>10838</v>
      </c>
      <c r="C838" s="21" t="s">
        <v>10835</v>
      </c>
      <c r="D838" s="21" t="s">
        <v>10836</v>
      </c>
      <c r="E838" s="21" t="s">
        <v>10837</v>
      </c>
      <c r="F838" s="21" t="s">
        <v>277</v>
      </c>
      <c r="G838" s="21" t="s">
        <v>178</v>
      </c>
      <c r="H838" s="21" t="str">
        <f t="shared" si="27"/>
        <v>BHARAT</v>
      </c>
      <c r="I838" s="21" t="s">
        <v>11132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26"/>
        <v>838</v>
      </c>
      <c r="B839" s="21" t="s">
        <v>11140</v>
      </c>
      <c r="C839" s="21" t="s">
        <v>11137</v>
      </c>
      <c r="D839" s="21" t="s">
        <v>11138</v>
      </c>
      <c r="E839" s="21" t="s">
        <v>11139</v>
      </c>
      <c r="F839" s="21" t="s">
        <v>98</v>
      </c>
      <c r="G839" s="21" t="s">
        <v>178</v>
      </c>
      <c r="H839" s="21" t="str">
        <f t="shared" si="27"/>
        <v>SRINAGAR</v>
      </c>
      <c r="I839" s="21" t="s">
        <v>11141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26"/>
        <v>839</v>
      </c>
      <c r="B840" s="21" t="s">
        <v>11150</v>
      </c>
      <c r="C840" s="21" t="s">
        <v>11151</v>
      </c>
      <c r="D840" s="21" t="s">
        <v>11152</v>
      </c>
      <c r="E840" s="21" t="s">
        <v>11153</v>
      </c>
      <c r="F840" s="21" t="s">
        <v>98</v>
      </c>
      <c r="G840" s="21" t="s">
        <v>197</v>
      </c>
      <c r="H840" s="21" t="str">
        <f t="shared" si="27"/>
        <v>PULWAMA</v>
      </c>
      <c r="I840" s="21" t="s">
        <v>11159</v>
      </c>
      <c r="J840" s="22">
        <v>46182</v>
      </c>
      <c r="K840" s="21">
        <v>9149490632</v>
      </c>
      <c r="L840" s="21" t="s">
        <v>6515</v>
      </c>
      <c r="M840" s="23" t="s">
        <v>7705</v>
      </c>
      <c r="N840" s="22">
        <v>46190</v>
      </c>
      <c r="O840" s="21"/>
      <c r="P840" s="24"/>
      <c r="Q840" s="21"/>
      <c r="R840" s="21"/>
    </row>
    <row r="841" spans="1:18" x14ac:dyDescent="0.25">
      <c r="A841" s="21">
        <f t="shared" si="26"/>
        <v>840</v>
      </c>
      <c r="B841" s="21" t="s">
        <v>11142</v>
      </c>
      <c r="C841" s="21" t="s">
        <v>11143</v>
      </c>
      <c r="D841" s="21" t="s">
        <v>11144</v>
      </c>
      <c r="E841" s="21" t="s">
        <v>11145</v>
      </c>
      <c r="F841" s="21" t="s">
        <v>100</v>
      </c>
      <c r="G841" s="21" t="s">
        <v>197</v>
      </c>
      <c r="H841" s="21" t="str">
        <f t="shared" si="27"/>
        <v>SRINAGAR</v>
      </c>
      <c r="I841" s="21" t="s">
        <v>11160</v>
      </c>
      <c r="J841" s="22">
        <v>46182</v>
      </c>
      <c r="K841" s="21">
        <v>7006213927</v>
      </c>
      <c r="L841" s="21" t="s">
        <v>26</v>
      </c>
      <c r="M841" s="23" t="s">
        <v>7606</v>
      </c>
      <c r="N841" s="22">
        <v>46186</v>
      </c>
      <c r="O841" s="21" t="s">
        <v>23</v>
      </c>
      <c r="P841" s="24">
        <v>46183</v>
      </c>
      <c r="Q841" s="21" t="s">
        <v>6454</v>
      </c>
      <c r="R841" s="21"/>
    </row>
    <row r="842" spans="1:18" x14ac:dyDescent="0.25">
      <c r="A842" s="21">
        <f t="shared" si="26"/>
        <v>841</v>
      </c>
      <c r="B842" s="21" t="s">
        <v>11146</v>
      </c>
      <c r="C842" s="21" t="s">
        <v>11147</v>
      </c>
      <c r="D842" s="21" t="s">
        <v>11148</v>
      </c>
      <c r="E842" s="21" t="s">
        <v>11149</v>
      </c>
      <c r="F842" s="21" t="s">
        <v>65</v>
      </c>
      <c r="G842" s="21" t="s">
        <v>223</v>
      </c>
      <c r="H842" s="21" t="str">
        <f t="shared" si="27"/>
        <v>KUPWARA</v>
      </c>
      <c r="I842" s="21" t="s">
        <v>11158</v>
      </c>
      <c r="J842" s="22">
        <v>46182</v>
      </c>
      <c r="K842" s="21">
        <v>9797763096</v>
      </c>
      <c r="L842" s="21" t="s">
        <v>8857</v>
      </c>
      <c r="M842" s="23" t="s">
        <v>11285</v>
      </c>
      <c r="N842" s="22">
        <v>46193</v>
      </c>
      <c r="O842" s="21"/>
      <c r="P842" s="24"/>
      <c r="Q842" s="21"/>
      <c r="R842" s="21"/>
    </row>
    <row r="843" spans="1:18" x14ac:dyDescent="0.25">
      <c r="A843" s="21">
        <f t="shared" si="26"/>
        <v>842</v>
      </c>
      <c r="B843" s="21" t="s">
        <v>11164</v>
      </c>
      <c r="C843" s="21" t="s">
        <v>11154</v>
      </c>
      <c r="D843" s="21" t="s">
        <v>11155</v>
      </c>
      <c r="E843" s="21" t="s">
        <v>11156</v>
      </c>
      <c r="F843" s="21" t="s">
        <v>12</v>
      </c>
      <c r="G843" s="21" t="s">
        <v>197</v>
      </c>
      <c r="H843" s="21" t="str">
        <f t="shared" si="27"/>
        <v>KULGAM</v>
      </c>
      <c r="I843" s="21" t="s">
        <v>11157</v>
      </c>
      <c r="J843" s="22">
        <v>46182</v>
      </c>
      <c r="K843" s="21">
        <v>7006471404</v>
      </c>
      <c r="L843" s="21" t="s">
        <v>11470</v>
      </c>
      <c r="M843" s="23" t="s">
        <v>11166</v>
      </c>
      <c r="N843" s="22">
        <v>46196</v>
      </c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26"/>
        <v>843</v>
      </c>
      <c r="B844" s="21" t="s">
        <v>11163</v>
      </c>
      <c r="C844" s="21" t="s">
        <v>11161</v>
      </c>
      <c r="D844" s="21" t="s">
        <v>11165</v>
      </c>
      <c r="E844" s="21" t="s">
        <v>10077</v>
      </c>
      <c r="F844" s="21" t="s">
        <v>12</v>
      </c>
      <c r="G844" s="21" t="s">
        <v>178</v>
      </c>
      <c r="H844" s="21" t="str">
        <f t="shared" si="27"/>
        <v>PULWAMA</v>
      </c>
      <c r="I844" s="21" t="s">
        <v>11162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26"/>
        <v>844</v>
      </c>
      <c r="B845" s="21" t="s">
        <v>11173</v>
      </c>
      <c r="C845" s="21" t="s">
        <v>11174</v>
      </c>
      <c r="D845" s="21" t="s">
        <v>11175</v>
      </c>
      <c r="E845" s="21" t="s">
        <v>11176</v>
      </c>
      <c r="F845" s="21" t="s">
        <v>12</v>
      </c>
      <c r="G845" s="21" t="s">
        <v>171</v>
      </c>
      <c r="H845" s="21" t="str">
        <f t="shared" si="27"/>
        <v>PULWAMA</v>
      </c>
      <c r="I845" s="21" t="s">
        <v>11181</v>
      </c>
      <c r="J845" s="22">
        <v>46183</v>
      </c>
      <c r="K845" s="21">
        <v>7889402189</v>
      </c>
      <c r="L845" s="21" t="s">
        <v>6515</v>
      </c>
      <c r="M845" s="23" t="s">
        <v>7705</v>
      </c>
      <c r="N845" s="22">
        <v>46190</v>
      </c>
      <c r="O845" s="21"/>
      <c r="P845" s="24"/>
      <c r="Q845" s="21"/>
      <c r="R845" s="21"/>
    </row>
    <row r="846" spans="1:18" x14ac:dyDescent="0.25">
      <c r="A846" s="21">
        <f t="shared" si="26"/>
        <v>845</v>
      </c>
      <c r="B846" s="21" t="s">
        <v>11177</v>
      </c>
      <c r="C846" s="21" t="s">
        <v>11178</v>
      </c>
      <c r="D846" s="21" t="s">
        <v>11179</v>
      </c>
      <c r="E846" s="21" t="s">
        <v>11180</v>
      </c>
      <c r="F846" s="21" t="s">
        <v>36</v>
      </c>
      <c r="G846" s="21" t="s">
        <v>197</v>
      </c>
      <c r="H846" s="21" t="str">
        <f t="shared" si="27"/>
        <v>SRINAGAR</v>
      </c>
      <c r="I846" s="21" t="s">
        <v>11182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26"/>
        <v>846</v>
      </c>
      <c r="B847" s="21" t="s">
        <v>11188</v>
      </c>
      <c r="C847" s="21" t="s">
        <v>11185</v>
      </c>
      <c r="D847" s="21" t="s">
        <v>11186</v>
      </c>
      <c r="E847" s="21" t="s">
        <v>11187</v>
      </c>
      <c r="F847" s="21" t="s">
        <v>5</v>
      </c>
      <c r="G847" s="21" t="s">
        <v>196</v>
      </c>
      <c r="H847" s="21" t="str">
        <f t="shared" si="27"/>
        <v>SRINAGAR</v>
      </c>
      <c r="I847" s="21" t="s">
        <v>11194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26"/>
        <v>847</v>
      </c>
      <c r="B848" s="21" t="s">
        <v>11193</v>
      </c>
      <c r="C848" s="21" t="s">
        <v>11189</v>
      </c>
      <c r="D848" s="21" t="s">
        <v>11190</v>
      </c>
      <c r="E848" s="21" t="s">
        <v>11191</v>
      </c>
      <c r="F848" s="21" t="s">
        <v>98</v>
      </c>
      <c r="G848" s="21" t="s">
        <v>171</v>
      </c>
      <c r="H848" s="21" t="str">
        <f t="shared" si="27"/>
        <v>BARAMULLA</v>
      </c>
      <c r="I848" s="21" t="s">
        <v>11195</v>
      </c>
      <c r="J848" s="22">
        <v>46184</v>
      </c>
      <c r="K848" s="21">
        <v>9149465922</v>
      </c>
      <c r="L848" s="21" t="s">
        <v>11192</v>
      </c>
      <c r="M848" s="23" t="s">
        <v>11317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26"/>
        <v>848</v>
      </c>
      <c r="B849" s="21" t="s">
        <v>11205</v>
      </c>
      <c r="C849" s="21" t="s">
        <v>11201</v>
      </c>
      <c r="D849" s="21" t="s">
        <v>11202</v>
      </c>
      <c r="E849" s="21" t="s">
        <v>11203</v>
      </c>
      <c r="F849" s="21" t="s">
        <v>12</v>
      </c>
      <c r="G849" s="21" t="s">
        <v>197</v>
      </c>
      <c r="H849" s="21" t="str">
        <f t="shared" si="27"/>
        <v>SHOPIAN</v>
      </c>
      <c r="I849" s="21" t="s">
        <v>11200</v>
      </c>
      <c r="J849" s="22">
        <v>46184</v>
      </c>
      <c r="K849" s="21">
        <v>7889410052</v>
      </c>
      <c r="L849" s="21" t="s">
        <v>11204</v>
      </c>
      <c r="M849" s="23" t="s">
        <v>8930</v>
      </c>
      <c r="N849" s="22">
        <v>46196</v>
      </c>
      <c r="O849" s="21" t="s">
        <v>23</v>
      </c>
      <c r="P849" s="24">
        <v>46196</v>
      </c>
      <c r="Q849" s="21" t="s">
        <v>6454</v>
      </c>
      <c r="R849" s="21"/>
    </row>
    <row r="850" spans="1:18" x14ac:dyDescent="0.25">
      <c r="A850" s="21">
        <f t="shared" si="26"/>
        <v>849</v>
      </c>
      <c r="B850" s="21" t="s">
        <v>11215</v>
      </c>
      <c r="C850" s="21" t="s">
        <v>11211</v>
      </c>
      <c r="D850" s="21" t="s">
        <v>11212</v>
      </c>
      <c r="E850" s="21" t="s">
        <v>11213</v>
      </c>
      <c r="F850" s="21" t="s">
        <v>5</v>
      </c>
      <c r="G850" s="21" t="s">
        <v>196</v>
      </c>
      <c r="H850" s="21" t="str">
        <f t="shared" si="27"/>
        <v>BUDGAM</v>
      </c>
      <c r="I850" s="21" t="s">
        <v>11220</v>
      </c>
      <c r="J850" s="22">
        <v>46184</v>
      </c>
      <c r="K850" s="21">
        <v>7006462336</v>
      </c>
      <c r="L850" s="21" t="s">
        <v>11214</v>
      </c>
      <c r="M850" s="23" t="s">
        <v>11421</v>
      </c>
      <c r="N850" s="22">
        <v>46193</v>
      </c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26"/>
        <v>850</v>
      </c>
      <c r="B851" s="21" t="s">
        <v>11199</v>
      </c>
      <c r="C851" s="21" t="s">
        <v>11197</v>
      </c>
      <c r="D851" s="21" t="s">
        <v>11198</v>
      </c>
      <c r="E851" s="21" t="s">
        <v>11196</v>
      </c>
      <c r="F851" s="21" t="s">
        <v>12</v>
      </c>
      <c r="G851" s="21" t="s">
        <v>178</v>
      </c>
      <c r="H851" s="21" t="str">
        <f t="shared" si="27"/>
        <v>NEW</v>
      </c>
      <c r="I851" s="21"/>
      <c r="J851" s="22">
        <v>46184</v>
      </c>
      <c r="K851" s="21">
        <v>7006588862</v>
      </c>
      <c r="L851" s="21" t="s">
        <v>7240</v>
      </c>
      <c r="M851" s="23"/>
      <c r="N851" s="22"/>
      <c r="O851" s="21"/>
      <c r="P851" s="24"/>
      <c r="Q851" s="21"/>
      <c r="R851" s="21"/>
    </row>
    <row r="852" spans="1:18" x14ac:dyDescent="0.25">
      <c r="A852" s="21">
        <f t="shared" si="26"/>
        <v>851</v>
      </c>
      <c r="B852" s="21" t="s">
        <v>11219</v>
      </c>
      <c r="C852" s="21" t="s">
        <v>11216</v>
      </c>
      <c r="D852" s="21" t="s">
        <v>11217</v>
      </c>
      <c r="E852" s="21" t="s">
        <v>11218</v>
      </c>
      <c r="F852" s="21" t="s">
        <v>98</v>
      </c>
      <c r="G852" s="21" t="s">
        <v>197</v>
      </c>
      <c r="H852" s="21" t="str">
        <f t="shared" si="27"/>
        <v>SRINAGAR</v>
      </c>
      <c r="I852" s="21" t="s">
        <v>11235</v>
      </c>
      <c r="J852" s="22">
        <v>46184</v>
      </c>
      <c r="K852" s="21">
        <v>7006966825</v>
      </c>
      <c r="L852" s="21" t="s">
        <v>2168</v>
      </c>
      <c r="M852" s="23"/>
      <c r="N852" s="22"/>
      <c r="O852" s="21"/>
      <c r="P852" s="24"/>
      <c r="Q852" s="21"/>
      <c r="R852" s="21"/>
    </row>
    <row r="853" spans="1:18" x14ac:dyDescent="0.25">
      <c r="A853" s="21">
        <f t="shared" si="26"/>
        <v>852</v>
      </c>
      <c r="B853" s="21" t="s">
        <v>11221</v>
      </c>
      <c r="C853" s="21" t="s">
        <v>11222</v>
      </c>
      <c r="D853" s="21" t="s">
        <v>11223</v>
      </c>
      <c r="E853" s="21" t="s">
        <v>11224</v>
      </c>
      <c r="F853" s="21" t="s">
        <v>12</v>
      </c>
      <c r="G853" s="21" t="s">
        <v>197</v>
      </c>
      <c r="H853" s="21" t="str">
        <f t="shared" si="27"/>
        <v>BARAMULLA</v>
      </c>
      <c r="I853" s="21" t="s">
        <v>11236</v>
      </c>
      <c r="J853" s="22">
        <v>46185</v>
      </c>
      <c r="K853" s="21">
        <v>7006510242</v>
      </c>
      <c r="L853" s="21" t="s">
        <v>6823</v>
      </c>
      <c r="M853" s="23" t="s">
        <v>9116</v>
      </c>
      <c r="N853" s="22">
        <v>46188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26"/>
        <v>853</v>
      </c>
      <c r="B854" s="21" t="s">
        <v>11229</v>
      </c>
      <c r="C854" s="21" t="s">
        <v>11225</v>
      </c>
      <c r="D854" s="21" t="s">
        <v>11226</v>
      </c>
      <c r="E854" s="21" t="s">
        <v>11227</v>
      </c>
      <c r="F854" s="21" t="s">
        <v>11228</v>
      </c>
      <c r="G854" s="21" t="s">
        <v>196</v>
      </c>
      <c r="H854" s="21" t="str">
        <f t="shared" si="27"/>
        <v>SRINAGAR</v>
      </c>
      <c r="I854" s="21" t="s">
        <v>11234</v>
      </c>
      <c r="J854" s="22">
        <v>46185</v>
      </c>
      <c r="K854" s="21">
        <v>9419009819</v>
      </c>
      <c r="L854" s="21" t="s">
        <v>18</v>
      </c>
      <c r="M854" s="23" t="s">
        <v>7604</v>
      </c>
      <c r="N854" s="22" t="s">
        <v>11331</v>
      </c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26"/>
        <v>854</v>
      </c>
      <c r="B855" s="21" t="s">
        <v>11230</v>
      </c>
      <c r="C855" s="21" t="s">
        <v>11231</v>
      </c>
      <c r="D855" s="21" t="s">
        <v>11232</v>
      </c>
      <c r="E855" s="21" t="s">
        <v>11233</v>
      </c>
      <c r="F855" s="21" t="s">
        <v>98</v>
      </c>
      <c r="G855" s="21" t="s">
        <v>197</v>
      </c>
      <c r="H855" s="21" t="str">
        <f t="shared" si="27"/>
        <v>SRINAGAR</v>
      </c>
      <c r="I855" s="21" t="s">
        <v>11237</v>
      </c>
      <c r="J855" s="22">
        <v>46185</v>
      </c>
      <c r="K855" s="21">
        <v>7006783199</v>
      </c>
      <c r="L855" s="21" t="s">
        <v>10242</v>
      </c>
      <c r="M855" s="23" t="s">
        <v>11168</v>
      </c>
      <c r="N855" s="22">
        <v>46189</v>
      </c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26"/>
        <v>855</v>
      </c>
      <c r="B856" s="21" t="s">
        <v>11238</v>
      </c>
      <c r="C856" s="21" t="s">
        <v>11239</v>
      </c>
      <c r="D856" s="21" t="s">
        <v>11240</v>
      </c>
      <c r="E856" s="21" t="s">
        <v>11241</v>
      </c>
      <c r="F856" s="21" t="s">
        <v>12</v>
      </c>
      <c r="G856" s="21" t="s">
        <v>178</v>
      </c>
      <c r="H856" s="21" t="str">
        <f t="shared" si="27"/>
        <v>SRINAGAR</v>
      </c>
      <c r="I856" s="21" t="s">
        <v>11246</v>
      </c>
      <c r="J856" s="22">
        <v>46185</v>
      </c>
      <c r="K856" s="21">
        <v>7006819755</v>
      </c>
      <c r="L856" s="21" t="s">
        <v>303</v>
      </c>
      <c r="M856" s="23"/>
      <c r="N856" s="22"/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26"/>
        <v>856</v>
      </c>
      <c r="B857" s="21" t="s">
        <v>11242</v>
      </c>
      <c r="C857" s="21" t="s">
        <v>11243</v>
      </c>
      <c r="D857" s="21" t="s">
        <v>11244</v>
      </c>
      <c r="E857" s="21" t="s">
        <v>11245</v>
      </c>
      <c r="F857" s="21" t="s">
        <v>5</v>
      </c>
      <c r="G857" s="21" t="s">
        <v>197</v>
      </c>
      <c r="H857" s="21" t="str">
        <f t="shared" si="27"/>
        <v>SHOPIAN</v>
      </c>
      <c r="I857" s="21" t="s">
        <v>11247</v>
      </c>
      <c r="J857" s="22">
        <v>46185</v>
      </c>
      <c r="K857" s="21">
        <v>9906265335</v>
      </c>
      <c r="L857" s="21" t="s">
        <v>6534</v>
      </c>
      <c r="M857" s="23" t="s">
        <v>11332</v>
      </c>
      <c r="N857" s="22">
        <v>46190</v>
      </c>
      <c r="O857" s="21" t="s">
        <v>23</v>
      </c>
      <c r="P857" s="24">
        <v>46185</v>
      </c>
      <c r="Q857" s="21" t="s">
        <v>6454</v>
      </c>
      <c r="R857" s="21"/>
    </row>
    <row r="858" spans="1:18" x14ac:dyDescent="0.25">
      <c r="A858" s="21">
        <f t="shared" si="26"/>
        <v>857</v>
      </c>
      <c r="B858" s="21" t="s">
        <v>11263</v>
      </c>
      <c r="C858" s="21" t="s">
        <v>11264</v>
      </c>
      <c r="D858" s="21" t="s">
        <v>11265</v>
      </c>
      <c r="E858" s="21" t="s">
        <v>11266</v>
      </c>
      <c r="F858" s="21" t="s">
        <v>5</v>
      </c>
      <c r="G858" s="21" t="s">
        <v>197</v>
      </c>
      <c r="H858" s="21" t="str">
        <f t="shared" si="27"/>
        <v>PULWAMA</v>
      </c>
      <c r="I858" s="21" t="s">
        <v>11272</v>
      </c>
      <c r="J858" s="22">
        <v>46186</v>
      </c>
      <c r="K858" s="21">
        <v>7006542138</v>
      </c>
      <c r="L858" s="21" t="s">
        <v>9902</v>
      </c>
      <c r="M858" s="23" t="s">
        <v>7705</v>
      </c>
      <c r="N858" s="22">
        <v>46190</v>
      </c>
      <c r="O858" s="21"/>
      <c r="P858" s="24"/>
      <c r="Q858" s="21"/>
      <c r="R858" s="21"/>
    </row>
    <row r="859" spans="1:18" x14ac:dyDescent="0.25">
      <c r="A859" s="21">
        <f t="shared" si="26"/>
        <v>858</v>
      </c>
      <c r="B859" s="21" t="s">
        <v>11259</v>
      </c>
      <c r="C859" s="21" t="s">
        <v>11260</v>
      </c>
      <c r="D859" s="21" t="s">
        <v>11261</v>
      </c>
      <c r="E859" s="21" t="s">
        <v>11262</v>
      </c>
      <c r="F859" s="21" t="s">
        <v>36</v>
      </c>
      <c r="G859" s="21" t="s">
        <v>196</v>
      </c>
      <c r="H859" s="21" t="str">
        <f t="shared" si="27"/>
        <v>PULWAMA</v>
      </c>
      <c r="I859" s="21" t="s">
        <v>11273</v>
      </c>
      <c r="J859" s="22">
        <v>46186</v>
      </c>
      <c r="K859" s="21">
        <v>7006053981</v>
      </c>
      <c r="L859" s="21" t="s">
        <v>7228</v>
      </c>
      <c r="M859" s="23" t="s">
        <v>7705</v>
      </c>
      <c r="N859" s="22">
        <v>46190</v>
      </c>
      <c r="O859" s="21"/>
      <c r="P859" s="24"/>
      <c r="Q859" s="21"/>
      <c r="R859" s="21"/>
    </row>
    <row r="860" spans="1:18" x14ac:dyDescent="0.25">
      <c r="A860" s="21">
        <f t="shared" si="26"/>
        <v>859</v>
      </c>
      <c r="B860" s="21" t="s">
        <v>11258</v>
      </c>
      <c r="C860" s="21" t="s">
        <v>11256</v>
      </c>
      <c r="D860" s="21" t="s">
        <v>11257</v>
      </c>
      <c r="E860" s="21" t="s">
        <v>3436</v>
      </c>
      <c r="F860" s="21" t="s">
        <v>65</v>
      </c>
      <c r="G860" s="21" t="s">
        <v>196</v>
      </c>
      <c r="H860" s="21" t="str">
        <f t="shared" si="27"/>
        <v>SRINAGAR</v>
      </c>
      <c r="I860" s="21" t="s">
        <v>11271</v>
      </c>
      <c r="J860" s="22">
        <v>46186</v>
      </c>
      <c r="K860" s="21">
        <v>7006265699</v>
      </c>
      <c r="L860" s="21" t="s">
        <v>1122</v>
      </c>
      <c r="M860" s="23" t="s">
        <v>7690</v>
      </c>
      <c r="N860" s="22">
        <v>46188</v>
      </c>
      <c r="O860" s="21" t="s">
        <v>23</v>
      </c>
      <c r="P860" s="24">
        <v>46186</v>
      </c>
      <c r="Q860" s="21" t="s">
        <v>6454</v>
      </c>
      <c r="R860" s="21"/>
    </row>
    <row r="861" spans="1:18" x14ac:dyDescent="0.25">
      <c r="A861" s="21">
        <f t="shared" si="26"/>
        <v>860</v>
      </c>
      <c r="B861" s="21" t="s">
        <v>11267</v>
      </c>
      <c r="C861" s="21" t="s">
        <v>11268</v>
      </c>
      <c r="D861" s="21" t="s">
        <v>11269</v>
      </c>
      <c r="E861" s="21" t="s">
        <v>11270</v>
      </c>
      <c r="F861" s="21" t="s">
        <v>98</v>
      </c>
      <c r="G861" s="21" t="s">
        <v>178</v>
      </c>
      <c r="H861" s="21" t="str">
        <f t="shared" si="27"/>
        <v>SRINAGAR</v>
      </c>
      <c r="I861" s="21" t="s">
        <v>11279</v>
      </c>
      <c r="J861" s="22">
        <v>46186</v>
      </c>
      <c r="K861" s="21">
        <v>7889741742</v>
      </c>
      <c r="L861" s="21" t="s">
        <v>6446</v>
      </c>
      <c r="M861" s="23"/>
      <c r="N861" s="22"/>
      <c r="O861" s="21"/>
      <c r="P861" s="24"/>
      <c r="Q861" s="21"/>
      <c r="R861" s="21"/>
    </row>
    <row r="862" spans="1:18" x14ac:dyDescent="0.25">
      <c r="A862" s="21">
        <f t="shared" si="26"/>
        <v>861</v>
      </c>
      <c r="B862" s="21" t="s">
        <v>11274</v>
      </c>
      <c r="C862" s="21" t="s">
        <v>11275</v>
      </c>
      <c r="D862" s="21" t="s">
        <v>11276</v>
      </c>
      <c r="E862" s="21" t="s">
        <v>11277</v>
      </c>
      <c r="F862" s="21" t="s">
        <v>6540</v>
      </c>
      <c r="G862" s="21" t="s">
        <v>6469</v>
      </c>
      <c r="H862" s="21" t="str">
        <f t="shared" si="27"/>
        <v>SRINAGAR</v>
      </c>
      <c r="I862" s="21" t="s">
        <v>11278</v>
      </c>
      <c r="J862" s="22">
        <v>46186</v>
      </c>
      <c r="K862" s="21">
        <v>7006047465</v>
      </c>
      <c r="L862" s="21" t="s">
        <v>8857</v>
      </c>
      <c r="M862" s="23" t="s">
        <v>11285</v>
      </c>
      <c r="N862" s="22">
        <v>46188</v>
      </c>
      <c r="O862" s="21" t="s">
        <v>23</v>
      </c>
      <c r="P862" s="24">
        <v>46186</v>
      </c>
      <c r="Q862" s="21" t="s">
        <v>6454</v>
      </c>
      <c r="R862" s="21"/>
    </row>
    <row r="863" spans="1:18" x14ac:dyDescent="0.25">
      <c r="A863" s="21">
        <f t="shared" si="26"/>
        <v>862</v>
      </c>
      <c r="B863" s="21" t="s">
        <v>11289</v>
      </c>
      <c r="C863" s="21" t="s">
        <v>11286</v>
      </c>
      <c r="D863" s="21" t="s">
        <v>11287</v>
      </c>
      <c r="E863" s="21" t="s">
        <v>11288</v>
      </c>
      <c r="F863" s="21" t="s">
        <v>7701</v>
      </c>
      <c r="G863" s="21" t="s">
        <v>178</v>
      </c>
      <c r="H863" s="21" t="str">
        <f t="shared" si="27"/>
        <v>SRINAGAR</v>
      </c>
      <c r="I863" s="21" t="s">
        <v>11294</v>
      </c>
      <c r="J863" s="22">
        <v>46188</v>
      </c>
      <c r="K863" s="21">
        <v>7006208490</v>
      </c>
      <c r="L863" s="21" t="s">
        <v>11309</v>
      </c>
      <c r="M863" s="23" t="s">
        <v>7445</v>
      </c>
      <c r="N863" s="22">
        <v>46192</v>
      </c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26"/>
        <v>863</v>
      </c>
      <c r="B864" s="21" t="s">
        <v>11293</v>
      </c>
      <c r="C864" s="21" t="s">
        <v>11290</v>
      </c>
      <c r="D864" s="21" t="s">
        <v>11291</v>
      </c>
      <c r="E864" s="21" t="s">
        <v>11292</v>
      </c>
      <c r="F864" s="21" t="s">
        <v>65</v>
      </c>
      <c r="G864" s="21" t="s">
        <v>197</v>
      </c>
      <c r="H864" s="21" t="str">
        <f t="shared" si="27"/>
        <v>SRINAGAR</v>
      </c>
      <c r="I864" s="21" t="s">
        <v>11295</v>
      </c>
      <c r="J864" s="22">
        <v>46188</v>
      </c>
      <c r="K864" s="21">
        <v>9419409046</v>
      </c>
      <c r="L864" s="21" t="s">
        <v>1513</v>
      </c>
      <c r="M864" s="23" t="s">
        <v>7768</v>
      </c>
      <c r="N864" s="22">
        <v>46189</v>
      </c>
      <c r="O864" s="21" t="s">
        <v>23</v>
      </c>
      <c r="P864" s="24">
        <v>46188</v>
      </c>
      <c r="Q864" s="21" t="s">
        <v>6454</v>
      </c>
      <c r="R864" s="21"/>
    </row>
    <row r="865" spans="1:18" x14ac:dyDescent="0.25">
      <c r="A865" s="21">
        <f t="shared" si="26"/>
        <v>864</v>
      </c>
      <c r="B865" s="21" t="s">
        <v>11311</v>
      </c>
      <c r="C865" s="21" t="s">
        <v>11312</v>
      </c>
      <c r="D865" s="21" t="s">
        <v>11313</v>
      </c>
      <c r="E865" s="21" t="s">
        <v>11314</v>
      </c>
      <c r="F865" s="21" t="s">
        <v>12</v>
      </c>
      <c r="G865" s="21" t="s">
        <v>171</v>
      </c>
      <c r="H865" s="21" t="str">
        <f t="shared" si="27"/>
        <v>PULWAMA</v>
      </c>
      <c r="I865" s="21" t="s">
        <v>11316</v>
      </c>
      <c r="J865" s="22">
        <v>46189</v>
      </c>
      <c r="K865" s="21">
        <v>7051890552</v>
      </c>
      <c r="L865" s="21" t="s">
        <v>11315</v>
      </c>
      <c r="M865" s="23" t="s">
        <v>11329</v>
      </c>
      <c r="N865" s="22"/>
      <c r="O865" s="21"/>
      <c r="P865" s="24"/>
      <c r="Q865" s="21"/>
      <c r="R865" s="21"/>
    </row>
    <row r="866" spans="1:18" x14ac:dyDescent="0.25">
      <c r="A866" s="21">
        <f t="shared" si="26"/>
        <v>865</v>
      </c>
      <c r="B866" s="21" t="s">
        <v>11308</v>
      </c>
      <c r="C866" s="21" t="s">
        <v>11305</v>
      </c>
      <c r="D866" s="21" t="s">
        <v>11306</v>
      </c>
      <c r="E866" s="21" t="s">
        <v>11307</v>
      </c>
      <c r="F866" s="21" t="s">
        <v>65</v>
      </c>
      <c r="G866" s="21" t="s">
        <v>197</v>
      </c>
      <c r="H866" s="21" t="str">
        <f t="shared" si="27"/>
        <v>BARAMULLA</v>
      </c>
      <c r="I866" s="21" t="s">
        <v>11310</v>
      </c>
      <c r="J866" s="22">
        <v>46189</v>
      </c>
      <c r="K866" s="21">
        <v>9596280520</v>
      </c>
      <c r="L866" s="21" t="s">
        <v>191</v>
      </c>
      <c r="M866" s="23"/>
      <c r="N866" s="22"/>
      <c r="O866" s="21" t="s">
        <v>23</v>
      </c>
      <c r="P866" s="24">
        <v>46189</v>
      </c>
      <c r="Q866" s="21" t="s">
        <v>6454</v>
      </c>
      <c r="R866" s="21"/>
    </row>
    <row r="867" spans="1:18" x14ac:dyDescent="0.25">
      <c r="A867" s="21">
        <f t="shared" si="26"/>
        <v>866</v>
      </c>
      <c r="B867" s="21" t="s">
        <v>11299</v>
      </c>
      <c r="C867" s="21" t="s">
        <v>11296</v>
      </c>
      <c r="D867" s="21" t="s">
        <v>11297</v>
      </c>
      <c r="E867" s="21" t="s">
        <v>11298</v>
      </c>
      <c r="F867" s="21" t="s">
        <v>234</v>
      </c>
      <c r="G867" s="21" t="s">
        <v>197</v>
      </c>
      <c r="H867" s="21" t="str">
        <f>IF(LEFT(I867,4)="JK13","PULWAMA",IF(LEFT(I867,4)="JK01","SRINAGAR",IF(LEFT(I867,4)="JK04","BUDGAM",IF(LEFT(I867,4)="JK03","ANANTNAG",IF(LEFT(I867,4)="LA01","KARGIL",IF(LEFT(I867,4)="JK05","BARAMULLA",IF(LEFT(I867,4)="26BH","BHARAT",IF(LEFT(I867,4)="25BH","BHARAT",IF(LEFT(I867,4)="JK12","POONCH",IF(LEFT(I867,4)="JK16","GANDERBAL",IF(LEFT(I867,4)="JK18","KULGAM",IF(LEFT(I867,4)="JK22","SHOPIAN",IF(LEFT(I867,4)="JK02","JAMMU",IF(LEFT(I867,4)="JK09","KUPWARA",IF(LEFT(I867,4)="JK15","BANDIPORA",IF(LEFT(I867,4)="JK17","KISHTWAR",IF(LEFT(I867,4)="LA01","KARGIL",IF(LEFT(I867,1)="T","TEMP","NEW"))))))))))))))))))</f>
        <v>BHARAT</v>
      </c>
      <c r="I867" s="21" t="s">
        <v>11334</v>
      </c>
      <c r="J867" s="22">
        <v>46191</v>
      </c>
      <c r="K867" s="21">
        <v>9797435217</v>
      </c>
      <c r="L867" s="21" t="s">
        <v>73</v>
      </c>
      <c r="M867" s="23" t="s">
        <v>7883</v>
      </c>
      <c r="N867" s="22">
        <v>46192</v>
      </c>
      <c r="O867" s="21"/>
      <c r="P867" s="24"/>
      <c r="Q867" s="21"/>
      <c r="R867" s="21"/>
    </row>
    <row r="868" spans="1:18" x14ac:dyDescent="0.25">
      <c r="A868" s="21">
        <f t="shared" si="26"/>
        <v>867</v>
      </c>
      <c r="B868" s="21" t="s">
        <v>11335</v>
      </c>
      <c r="C868" s="21" t="s">
        <v>11336</v>
      </c>
      <c r="D868" s="21" t="s">
        <v>11337</v>
      </c>
      <c r="E868" s="21" t="s">
        <v>11338</v>
      </c>
      <c r="F868" s="21" t="s">
        <v>2372</v>
      </c>
      <c r="G868" s="21" t="s">
        <v>171</v>
      </c>
      <c r="H868" s="21" t="str">
        <f t="shared" si="27"/>
        <v>SRINAGAR</v>
      </c>
      <c r="I868" s="21" t="s">
        <v>11339</v>
      </c>
      <c r="J868" s="22">
        <v>46191</v>
      </c>
      <c r="K868" s="21">
        <v>9718916222</v>
      </c>
      <c r="L868" s="21" t="s">
        <v>11309</v>
      </c>
      <c r="M868" s="23" t="s">
        <v>7445</v>
      </c>
      <c r="N868" s="22">
        <v>46192</v>
      </c>
      <c r="O868" s="21" t="s">
        <v>23</v>
      </c>
      <c r="P868" s="24">
        <v>46196</v>
      </c>
      <c r="Q868" s="21" t="s">
        <v>6454</v>
      </c>
      <c r="R868" s="21" t="s">
        <v>11455</v>
      </c>
    </row>
    <row r="869" spans="1:18" x14ac:dyDescent="0.25">
      <c r="A869" s="21">
        <f t="shared" si="26"/>
        <v>868</v>
      </c>
      <c r="B869" s="21" t="s">
        <v>11341</v>
      </c>
      <c r="C869" s="21" t="s">
        <v>11342</v>
      </c>
      <c r="D869" s="21" t="s">
        <v>11343</v>
      </c>
      <c r="E869" s="21" t="s">
        <v>11344</v>
      </c>
      <c r="F869" s="21" t="s">
        <v>11345</v>
      </c>
      <c r="G869" s="21" t="s">
        <v>197</v>
      </c>
      <c r="H869" s="21" t="str">
        <f t="shared" si="27"/>
        <v>SRINAGAR</v>
      </c>
      <c r="I869" s="21" t="s">
        <v>11346</v>
      </c>
      <c r="J869" s="22">
        <v>46191</v>
      </c>
      <c r="K869" s="21">
        <v>9541611152</v>
      </c>
      <c r="L869" s="21" t="s">
        <v>26</v>
      </c>
      <c r="M869" s="23" t="s">
        <v>7445</v>
      </c>
      <c r="N869" s="22">
        <v>46192</v>
      </c>
      <c r="O869" s="21" t="s">
        <v>23</v>
      </c>
      <c r="P869" s="24">
        <v>46192</v>
      </c>
      <c r="Q869" s="21" t="s">
        <v>6454</v>
      </c>
      <c r="R869" s="21"/>
    </row>
    <row r="870" spans="1:18" x14ac:dyDescent="0.25">
      <c r="A870" s="21">
        <f t="shared" si="26"/>
        <v>869</v>
      </c>
      <c r="B870" s="21" t="s">
        <v>11350</v>
      </c>
      <c r="C870" s="21" t="s">
        <v>11347</v>
      </c>
      <c r="D870" s="21" t="s">
        <v>11348</v>
      </c>
      <c r="E870" s="21" t="s">
        <v>11349</v>
      </c>
      <c r="F870" s="21" t="s">
        <v>12</v>
      </c>
      <c r="G870" s="21" t="s">
        <v>197</v>
      </c>
      <c r="H870" s="21" t="str">
        <f t="shared" ref="H870:H875" si="28">IF(LEFT(I870,4)="JK13","PULWAMA",IF(LEFT(I870,4)="JK01","SRINAGAR",IF(LEFT(I870,4)="JK04","BUDGAM",IF(LEFT(I870,4)="JK03","ANANTNAG",IF(LEFT(I870,4)="LA01","KARGIL",IF(LEFT(I870,4)="JK05","BARAMULLA",IF(LEFT(I870,4)="26BH","BHARAT",IF(LEFT(I870,4)="25BH","BHARAT",IF(LEFT(I870,4)="JK12","POONCH",IF(LEFT(I870,4)="JK16","GANDERBAL",IF(LEFT(I870,4)="JK18","KULGAM",IF(LEFT(I870,4)="JK22","SHOPIAN",IF(LEFT(I870,4)="JK02","JAMMU",IF(LEFT(I870,4)="JK09","KUPWARA",IF(LEFT(I870,4)="JK15","BANDIPORA",IF(LEFT(I870,4)="JK17","KISHTWAR",IF(LEFT(I870,4)="LA01","KARGIL",IF(LEFT(I870,1)="T","TEMP","NEW"))))))))))))))))))</f>
        <v>JAMMU</v>
      </c>
      <c r="I870" s="21" t="s">
        <v>11371</v>
      </c>
      <c r="J870" s="22">
        <v>46191</v>
      </c>
      <c r="K870" s="21">
        <v>7889983332</v>
      </c>
      <c r="L870" s="21" t="s">
        <v>11192</v>
      </c>
      <c r="M870" s="23" t="s">
        <v>11405</v>
      </c>
      <c r="N870" s="22">
        <v>46193</v>
      </c>
      <c r="O870" s="21" t="s">
        <v>23</v>
      </c>
      <c r="P870" s="24">
        <v>46192</v>
      </c>
      <c r="Q870" s="21" t="s">
        <v>6454</v>
      </c>
      <c r="R870" s="21"/>
    </row>
    <row r="871" spans="1:18" x14ac:dyDescent="0.25">
      <c r="A871" s="21">
        <f t="shared" si="26"/>
        <v>870</v>
      </c>
      <c r="B871" s="21" t="s">
        <v>11351</v>
      </c>
      <c r="C871" s="21" t="s">
        <v>11352</v>
      </c>
      <c r="D871" s="21" t="s">
        <v>11353</v>
      </c>
      <c r="E871" s="21" t="s">
        <v>11354</v>
      </c>
      <c r="F871" s="21" t="s">
        <v>5</v>
      </c>
      <c r="G871" s="21" t="s">
        <v>197</v>
      </c>
      <c r="H871" s="21" t="str">
        <f t="shared" si="28"/>
        <v>SHOPIAN</v>
      </c>
      <c r="I871" s="21" t="s">
        <v>11372</v>
      </c>
      <c r="J871" s="22">
        <v>46192</v>
      </c>
      <c r="K871" s="21">
        <v>7006689214</v>
      </c>
      <c r="L871" s="21" t="s">
        <v>11355</v>
      </c>
      <c r="M871" s="23"/>
      <c r="N871" s="22"/>
      <c r="O871" s="21"/>
      <c r="P871" s="24"/>
      <c r="Q871" s="21"/>
      <c r="R871" s="21"/>
    </row>
    <row r="872" spans="1:18" x14ac:dyDescent="0.25">
      <c r="A872" s="21">
        <f t="shared" si="26"/>
        <v>871</v>
      </c>
      <c r="B872" s="21" t="s">
        <v>11356</v>
      </c>
      <c r="C872" s="21" t="s">
        <v>11357</v>
      </c>
      <c r="D872" s="21" t="s">
        <v>11358</v>
      </c>
      <c r="E872" s="21" t="s">
        <v>11359</v>
      </c>
      <c r="F872" s="21" t="s">
        <v>2697</v>
      </c>
      <c r="G872" s="21" t="s">
        <v>171</v>
      </c>
      <c r="H872" s="21" t="str">
        <f t="shared" si="28"/>
        <v>SRINAGAR</v>
      </c>
      <c r="I872" s="21" t="s">
        <v>11370</v>
      </c>
      <c r="J872" s="22">
        <v>46192</v>
      </c>
      <c r="K872" s="21">
        <v>9811039202</v>
      </c>
      <c r="L872" s="21" t="s">
        <v>73</v>
      </c>
      <c r="M872" s="23" t="s">
        <v>7883</v>
      </c>
      <c r="N872" s="22">
        <v>46192</v>
      </c>
      <c r="O872" s="21" t="s">
        <v>23</v>
      </c>
      <c r="P872" s="24">
        <v>46192</v>
      </c>
      <c r="Q872" s="21" t="s">
        <v>6454</v>
      </c>
      <c r="R872" s="21"/>
    </row>
    <row r="873" spans="1:18" x14ac:dyDescent="0.25">
      <c r="A873" s="21">
        <f t="shared" si="26"/>
        <v>872</v>
      </c>
      <c r="B873" s="21" t="s">
        <v>11363</v>
      </c>
      <c r="C873" s="21" t="s">
        <v>11360</v>
      </c>
      <c r="D873" s="21" t="s">
        <v>11361</v>
      </c>
      <c r="E873" s="21" t="s">
        <v>11362</v>
      </c>
      <c r="F873" s="21" t="s">
        <v>7391</v>
      </c>
      <c r="G873" s="21" t="s">
        <v>197</v>
      </c>
      <c r="H873" s="21" t="str">
        <f t="shared" si="28"/>
        <v>SRINAGAR</v>
      </c>
      <c r="I873" s="21" t="s">
        <v>11368</v>
      </c>
      <c r="J873" s="22">
        <v>46192</v>
      </c>
      <c r="K873" s="21">
        <v>9149654809</v>
      </c>
      <c r="L873" s="21" t="s">
        <v>173</v>
      </c>
      <c r="M873" s="23" t="s">
        <v>7607</v>
      </c>
      <c r="N873" s="22">
        <v>46196</v>
      </c>
      <c r="O873" s="21" t="s">
        <v>23</v>
      </c>
      <c r="P873" s="24">
        <v>46192</v>
      </c>
      <c r="Q873" s="21" t="s">
        <v>6454</v>
      </c>
      <c r="R873" s="21"/>
    </row>
    <row r="874" spans="1:18" x14ac:dyDescent="0.25">
      <c r="A874" s="21">
        <f t="shared" si="26"/>
        <v>873</v>
      </c>
      <c r="B874" s="21" t="s">
        <v>11364</v>
      </c>
      <c r="C874" s="21" t="s">
        <v>11365</v>
      </c>
      <c r="D874" s="21" t="s">
        <v>11366</v>
      </c>
      <c r="E874" s="21" t="s">
        <v>11367</v>
      </c>
      <c r="F874" s="21" t="s">
        <v>277</v>
      </c>
      <c r="G874" s="21" t="s">
        <v>178</v>
      </c>
      <c r="H874" s="21" t="str">
        <f t="shared" si="28"/>
        <v>SRINAGAR</v>
      </c>
      <c r="I874" s="21" t="s">
        <v>11369</v>
      </c>
      <c r="J874" s="22">
        <v>46192</v>
      </c>
      <c r="K874" s="21">
        <v>9419040502</v>
      </c>
      <c r="L874" s="21" t="s">
        <v>10162</v>
      </c>
      <c r="M874" s="23" t="s">
        <v>11391</v>
      </c>
      <c r="N874" s="22">
        <v>46192</v>
      </c>
      <c r="O874" s="21" t="s">
        <v>23</v>
      </c>
      <c r="P874" s="24">
        <v>46192</v>
      </c>
      <c r="Q874" s="21" t="s">
        <v>6454</v>
      </c>
      <c r="R874" s="21"/>
    </row>
    <row r="875" spans="1:18" x14ac:dyDescent="0.25">
      <c r="A875" s="21">
        <f t="shared" si="26"/>
        <v>874</v>
      </c>
      <c r="B875" s="21" t="s">
        <v>11376</v>
      </c>
      <c r="C875" s="21" t="s">
        <v>11373</v>
      </c>
      <c r="D875" s="21" t="s">
        <v>11374</v>
      </c>
      <c r="E875" s="21" t="s">
        <v>11375</v>
      </c>
      <c r="F875" s="21" t="s">
        <v>12</v>
      </c>
      <c r="G875" s="21" t="s">
        <v>197</v>
      </c>
      <c r="H875" s="21" t="str">
        <f t="shared" si="28"/>
        <v>BUDGAM</v>
      </c>
      <c r="I875" s="21" t="s">
        <v>11380</v>
      </c>
      <c r="J875" s="22">
        <v>46192</v>
      </c>
      <c r="K875" s="21">
        <v>7006079082</v>
      </c>
      <c r="L875" s="21" t="s">
        <v>68</v>
      </c>
      <c r="M875" s="23" t="s">
        <v>7943</v>
      </c>
      <c r="N875" s="22">
        <v>46197</v>
      </c>
      <c r="O875" s="21" t="s">
        <v>23</v>
      </c>
      <c r="P875" s="24">
        <v>46193</v>
      </c>
      <c r="Q875" s="21" t="s">
        <v>6454</v>
      </c>
      <c r="R875" s="21"/>
    </row>
    <row r="876" spans="1:18" x14ac:dyDescent="0.25">
      <c r="A876" s="21">
        <f t="shared" si="26"/>
        <v>875</v>
      </c>
      <c r="B876" s="21" t="s">
        <v>11385</v>
      </c>
      <c r="C876" s="21" t="s">
        <v>11382</v>
      </c>
      <c r="D876" s="21" t="s">
        <v>11383</v>
      </c>
      <c r="E876" s="21" t="s">
        <v>11384</v>
      </c>
      <c r="F876" s="21" t="s">
        <v>3126</v>
      </c>
      <c r="G876" s="21" t="s">
        <v>6469</v>
      </c>
      <c r="H876" s="21" t="str">
        <f t="shared" ref="H876:H882" si="29">IF(LEFT(I876,4)="JK13","PULWAMA",IF(LEFT(I876,4)="JK01","SRINAGAR",IF(LEFT(I876,4)="JK04","BUDGAM",IF(LEFT(I876,4)="JK03","ANANTNAG",IF(LEFT(I876,4)="LA01","KARGIL",IF(LEFT(I876,4)="JK05","BARAMULLA",IF(LEFT(I876,4)="26BH","BHARAT",IF(LEFT(I876,4)="25BH","BHARAT",IF(LEFT(I876,4)="JK12","POONCH",IF(LEFT(I876,4)="JK16","GANDERBAL",IF(LEFT(I876,4)="JK18","KULGAM",IF(LEFT(I876,4)="JK22","SHOPIAN",IF(LEFT(I876,4)="JK02","JAMMU",IF(LEFT(I876,4)="JK09","KUPWARA",IF(LEFT(I876,4)="JK15","BANDIPORA",IF(LEFT(I876,4)="JK17","KISHTWAR",IF(LEFT(I876,4)="LA01","KARGIL",IF(LEFT(I876,1)="T","TEMP","NEW"))))))))))))))))))</f>
        <v>JAMMU</v>
      </c>
      <c r="I876" s="21" t="s">
        <v>11386</v>
      </c>
      <c r="J876" s="22">
        <v>46192</v>
      </c>
      <c r="K876" s="21">
        <v>9469765393</v>
      </c>
      <c r="L876" s="21" t="s">
        <v>18</v>
      </c>
      <c r="M876" s="23" t="s">
        <v>7604</v>
      </c>
      <c r="N876" s="22">
        <v>46195</v>
      </c>
      <c r="O876" s="21" t="s">
        <v>23</v>
      </c>
      <c r="P876" s="24">
        <v>46193</v>
      </c>
      <c r="Q876" s="21" t="s">
        <v>6454</v>
      </c>
      <c r="R876" s="21"/>
    </row>
    <row r="877" spans="1:18" x14ac:dyDescent="0.25">
      <c r="A877" s="21">
        <f t="shared" si="26"/>
        <v>876</v>
      </c>
      <c r="B877" s="21" t="s">
        <v>11392</v>
      </c>
      <c r="C877" s="21" t="s">
        <v>11393</v>
      </c>
      <c r="D877" s="21" t="s">
        <v>11394</v>
      </c>
      <c r="E877" s="21" t="s">
        <v>11395</v>
      </c>
      <c r="F877" s="21" t="s">
        <v>98</v>
      </c>
      <c r="G877" s="21" t="s">
        <v>171</v>
      </c>
      <c r="H877" s="21" t="str">
        <f t="shared" si="29"/>
        <v>BARAMULLA</v>
      </c>
      <c r="I877" s="21" t="s">
        <v>11399</v>
      </c>
      <c r="J877" s="22">
        <v>46192</v>
      </c>
      <c r="K877" s="21">
        <v>9622847452</v>
      </c>
      <c r="L877" s="21" t="s">
        <v>7240</v>
      </c>
      <c r="M877" s="23"/>
      <c r="N877" s="22"/>
      <c r="O877" s="21" t="s">
        <v>23</v>
      </c>
      <c r="P877" s="24">
        <v>46193</v>
      </c>
      <c r="Q877" s="21" t="s">
        <v>6454</v>
      </c>
      <c r="R877" s="21"/>
    </row>
    <row r="878" spans="1:18" x14ac:dyDescent="0.25">
      <c r="A878" s="21">
        <f t="shared" si="26"/>
        <v>877</v>
      </c>
      <c r="B878" s="21" t="s">
        <v>11387</v>
      </c>
      <c r="C878" s="21" t="s">
        <v>11388</v>
      </c>
      <c r="D878" s="21" t="s">
        <v>11389</v>
      </c>
      <c r="E878" s="21" t="s">
        <v>11390</v>
      </c>
      <c r="F878" s="21" t="s">
        <v>98</v>
      </c>
      <c r="G878" s="21" t="s">
        <v>197</v>
      </c>
      <c r="H878" s="21" t="str">
        <f>IF(LEFT(I878,4)="JK13","PULWAMA",IF(LEFT(I878,4)="JK01","SRINAGAR",IF(LEFT(I878,4)="JK04","BUDGAM",IF(LEFT(I878,4)="JK03","ANANTNAG",IF(LEFT(I878,4)="LA01","KARGIL",IF(LEFT(I878,4)="JK05","BARAMULLA",IF(LEFT(I878,4)="26BH","BHARAT",IF(LEFT(I878,4)="25BH","BHARAT",IF(LEFT(I878,4)="JK12","POONCH",IF(LEFT(I878,4)="JK16","GANDERBAL",IF(LEFT(I878,4)="JK18","KULGAM",IF(LEFT(I878,4)="JK22","SHOPIAN",IF(LEFT(I878,4)="JK02","JAMMU",IF(LEFT(I878,4)="JK09","KUPWARA",IF(LEFT(I878,4)="JK15","BANDIPORA",IF(LEFT(I878,4)="JK17","KISHTWAR",IF(LEFT(I878,4)="LA01","KARGIL",IF(LEFT(I878,1)="T","TEMP","NEW"))))))))))))))))))</f>
        <v>SRINAGAR</v>
      </c>
      <c r="I878" s="21" t="s">
        <v>11408</v>
      </c>
      <c r="J878" s="22">
        <v>46192</v>
      </c>
      <c r="K878" s="21">
        <v>9906594726</v>
      </c>
      <c r="L878" s="21" t="s">
        <v>68</v>
      </c>
      <c r="M878" s="23"/>
      <c r="N878" s="22"/>
      <c r="O878" s="21" t="s">
        <v>23</v>
      </c>
      <c r="P878" s="24">
        <v>46193</v>
      </c>
      <c r="Q878" s="21" t="s">
        <v>6454</v>
      </c>
      <c r="R878" s="21"/>
    </row>
    <row r="879" spans="1:18" x14ac:dyDescent="0.25">
      <c r="A879" s="21">
        <f t="shared" si="26"/>
        <v>878</v>
      </c>
      <c r="B879" s="21" t="s">
        <v>11411</v>
      </c>
      <c r="C879" s="21" t="s">
        <v>11412</v>
      </c>
      <c r="D879" s="21" t="s">
        <v>11413</v>
      </c>
      <c r="E879" s="21" t="s">
        <v>11414</v>
      </c>
      <c r="F879" s="21" t="s">
        <v>12</v>
      </c>
      <c r="G879" s="21" t="s">
        <v>178</v>
      </c>
      <c r="H879" s="21" t="str">
        <f t="shared" si="29"/>
        <v>SRINAGAR</v>
      </c>
      <c r="I879" s="21" t="s">
        <v>11415</v>
      </c>
      <c r="J879" s="22">
        <v>46193</v>
      </c>
      <c r="K879" s="21">
        <v>8899566980</v>
      </c>
      <c r="L879" s="21" t="s">
        <v>2244</v>
      </c>
      <c r="M879" s="23"/>
      <c r="N879" s="22"/>
      <c r="O879" s="21" t="s">
        <v>23</v>
      </c>
      <c r="P879" s="24">
        <v>46193</v>
      </c>
      <c r="Q879" s="21" t="s">
        <v>6454</v>
      </c>
      <c r="R879" s="21"/>
    </row>
    <row r="880" spans="1:18" x14ac:dyDescent="0.25">
      <c r="A880" s="21">
        <f t="shared" si="26"/>
        <v>879</v>
      </c>
      <c r="B880" s="21" t="s">
        <v>11424</v>
      </c>
      <c r="C880" s="21" t="s">
        <v>11425</v>
      </c>
      <c r="D880" s="21" t="s">
        <v>11426</v>
      </c>
      <c r="E880" s="21" t="s">
        <v>1137</v>
      </c>
      <c r="F880" s="21" t="s">
        <v>36</v>
      </c>
      <c r="G880" s="21" t="s">
        <v>196</v>
      </c>
      <c r="H880" s="21" t="str">
        <f t="shared" si="29"/>
        <v>PULWAMA</v>
      </c>
      <c r="I880" s="21" t="s">
        <v>11433</v>
      </c>
      <c r="J880" s="22">
        <v>46195</v>
      </c>
      <c r="K880" s="21">
        <v>9596384041</v>
      </c>
      <c r="L880" s="21" t="s">
        <v>8591</v>
      </c>
      <c r="M880" s="23"/>
      <c r="N880" s="22"/>
      <c r="O880" s="21"/>
      <c r="P880" s="24"/>
      <c r="Q880" s="21"/>
      <c r="R880" s="21"/>
    </row>
    <row r="881" spans="1:18" x14ac:dyDescent="0.25">
      <c r="A881" s="21">
        <f t="shared" si="26"/>
        <v>880</v>
      </c>
      <c r="B881" s="21" t="s">
        <v>11429</v>
      </c>
      <c r="C881" s="21" t="s">
        <v>11430</v>
      </c>
      <c r="D881" s="21" t="s">
        <v>11431</v>
      </c>
      <c r="E881" s="21" t="s">
        <v>11432</v>
      </c>
      <c r="F881" s="21" t="s">
        <v>5</v>
      </c>
      <c r="G881" s="21" t="s">
        <v>196</v>
      </c>
      <c r="H881" s="21" t="str">
        <f t="shared" si="29"/>
        <v>PULWAMA</v>
      </c>
      <c r="I881" s="21" t="s">
        <v>11434</v>
      </c>
      <c r="J881" s="22">
        <v>46195</v>
      </c>
      <c r="K881" s="21">
        <v>9622907844</v>
      </c>
      <c r="L881" s="21" t="s">
        <v>7228</v>
      </c>
      <c r="M881" s="23"/>
      <c r="N881" s="22"/>
      <c r="O881" s="21"/>
      <c r="P881" s="24"/>
      <c r="Q881" s="21"/>
      <c r="R881" s="21"/>
    </row>
    <row r="882" spans="1:18" x14ac:dyDescent="0.25">
      <c r="A882" s="21">
        <f t="shared" si="26"/>
        <v>881</v>
      </c>
      <c r="B882" s="21" t="s">
        <v>11435</v>
      </c>
      <c r="C882" s="21" t="s">
        <v>11436</v>
      </c>
      <c r="D882" s="21" t="s">
        <v>11437</v>
      </c>
      <c r="E882" s="21" t="s">
        <v>11438</v>
      </c>
      <c r="F882" s="21" t="s">
        <v>12</v>
      </c>
      <c r="G882" s="21" t="s">
        <v>178</v>
      </c>
      <c r="H882" s="21" t="str">
        <f t="shared" si="29"/>
        <v>PULWAMA</v>
      </c>
      <c r="I882" s="21" t="s">
        <v>11439</v>
      </c>
      <c r="J882" s="22">
        <v>46195</v>
      </c>
      <c r="K882" s="21">
        <v>7006623287</v>
      </c>
      <c r="L882" s="21" t="s">
        <v>9902</v>
      </c>
      <c r="M882" s="23"/>
      <c r="N882" s="22"/>
      <c r="O882" s="21"/>
      <c r="P882" s="24"/>
      <c r="Q882" s="21"/>
      <c r="R882" s="21"/>
    </row>
    <row r="883" spans="1:18" x14ac:dyDescent="0.25">
      <c r="A883" s="21">
        <f t="shared" si="26"/>
        <v>882</v>
      </c>
      <c r="B883" s="21" t="s">
        <v>11440</v>
      </c>
      <c r="C883" s="21" t="s">
        <v>11441</v>
      </c>
      <c r="D883" s="21" t="s">
        <v>11442</v>
      </c>
      <c r="E883" s="21" t="s">
        <v>11443</v>
      </c>
      <c r="F883" s="21" t="s">
        <v>36</v>
      </c>
      <c r="G883" s="21" t="s">
        <v>171</v>
      </c>
      <c r="H883" s="21" t="str">
        <f t="shared" ref="H883:H888" si="30">IF(LEFT(I883,4)="JK13","PULWAMA",IF(LEFT(I883,4)="JK01","SRINAGAR",IF(LEFT(I883,4)="JK04","BUDGAM",IF(LEFT(I883,4)="JK03","ANANTNAG",IF(LEFT(I883,4)="LA01","KARGIL",IF(LEFT(I883,4)="JK05","BARAMULLA",IF(LEFT(I883,4)="26BH","BHARAT",IF(LEFT(I883,4)="25BH","BHARAT",IF(LEFT(I883,4)="JK12","POONCH",IF(LEFT(I883,4)="JK16","GANDERBAL",IF(LEFT(I883,4)="JK18","KULGAM",IF(LEFT(I883,4)="JK22","SHOPIAN",IF(LEFT(I883,4)="JK02","JAMMU",IF(LEFT(I883,4)="JK09","KUPWARA",IF(LEFT(I883,4)="JK15","BANDIPORA",IF(LEFT(I883,4)="JK17","KISHTWAR",IF(LEFT(I883,4)="LA01","KARGIL",IF(LEFT(I883,1)="T","TEMP","NEW"))))))))))))))))))</f>
        <v>PULWAMA</v>
      </c>
      <c r="I883" s="21" t="s">
        <v>11454</v>
      </c>
      <c r="J883" s="22">
        <v>46196</v>
      </c>
      <c r="K883" s="21">
        <v>9149740071</v>
      </c>
      <c r="L883" s="21" t="s">
        <v>7689</v>
      </c>
      <c r="M883" s="23"/>
      <c r="N883" s="22"/>
      <c r="O883" s="21"/>
      <c r="P883" s="24"/>
      <c r="Q883" s="21"/>
      <c r="R883" s="21"/>
    </row>
    <row r="884" spans="1:18" x14ac:dyDescent="0.25">
      <c r="A884" s="21">
        <f t="shared" si="26"/>
        <v>883</v>
      </c>
      <c r="B884" s="21" t="s">
        <v>11447</v>
      </c>
      <c r="C884" s="21" t="s">
        <v>11444</v>
      </c>
      <c r="D884" s="21" t="s">
        <v>11445</v>
      </c>
      <c r="E884" s="21" t="s">
        <v>11446</v>
      </c>
      <c r="F884" s="21" t="s">
        <v>65</v>
      </c>
      <c r="G884" s="21" t="s">
        <v>197</v>
      </c>
      <c r="H884" s="21" t="str">
        <f t="shared" si="30"/>
        <v>KUPWARA</v>
      </c>
      <c r="I884" s="21" t="s">
        <v>11453</v>
      </c>
      <c r="J884" s="22">
        <v>46196</v>
      </c>
      <c r="K884" s="21">
        <v>9797226096</v>
      </c>
      <c r="L884" s="21" t="s">
        <v>26</v>
      </c>
      <c r="M884" s="23"/>
      <c r="N884" s="22"/>
      <c r="O884" s="21" t="s">
        <v>23</v>
      </c>
      <c r="P884" s="24">
        <v>46196</v>
      </c>
      <c r="Q884" s="21" t="s">
        <v>6454</v>
      </c>
      <c r="R884" s="21"/>
    </row>
    <row r="885" spans="1:18" x14ac:dyDescent="0.25">
      <c r="A885" s="21">
        <f t="shared" si="26"/>
        <v>884</v>
      </c>
      <c r="B885" s="21" t="s">
        <v>11451</v>
      </c>
      <c r="C885" s="21" t="s">
        <v>11448</v>
      </c>
      <c r="D885" s="21" t="s">
        <v>11449</v>
      </c>
      <c r="E885" s="21" t="s">
        <v>11450</v>
      </c>
      <c r="F885" s="21" t="s">
        <v>36</v>
      </c>
      <c r="G885" s="21" t="s">
        <v>196</v>
      </c>
      <c r="H885" s="21" t="str">
        <f t="shared" si="30"/>
        <v>ANANTNAG</v>
      </c>
      <c r="I885" s="21" t="s">
        <v>11452</v>
      </c>
      <c r="J885" s="22">
        <v>46196</v>
      </c>
      <c r="K885" s="21">
        <v>9797131308</v>
      </c>
      <c r="L885" s="21" t="s">
        <v>26</v>
      </c>
      <c r="M885" s="23"/>
      <c r="N885" s="22"/>
      <c r="O885" s="21" t="s">
        <v>23</v>
      </c>
      <c r="P885" s="24">
        <v>46196</v>
      </c>
      <c r="Q885" s="21" t="s">
        <v>6454</v>
      </c>
      <c r="R885" s="21"/>
    </row>
    <row r="886" spans="1:18" x14ac:dyDescent="0.25">
      <c r="A886" s="21">
        <f t="shared" si="26"/>
        <v>885</v>
      </c>
      <c r="B886" s="21" t="s">
        <v>11458</v>
      </c>
      <c r="C886" s="21" t="s">
        <v>11459</v>
      </c>
      <c r="D886" s="21" t="s">
        <v>11460</v>
      </c>
      <c r="E886" s="21" t="s">
        <v>11461</v>
      </c>
      <c r="F886" s="21" t="s">
        <v>7391</v>
      </c>
      <c r="G886" s="21" t="s">
        <v>178</v>
      </c>
      <c r="H886" s="21" t="str">
        <f t="shared" si="30"/>
        <v>SRINAGAR</v>
      </c>
      <c r="I886" s="21" t="s">
        <v>11462</v>
      </c>
      <c r="J886" s="22">
        <v>46196</v>
      </c>
      <c r="K886" s="21">
        <v>9906522960</v>
      </c>
      <c r="L886" s="21" t="s">
        <v>73</v>
      </c>
      <c r="M886" s="23" t="s">
        <v>7883</v>
      </c>
      <c r="N886" s="22">
        <v>46197</v>
      </c>
      <c r="O886" s="21" t="s">
        <v>23</v>
      </c>
      <c r="P886" s="24">
        <v>46196</v>
      </c>
      <c r="Q886" s="21" t="s">
        <v>6454</v>
      </c>
      <c r="R886" s="21"/>
    </row>
    <row r="887" spans="1:18" x14ac:dyDescent="0.25">
      <c r="A887" s="21">
        <f t="shared" si="26"/>
        <v>886</v>
      </c>
      <c r="B887" s="21" t="s">
        <v>11379</v>
      </c>
      <c r="C887" s="21" t="s">
        <v>11378</v>
      </c>
      <c r="D887" s="21" t="s">
        <v>11381</v>
      </c>
      <c r="E887" s="21" t="s">
        <v>11377</v>
      </c>
      <c r="F887" s="21" t="s">
        <v>98</v>
      </c>
      <c r="G887" s="21" t="s">
        <v>171</v>
      </c>
      <c r="H887" s="21" t="str">
        <f>IF(LEFT(I887,4)="JK13","PULWAMA",IF(LEFT(I887,4)="JK01","SRINAGAR",IF(LEFT(I887,4)="JK04","BUDGAM",IF(LEFT(I887,4)="JK03","ANANTNAG",IF(LEFT(I887,4)="LA01","KARGIL",IF(LEFT(I887,4)="JK05","BARAMULLA",IF(LEFT(I887,4)="26BH","BHARAT",IF(LEFT(I887,4)="25BH","BHARAT",IF(LEFT(I887,4)="JK12","POONCH",IF(LEFT(I887,4)="JK16","GANDERBAL",IF(LEFT(I887,4)="JK18","KULGAM",IF(LEFT(I887,4)="JK22","SHOPIAN",IF(LEFT(I887,4)="JK02","JAMMU",IF(LEFT(I887,4)="JK09","KUPWARA",IF(LEFT(I887,4)="JK15","BANDIPORA",IF(LEFT(I887,4)="JK17","KISHTWAR",IF(LEFT(I887,4)="LA01","KARGIL",IF(LEFT(I887,1)="T","TEMP","NEW"))))))))))))))))))</f>
        <v>BHARAT</v>
      </c>
      <c r="I887" s="21" t="s">
        <v>11463</v>
      </c>
      <c r="J887" s="22">
        <v>46192</v>
      </c>
      <c r="K887" s="21">
        <v>9978492818</v>
      </c>
      <c r="L887" s="21" t="s">
        <v>26</v>
      </c>
      <c r="M887" s="23"/>
      <c r="N887" s="22"/>
      <c r="O887" s="21"/>
      <c r="P887" s="24"/>
      <c r="Q887" s="21"/>
      <c r="R887" s="21"/>
    </row>
    <row r="888" spans="1:18" x14ac:dyDescent="0.25">
      <c r="A888" s="21">
        <f t="shared" si="26"/>
        <v>887</v>
      </c>
      <c r="B888" s="21" t="s">
        <v>11464</v>
      </c>
      <c r="C888" s="21" t="s">
        <v>11465</v>
      </c>
      <c r="D888" s="21" t="s">
        <v>11466</v>
      </c>
      <c r="E888" s="21" t="s">
        <v>11467</v>
      </c>
      <c r="F888" s="21" t="s">
        <v>98</v>
      </c>
      <c r="G888" s="21" t="s">
        <v>171</v>
      </c>
      <c r="H888" s="21" t="str">
        <f t="shared" si="30"/>
        <v>SHOPIAN</v>
      </c>
      <c r="I888" s="21" t="s">
        <v>11469</v>
      </c>
      <c r="J888" s="22">
        <v>46196</v>
      </c>
      <c r="K888" s="21">
        <v>7006467400</v>
      </c>
      <c r="L888" s="21" t="s">
        <v>11468</v>
      </c>
      <c r="M888" s="23"/>
      <c r="N888" s="22"/>
      <c r="O888" s="21" t="s">
        <v>23</v>
      </c>
      <c r="P888" s="24">
        <v>46196</v>
      </c>
      <c r="Q888" s="21" t="s">
        <v>6454</v>
      </c>
      <c r="R888" s="21"/>
    </row>
    <row r="889" spans="1:18" x14ac:dyDescent="0.25">
      <c r="A889" s="21">
        <f t="shared" si="26"/>
        <v>888</v>
      </c>
      <c r="B889" s="21" t="s">
        <v>11474</v>
      </c>
      <c r="C889" s="21" t="s">
        <v>11471</v>
      </c>
      <c r="D889" s="21" t="s">
        <v>11472</v>
      </c>
      <c r="E889" s="21" t="s">
        <v>11473</v>
      </c>
      <c r="F889" s="21" t="s">
        <v>12</v>
      </c>
      <c r="G889" s="21" t="s">
        <v>197</v>
      </c>
      <c r="H889" s="21" t="str">
        <f t="shared" ref="H889:H894" si="31">IF(LEFT(I889,4)="JK13","PULWAMA",IF(LEFT(I889,4)="JK01","SRINAGAR",IF(LEFT(I889,4)="JK04","BUDGAM",IF(LEFT(I889,4)="JK03","ANANTNAG",IF(LEFT(I889,4)="LA01","KARGIL",IF(LEFT(I889,4)="JK05","BARAMULLA",IF(LEFT(I889,4)="26BH","BHARAT",IF(LEFT(I889,4)="25BH","BHARAT",IF(LEFT(I889,4)="JK12","POONCH",IF(LEFT(I889,4)="JK16","GANDERBAL",IF(LEFT(I889,4)="JK18","KULGAM",IF(LEFT(I889,4)="JK22","SHOPIAN",IF(LEFT(I889,4)="JK02","JAMMU",IF(LEFT(I889,4)="JK09","KUPWARA",IF(LEFT(I889,4)="JK15","BANDIPORA",IF(LEFT(I889,4)="JK17","KISHTWAR",IF(LEFT(I889,4)="LA01","KARGIL",IF(LEFT(I889,1)="T","TEMP","NEW"))))))))))))))))))</f>
        <v>SRINAGAR</v>
      </c>
      <c r="I889" s="21" t="s">
        <v>11489</v>
      </c>
      <c r="J889" s="22">
        <v>46196</v>
      </c>
      <c r="K889" s="21">
        <v>9419944287</v>
      </c>
      <c r="L889" s="21" t="s">
        <v>10162</v>
      </c>
      <c r="M889" s="23" t="s">
        <v>10507</v>
      </c>
      <c r="N889" s="22">
        <v>46197</v>
      </c>
      <c r="O889" s="21" t="s">
        <v>23</v>
      </c>
      <c r="P889" s="24">
        <v>46197</v>
      </c>
      <c r="Q889" s="21" t="s">
        <v>6454</v>
      </c>
      <c r="R889" s="21"/>
    </row>
    <row r="890" spans="1:18" x14ac:dyDescent="0.25">
      <c r="A890" s="21">
        <f t="shared" si="26"/>
        <v>889</v>
      </c>
      <c r="B890" s="21" t="s">
        <v>11478</v>
      </c>
      <c r="C890" s="21" t="s">
        <v>11475</v>
      </c>
      <c r="D890" s="21" t="s">
        <v>11476</v>
      </c>
      <c r="E890" s="21" t="s">
        <v>11477</v>
      </c>
      <c r="F890" s="21" t="s">
        <v>12</v>
      </c>
      <c r="G890" s="21" t="s">
        <v>178</v>
      </c>
      <c r="H890" s="21" t="str">
        <f t="shared" si="31"/>
        <v>ANANTNAG</v>
      </c>
      <c r="I890" s="21" t="s">
        <v>11487</v>
      </c>
      <c r="J890" s="22">
        <v>46196</v>
      </c>
      <c r="K890" s="21">
        <v>9070193564</v>
      </c>
      <c r="L890" s="21" t="s">
        <v>26</v>
      </c>
      <c r="M890" s="23"/>
      <c r="N890" s="22"/>
      <c r="O890" s="21" t="s">
        <v>23</v>
      </c>
      <c r="P890" s="24">
        <v>46197</v>
      </c>
      <c r="Q890" s="21" t="s">
        <v>6454</v>
      </c>
      <c r="R890" s="21"/>
    </row>
    <row r="891" spans="1:18" x14ac:dyDescent="0.25">
      <c r="A891" s="21">
        <f t="shared" si="26"/>
        <v>890</v>
      </c>
      <c r="B891" s="21" t="s">
        <v>11482</v>
      </c>
      <c r="C891" s="21" t="s">
        <v>11479</v>
      </c>
      <c r="D891" s="21" t="s">
        <v>11480</v>
      </c>
      <c r="E891" s="21" t="s">
        <v>11481</v>
      </c>
      <c r="F891" s="21" t="s">
        <v>12</v>
      </c>
      <c r="G891" s="21" t="s">
        <v>171</v>
      </c>
      <c r="H891" s="21" t="str">
        <f t="shared" si="31"/>
        <v>SRINAGAR</v>
      </c>
      <c r="I891" s="21" t="s">
        <v>11488</v>
      </c>
      <c r="J891" s="22">
        <v>46196</v>
      </c>
      <c r="K891" s="21">
        <v>7006231817</v>
      </c>
      <c r="L891" s="21" t="s">
        <v>191</v>
      </c>
      <c r="M891" s="23" t="s">
        <v>7606</v>
      </c>
      <c r="N891" s="22">
        <v>46197</v>
      </c>
      <c r="O891" s="21" t="s">
        <v>23</v>
      </c>
      <c r="P891" s="24">
        <v>46197</v>
      </c>
      <c r="Q891" s="21" t="s">
        <v>6454</v>
      </c>
      <c r="R891" s="21"/>
    </row>
    <row r="892" spans="1:18" x14ac:dyDescent="0.25">
      <c r="A892" s="21">
        <f t="shared" si="26"/>
        <v>891</v>
      </c>
      <c r="B892" s="21" t="s">
        <v>11490</v>
      </c>
      <c r="C892" s="21" t="s">
        <v>11491</v>
      </c>
      <c r="D892" s="21" t="s">
        <v>11492</v>
      </c>
      <c r="E892" s="21" t="s">
        <v>11493</v>
      </c>
      <c r="F892" s="21" t="s">
        <v>65</v>
      </c>
      <c r="G892" s="21" t="s">
        <v>196</v>
      </c>
      <c r="H892" s="21" t="str">
        <f t="shared" si="31"/>
        <v>SRINAGAR</v>
      </c>
      <c r="I892" s="21" t="s">
        <v>11502</v>
      </c>
      <c r="J892" s="22">
        <v>46197</v>
      </c>
      <c r="K892" s="21">
        <v>9622647542</v>
      </c>
      <c r="L892" s="21" t="s">
        <v>2168</v>
      </c>
      <c r="M892" s="23"/>
      <c r="N892" s="22"/>
      <c r="O892" s="21" t="s">
        <v>23</v>
      </c>
      <c r="P892" s="24">
        <v>46197</v>
      </c>
      <c r="Q892" s="21" t="s">
        <v>6454</v>
      </c>
      <c r="R892" s="21" t="s">
        <v>11500</v>
      </c>
    </row>
    <row r="893" spans="1:18" x14ac:dyDescent="0.25">
      <c r="A893" s="21">
        <f t="shared" si="26"/>
        <v>892</v>
      </c>
      <c r="B893" s="21" t="s">
        <v>11497</v>
      </c>
      <c r="C893" s="21" t="s">
        <v>11494</v>
      </c>
      <c r="D893" s="21" t="s">
        <v>11495</v>
      </c>
      <c r="E893" s="21" t="s">
        <v>11496</v>
      </c>
      <c r="F893" s="21" t="s">
        <v>234</v>
      </c>
      <c r="G893" s="21" t="s">
        <v>178</v>
      </c>
      <c r="H893" s="21" t="str">
        <f t="shared" si="31"/>
        <v>SRINAGAR</v>
      </c>
      <c r="I893" s="21" t="s">
        <v>11501</v>
      </c>
      <c r="J893" s="22">
        <v>46197</v>
      </c>
      <c r="K893" s="21">
        <v>9419093820</v>
      </c>
      <c r="L893" s="21" t="s">
        <v>1513</v>
      </c>
      <c r="M893" s="23"/>
      <c r="N893" s="22"/>
      <c r="O893" s="21" t="s">
        <v>23</v>
      </c>
      <c r="P893" s="24">
        <v>46197</v>
      </c>
      <c r="Q893" s="21" t="s">
        <v>6454</v>
      </c>
      <c r="R893" s="21"/>
    </row>
    <row r="894" spans="1:18" x14ac:dyDescent="0.25">
      <c r="A894" s="21">
        <f t="shared" si="26"/>
        <v>893</v>
      </c>
      <c r="B894" s="21" t="s">
        <v>11503</v>
      </c>
      <c r="C894" s="21" t="s">
        <v>11504</v>
      </c>
      <c r="D894" s="21" t="s">
        <v>11505</v>
      </c>
      <c r="E894" s="21" t="s">
        <v>1946</v>
      </c>
      <c r="F894" s="21" t="s">
        <v>5</v>
      </c>
      <c r="G894" s="21" t="s">
        <v>197</v>
      </c>
      <c r="H894" s="21" t="str">
        <f t="shared" si="31"/>
        <v>BANDIPORA</v>
      </c>
      <c r="I894" s="21" t="s">
        <v>11510</v>
      </c>
      <c r="J894" s="22">
        <v>46197</v>
      </c>
      <c r="K894" s="21">
        <v>7006689027</v>
      </c>
      <c r="L894" s="21" t="s">
        <v>6823</v>
      </c>
      <c r="M894" s="23"/>
      <c r="N894" s="22"/>
      <c r="O894" s="21" t="s">
        <v>23</v>
      </c>
      <c r="P894" s="24">
        <v>46197</v>
      </c>
      <c r="Q894" s="21" t="s">
        <v>6454</v>
      </c>
      <c r="R894" s="21"/>
    </row>
    <row r="895" spans="1:18" x14ac:dyDescent="0.25">
      <c r="A895" s="21">
        <f t="shared" si="26"/>
        <v>894</v>
      </c>
      <c r="B895" s="21" t="s">
        <v>11506</v>
      </c>
      <c r="C895" s="21" t="s">
        <v>11508</v>
      </c>
      <c r="D895" s="21" t="s">
        <v>11509</v>
      </c>
      <c r="E895" s="21" t="s">
        <v>11507</v>
      </c>
      <c r="F895" s="21" t="s">
        <v>12</v>
      </c>
      <c r="G895" s="21" t="s">
        <v>178</v>
      </c>
      <c r="H895" s="21" t="str">
        <f t="shared" ref="H895:H905" si="32">IF(LEFT(I895,4)="JK13","PULWAMA",IF(LEFT(I895,4)="JK01","SRINAGAR",IF(LEFT(I895,4)="JK04","BUDGAM",IF(LEFT(I895,4)="JK03","ANANTNAG",IF(LEFT(I895,4)="LA01","KARGIL",IF(LEFT(I895,4)="JK05","BARAMULLA",IF(LEFT(I895,4)="26BH","BHARAT",IF(LEFT(I895,4)="25BH","BHARAT",IF(LEFT(I895,4)="JK12","POONCH",IF(LEFT(I895,4)="JK16","GANDERBAL",IF(LEFT(I895,4)="JK18","KULGAM",IF(LEFT(I895,4)="JK22","SHOPIAN",IF(LEFT(I895,4)="JK02","JAMMU",IF(LEFT(I895,4)="JK09","KUPWARA",IF(LEFT(I895,4)="JK15","BANDIPORA",IF(LEFT(I895,4)="JK17","KISHTWAR",IF(LEFT(I895,4)="LA01","KARGIL",IF(LEFT(I895,1)="T","TEMP","NEW"))))))))))))))))))</f>
        <v>BANDIPORA</v>
      </c>
      <c r="I895" s="21" t="s">
        <v>11511</v>
      </c>
      <c r="J895" s="22">
        <v>46197</v>
      </c>
      <c r="K895" s="21">
        <v>7889883897</v>
      </c>
      <c r="L895" s="21" t="s">
        <v>6823</v>
      </c>
      <c r="M895" s="23"/>
      <c r="N895" s="22"/>
      <c r="O895" s="21" t="s">
        <v>23</v>
      </c>
      <c r="P895" s="24">
        <v>46197</v>
      </c>
      <c r="Q895" s="21" t="s">
        <v>6454</v>
      </c>
      <c r="R895" s="21"/>
    </row>
    <row r="896" spans="1:18" x14ac:dyDescent="0.25">
      <c r="A896" s="21">
        <f t="shared" si="26"/>
        <v>895</v>
      </c>
      <c r="B896" s="21" t="s">
        <v>11514</v>
      </c>
      <c r="C896" s="21" t="s">
        <v>11512</v>
      </c>
      <c r="D896" s="21" t="s">
        <v>11513</v>
      </c>
      <c r="E896" s="21" t="s">
        <v>683</v>
      </c>
      <c r="F896" s="21" t="s">
        <v>3126</v>
      </c>
      <c r="G896" s="21" t="s">
        <v>197</v>
      </c>
      <c r="H896" s="21" t="str">
        <f t="shared" si="32"/>
        <v>BUDGAM</v>
      </c>
      <c r="I896" s="21" t="s">
        <v>11521</v>
      </c>
      <c r="J896" s="22">
        <v>46197</v>
      </c>
      <c r="K896" s="21">
        <v>7006246665</v>
      </c>
      <c r="L896" s="21" t="s">
        <v>8857</v>
      </c>
      <c r="M896" s="23"/>
      <c r="N896" s="22"/>
      <c r="O896" s="21"/>
      <c r="P896" s="24"/>
      <c r="Q896" s="21"/>
      <c r="R896" s="21"/>
    </row>
    <row r="897" spans="1:18" x14ac:dyDescent="0.25">
      <c r="A897" s="21">
        <f t="shared" si="26"/>
        <v>896</v>
      </c>
      <c r="B897" s="21"/>
      <c r="C897" s="21"/>
      <c r="D897" s="21"/>
      <c r="E897" s="21"/>
      <c r="F897" s="21"/>
      <c r="G897" s="21"/>
      <c r="H897" s="21" t="str">
        <f t="shared" si="32"/>
        <v>NEW</v>
      </c>
      <c r="I897" s="21"/>
      <c r="J897" s="22"/>
      <c r="K897" s="21"/>
      <c r="L897" s="21"/>
      <c r="M897" s="23"/>
      <c r="N897" s="22"/>
      <c r="O897" s="21"/>
      <c r="P897" s="24"/>
      <c r="Q897" s="21"/>
      <c r="R897" s="21"/>
    </row>
    <row r="898" spans="1:18" x14ac:dyDescent="0.25">
      <c r="A898" s="21">
        <f t="shared" ref="A898:A905" si="33">ROW()-1</f>
        <v>897</v>
      </c>
      <c r="B898" s="21"/>
      <c r="C898" s="21"/>
      <c r="D898" s="21"/>
      <c r="E898" s="21"/>
      <c r="F898" s="21"/>
      <c r="G898" s="21"/>
      <c r="H898" s="21" t="str">
        <f t="shared" si="32"/>
        <v>NEW</v>
      </c>
      <c r="I898" s="21"/>
      <c r="J898" s="22"/>
      <c r="K898" s="21"/>
      <c r="L898" s="21"/>
      <c r="M898" s="23"/>
      <c r="N898" s="22"/>
      <c r="O898" s="21"/>
      <c r="P898" s="24"/>
      <c r="Q898" s="21"/>
      <c r="R898" s="21"/>
    </row>
    <row r="899" spans="1:18" x14ac:dyDescent="0.25">
      <c r="A899" s="21">
        <f t="shared" si="33"/>
        <v>898</v>
      </c>
      <c r="B899" s="21"/>
      <c r="C899" s="21"/>
      <c r="D899" s="21"/>
      <c r="E899" s="21"/>
      <c r="F899" s="21"/>
      <c r="G899" s="21"/>
      <c r="H899" s="21" t="str">
        <f t="shared" si="32"/>
        <v>NEW</v>
      </c>
      <c r="I899" s="21"/>
      <c r="J899" s="22"/>
      <c r="K899" s="21"/>
      <c r="L899" s="21"/>
      <c r="M899" s="23"/>
      <c r="N899" s="22"/>
      <c r="O899" s="21"/>
      <c r="P899" s="24"/>
      <c r="Q899" s="21"/>
      <c r="R899" s="21"/>
    </row>
    <row r="900" spans="1:18" x14ac:dyDescent="0.25">
      <c r="A900" s="21">
        <f t="shared" si="33"/>
        <v>899</v>
      </c>
      <c r="B900" s="21"/>
      <c r="C900" s="21"/>
      <c r="D900" s="21"/>
      <c r="E900" s="21"/>
      <c r="F900" s="21"/>
      <c r="G900" s="21"/>
      <c r="H900" s="21" t="str">
        <f t="shared" si="32"/>
        <v>NEW</v>
      </c>
      <c r="I900" s="21"/>
      <c r="J900" s="22"/>
      <c r="K900" s="21"/>
      <c r="L900" s="21"/>
      <c r="M900" s="23"/>
      <c r="N900" s="22"/>
      <c r="O900" s="21"/>
      <c r="P900" s="24"/>
      <c r="Q900" s="21"/>
      <c r="R900" s="21"/>
    </row>
    <row r="901" spans="1:18" x14ac:dyDescent="0.25">
      <c r="A901" s="21">
        <f t="shared" si="33"/>
        <v>900</v>
      </c>
      <c r="B901" s="21"/>
      <c r="C901" s="21"/>
      <c r="D901" s="21"/>
      <c r="E901" s="21"/>
      <c r="F901" s="21"/>
      <c r="G901" s="21"/>
      <c r="H901" s="21" t="str">
        <f t="shared" si="32"/>
        <v>NEW</v>
      </c>
      <c r="I901" s="21"/>
      <c r="J901" s="22"/>
      <c r="K901" s="21"/>
      <c r="L901" s="21"/>
      <c r="M901" s="23"/>
      <c r="N901" s="22"/>
      <c r="O901" s="21"/>
      <c r="P901" s="24"/>
      <c r="Q901" s="21"/>
      <c r="R901" s="21"/>
    </row>
    <row r="902" spans="1:18" x14ac:dyDescent="0.25">
      <c r="A902" s="21">
        <f t="shared" si="33"/>
        <v>901</v>
      </c>
      <c r="B902" s="21"/>
      <c r="C902" s="21"/>
      <c r="D902" s="21"/>
      <c r="E902" s="21"/>
      <c r="F902" s="21"/>
      <c r="G902" s="21"/>
      <c r="H902" s="21" t="str">
        <f t="shared" si="32"/>
        <v>NEW</v>
      </c>
      <c r="I902" s="21"/>
      <c r="J902" s="22"/>
      <c r="K902" s="21"/>
      <c r="L902" s="21"/>
      <c r="M902" s="23"/>
      <c r="N902" s="22"/>
      <c r="O902" s="21"/>
      <c r="P902" s="24"/>
      <c r="Q902" s="21"/>
      <c r="R902" s="21"/>
    </row>
    <row r="903" spans="1:18" x14ac:dyDescent="0.25">
      <c r="A903" s="21">
        <f t="shared" si="33"/>
        <v>902</v>
      </c>
      <c r="B903" s="21"/>
      <c r="C903" s="21"/>
      <c r="D903" s="21"/>
      <c r="E903" s="21"/>
      <c r="F903" s="21"/>
      <c r="G903" s="21"/>
      <c r="H903" s="21" t="str">
        <f t="shared" si="32"/>
        <v>NEW</v>
      </c>
      <c r="I903" s="21"/>
      <c r="J903" s="22"/>
      <c r="K903" s="21"/>
      <c r="L903" s="21"/>
      <c r="M903" s="23"/>
      <c r="N903" s="22"/>
      <c r="O903" s="21"/>
      <c r="P903" s="24"/>
      <c r="Q903" s="21"/>
      <c r="R903" s="21"/>
    </row>
    <row r="904" spans="1:18" x14ac:dyDescent="0.25">
      <c r="A904" s="21">
        <f t="shared" si="33"/>
        <v>903</v>
      </c>
      <c r="B904" s="21"/>
      <c r="C904" s="21"/>
      <c r="D904" s="21"/>
      <c r="E904" s="21"/>
      <c r="F904" s="21"/>
      <c r="G904" s="21"/>
      <c r="H904" s="21" t="str">
        <f t="shared" si="32"/>
        <v>NEW</v>
      </c>
      <c r="I904" s="21"/>
      <c r="J904" s="22"/>
      <c r="K904" s="21"/>
      <c r="L904" s="21"/>
      <c r="M904" s="23"/>
      <c r="N904" s="22"/>
      <c r="O904" s="21"/>
      <c r="P904" s="24"/>
      <c r="Q904" s="21"/>
      <c r="R904" s="21"/>
    </row>
    <row r="905" spans="1:18" x14ac:dyDescent="0.25">
      <c r="A905" s="21">
        <f t="shared" si="33"/>
        <v>904</v>
      </c>
      <c r="B905" s="21"/>
      <c r="C905" s="21"/>
      <c r="D905" s="21"/>
      <c r="E905" s="21"/>
      <c r="F905" s="21"/>
      <c r="G905" s="21"/>
      <c r="H905" s="21" t="str">
        <f t="shared" si="32"/>
        <v>NEW</v>
      </c>
      <c r="I905" s="21"/>
      <c r="J905" s="22"/>
      <c r="K905" s="21"/>
      <c r="L905" s="21"/>
      <c r="M905" s="23"/>
      <c r="N905" s="22"/>
      <c r="O905" s="21"/>
      <c r="P905" s="24"/>
      <c r="Q905" s="21"/>
      <c r="R905" s="21"/>
    </row>
    <row r="906" spans="1:18" ht="15.75" x14ac:dyDescent="0.25">
      <c r="A906" s="21"/>
      <c r="B906" s="21"/>
      <c r="C906" s="21"/>
      <c r="D906" s="21"/>
      <c r="E906" s="21"/>
      <c r="F906" s="21"/>
      <c r="G906" s="21"/>
      <c r="H906" s="21"/>
      <c r="I906" s="21"/>
      <c r="J906" s="12"/>
      <c r="K906" s="21"/>
      <c r="L906" s="21"/>
      <c r="M906" t="s">
        <v>43</v>
      </c>
    </row>
    <row r="907" spans="1:18" ht="15.75" x14ac:dyDescent="0.25">
      <c r="A907" s="21"/>
      <c r="B907" s="21"/>
      <c r="C907" s="21"/>
      <c r="D907" s="21"/>
      <c r="E907" s="21"/>
      <c r="F907" s="21"/>
      <c r="G907" s="21"/>
      <c r="H907" s="1"/>
      <c r="I907" s="13"/>
      <c r="K907" s="21"/>
      <c r="L907" s="21"/>
    </row>
    <row r="908" spans="1:18" x14ac:dyDescent="0.25">
      <c r="K908" s="21"/>
    </row>
    <row r="909" spans="1:18" x14ac:dyDescent="0.25">
      <c r="K909" s="21"/>
    </row>
    <row r="910" spans="1:18" x14ac:dyDescent="0.25">
      <c r="K910" s="21"/>
    </row>
    <row r="911" spans="1:18" x14ac:dyDescent="0.25">
      <c r="K911" s="21"/>
    </row>
    <row r="912" spans="1:18" x14ac:dyDescent="0.25">
      <c r="K912" s="21"/>
    </row>
    <row r="914" spans="11:11" x14ac:dyDescent="0.25">
      <c r="K914" s="21"/>
    </row>
    <row r="915" spans="11:11" x14ac:dyDescent="0.25">
      <c r="K915" s="21"/>
    </row>
    <row r="916" spans="11:11" x14ac:dyDescent="0.25">
      <c r="K916" s="21"/>
    </row>
    <row r="917" spans="11:11" x14ac:dyDescent="0.25">
      <c r="K917" s="21"/>
    </row>
    <row r="918" spans="11:11" x14ac:dyDescent="0.25">
      <c r="K918" s="21"/>
    </row>
    <row r="919" spans="11:11" x14ac:dyDescent="0.25">
      <c r="K919" s="21"/>
    </row>
    <row r="920" spans="11:11" x14ac:dyDescent="0.25">
      <c r="K920" s="21"/>
    </row>
    <row r="921" spans="11:11" x14ac:dyDescent="0.25">
      <c r="K921" s="21"/>
    </row>
    <row r="922" spans="11:11" x14ac:dyDescent="0.25">
      <c r="K922" s="21"/>
    </row>
    <row r="923" spans="11:11" x14ac:dyDescent="0.25">
      <c r="K923" s="21"/>
    </row>
    <row r="924" spans="11:11" x14ac:dyDescent="0.25">
      <c r="K924" s="21"/>
    </row>
    <row r="925" spans="11:11" x14ac:dyDescent="0.25">
      <c r="K925" s="21"/>
    </row>
    <row r="926" spans="11:11" x14ac:dyDescent="0.25">
      <c r="K926" s="21"/>
    </row>
    <row r="927" spans="11:11" x14ac:dyDescent="0.25">
      <c r="K927" s="21"/>
    </row>
    <row r="928" spans="11:11" x14ac:dyDescent="0.25">
      <c r="K928" s="21"/>
    </row>
    <row r="929" spans="11:11" x14ac:dyDescent="0.25">
      <c r="K929" s="21"/>
    </row>
    <row r="930" spans="11:11" x14ac:dyDescent="0.25">
      <c r="K930" s="21"/>
    </row>
    <row r="931" spans="11:11" x14ac:dyDescent="0.25">
      <c r="K931" s="21"/>
    </row>
    <row r="932" spans="11:11" x14ac:dyDescent="0.25">
      <c r="K932" s="21"/>
    </row>
    <row r="933" spans="11:11" x14ac:dyDescent="0.25">
      <c r="K933" s="21"/>
    </row>
    <row r="934" spans="11:11" x14ac:dyDescent="0.25">
      <c r="K934" s="21"/>
    </row>
    <row r="935" spans="11:11" x14ac:dyDescent="0.25">
      <c r="K935" s="21"/>
    </row>
    <row r="936" spans="11:11" x14ac:dyDescent="0.25">
      <c r="K936" s="21"/>
    </row>
    <row r="937" spans="11:11" x14ac:dyDescent="0.25">
      <c r="K937" s="21"/>
    </row>
    <row r="938" spans="11:11" x14ac:dyDescent="0.25">
      <c r="K938" s="21"/>
    </row>
    <row r="939" spans="11:11" x14ac:dyDescent="0.25">
      <c r="K939" s="21"/>
    </row>
    <row r="940" spans="11:11" x14ac:dyDescent="0.25">
      <c r="K940" s="21"/>
    </row>
    <row r="941" spans="11:11" x14ac:dyDescent="0.25">
      <c r="K941" s="21"/>
    </row>
    <row r="942" spans="11:11" x14ac:dyDescent="0.25">
      <c r="K942" s="21"/>
    </row>
    <row r="943" spans="11:11" x14ac:dyDescent="0.25">
      <c r="K943" s="21"/>
    </row>
    <row r="944" spans="11:11" x14ac:dyDescent="0.25">
      <c r="K944" s="21"/>
    </row>
    <row r="945" spans="11:11" x14ac:dyDescent="0.25">
      <c r="K945" s="21"/>
    </row>
    <row r="946" spans="11:11" x14ac:dyDescent="0.25">
      <c r="K946" s="21"/>
    </row>
    <row r="947" spans="11:11" x14ac:dyDescent="0.25">
      <c r="K947" s="21"/>
    </row>
    <row r="948" spans="11:11" x14ac:dyDescent="0.25">
      <c r="K948" s="21"/>
    </row>
    <row r="949" spans="11:11" x14ac:dyDescent="0.25">
      <c r="K949" s="21"/>
    </row>
    <row r="950" spans="11:11" x14ac:dyDescent="0.25">
      <c r="K950" s="21"/>
    </row>
    <row r="951" spans="11:11" x14ac:dyDescent="0.25">
      <c r="K951" s="21"/>
    </row>
    <row r="952" spans="11:11" x14ac:dyDescent="0.25">
      <c r="K952" s="21"/>
    </row>
    <row r="953" spans="11:11" x14ac:dyDescent="0.25">
      <c r="K953" s="21"/>
    </row>
    <row r="954" spans="11:11" x14ac:dyDescent="0.25">
      <c r="K954" s="21"/>
    </row>
    <row r="955" spans="11:11" x14ac:dyDescent="0.25">
      <c r="K955" s="21"/>
    </row>
    <row r="956" spans="11:11" x14ac:dyDescent="0.25">
      <c r="K956" s="21"/>
    </row>
    <row r="957" spans="11:11" x14ac:dyDescent="0.25">
      <c r="K957" s="21"/>
    </row>
    <row r="958" spans="11:11" x14ac:dyDescent="0.25">
      <c r="K958" s="21"/>
    </row>
    <row r="959" spans="11:11" x14ac:dyDescent="0.25">
      <c r="K959" s="21"/>
    </row>
    <row r="960" spans="11:11" x14ac:dyDescent="0.25">
      <c r="K960" s="21"/>
    </row>
    <row r="961" spans="11:11" x14ac:dyDescent="0.25">
      <c r="K961" s="21"/>
    </row>
    <row r="962" spans="11:11" x14ac:dyDescent="0.25">
      <c r="K962" s="21"/>
    </row>
    <row r="963" spans="11:11" x14ac:dyDescent="0.25">
      <c r="K963" s="21"/>
    </row>
    <row r="964" spans="11:11" x14ac:dyDescent="0.25">
      <c r="K964" s="21"/>
    </row>
    <row r="965" spans="11:11" x14ac:dyDescent="0.25">
      <c r="K965" s="21"/>
    </row>
    <row r="966" spans="11:11" x14ac:dyDescent="0.25">
      <c r="K966" s="21"/>
    </row>
    <row r="967" spans="11:11" x14ac:dyDescent="0.25">
      <c r="K967" s="21"/>
    </row>
    <row r="968" spans="11:11" x14ac:dyDescent="0.25">
      <c r="K968" s="21"/>
    </row>
    <row r="969" spans="11:11" x14ac:dyDescent="0.25">
      <c r="K969" s="21"/>
    </row>
    <row r="970" spans="11:11" x14ac:dyDescent="0.25">
      <c r="K970" s="21"/>
    </row>
    <row r="971" spans="11:11" x14ac:dyDescent="0.25">
      <c r="K971" s="21"/>
    </row>
    <row r="972" spans="11:11" x14ac:dyDescent="0.25">
      <c r="K972" s="21"/>
    </row>
    <row r="973" spans="11:11" x14ac:dyDescent="0.25">
      <c r="K973" s="21"/>
    </row>
    <row r="974" spans="11:11" x14ac:dyDescent="0.25">
      <c r="K974" s="21"/>
    </row>
    <row r="975" spans="11:11" x14ac:dyDescent="0.25">
      <c r="K975" s="21"/>
    </row>
    <row r="976" spans="11:11" x14ac:dyDescent="0.25">
      <c r="K976" s="21"/>
    </row>
    <row r="977" spans="11:11" x14ac:dyDescent="0.25">
      <c r="K977" s="21"/>
    </row>
    <row r="978" spans="11:11" x14ac:dyDescent="0.25">
      <c r="K978" s="21"/>
    </row>
    <row r="979" spans="11:11" x14ac:dyDescent="0.25">
      <c r="K979" s="21"/>
    </row>
    <row r="980" spans="11:11" x14ac:dyDescent="0.25">
      <c r="K980" s="21"/>
    </row>
    <row r="981" spans="11:11" x14ac:dyDescent="0.25">
      <c r="K981" s="21"/>
    </row>
    <row r="982" spans="11:11" x14ac:dyDescent="0.25">
      <c r="K982" s="21"/>
    </row>
    <row r="983" spans="11:11" x14ac:dyDescent="0.25">
      <c r="K983" s="21"/>
    </row>
    <row r="984" spans="11:11" x14ac:dyDescent="0.25">
      <c r="K984" s="21"/>
    </row>
    <row r="985" spans="11:11" x14ac:dyDescent="0.25">
      <c r="K985" s="21"/>
    </row>
    <row r="986" spans="11:11" ht="15.75" x14ac:dyDescent="0.25">
      <c r="K986" s="12"/>
    </row>
    <row r="987" spans="11:11" ht="15.75" x14ac:dyDescent="0.25">
      <c r="K987" s="12"/>
    </row>
    <row r="988" spans="11:11" ht="15.75" x14ac:dyDescent="0.25">
      <c r="K988" s="12"/>
    </row>
    <row r="989" spans="11:11" ht="15.75" x14ac:dyDescent="0.25">
      <c r="K989" s="12"/>
    </row>
    <row r="990" spans="11:11" ht="15.75" x14ac:dyDescent="0.25">
      <c r="K990" s="12"/>
    </row>
    <row r="991" spans="11:11" ht="15.75" x14ac:dyDescent="0.25">
      <c r="K991" s="12"/>
    </row>
    <row r="992" spans="11:11" ht="15.75" x14ac:dyDescent="0.25">
      <c r="K992" s="12"/>
    </row>
    <row r="993" spans="11:11" ht="15.75" x14ac:dyDescent="0.25">
      <c r="K993" s="12"/>
    </row>
    <row r="994" spans="11:11" ht="15.75" x14ac:dyDescent="0.25">
      <c r="K994" s="12"/>
    </row>
    <row r="995" spans="11:11" ht="15.75" x14ac:dyDescent="0.25">
      <c r="K995" s="12"/>
    </row>
    <row r="996" spans="11:11" ht="15.75" x14ac:dyDescent="0.25">
      <c r="K996" s="12"/>
    </row>
    <row r="997" spans="11:11" ht="15.75" x14ac:dyDescent="0.25">
      <c r="K997" s="12"/>
    </row>
    <row r="998" spans="11:11" ht="15.75" x14ac:dyDescent="0.25">
      <c r="K998" s="12"/>
    </row>
    <row r="999" spans="11:11" ht="15.75" x14ac:dyDescent="0.25">
      <c r="K999" s="12"/>
    </row>
    <row r="1000" spans="11:11" ht="15.75" x14ac:dyDescent="0.25">
      <c r="K1000" s="12"/>
    </row>
    <row r="1001" spans="11:11" ht="15.75" x14ac:dyDescent="0.25">
      <c r="K1001" s="12"/>
    </row>
    <row r="1002" spans="11:11" ht="15.75" x14ac:dyDescent="0.25">
      <c r="K1002" s="12"/>
    </row>
    <row r="1003" spans="11:11" ht="15.75" x14ac:dyDescent="0.25">
      <c r="K1003" s="12"/>
    </row>
    <row r="1004" spans="11:11" ht="15.75" x14ac:dyDescent="0.25">
      <c r="K1004" s="12"/>
    </row>
    <row r="1005" spans="11:11" ht="15.75" x14ac:dyDescent="0.25">
      <c r="K1005" s="12"/>
    </row>
    <row r="1006" spans="11:11" ht="15.75" x14ac:dyDescent="0.25">
      <c r="K1006" s="12"/>
    </row>
    <row r="1007" spans="11:11" ht="15.75" x14ac:dyDescent="0.25">
      <c r="K1007" s="12"/>
    </row>
    <row r="1008" spans="11:11" ht="15.75" x14ac:dyDescent="0.25">
      <c r="K1008" s="12"/>
    </row>
    <row r="1009" spans="11:11" ht="15.75" x14ac:dyDescent="0.25">
      <c r="K1009" s="12"/>
    </row>
    <row r="1010" spans="11:11" ht="15.75" x14ac:dyDescent="0.25">
      <c r="K1010" s="12"/>
    </row>
    <row r="1011" spans="11:11" ht="15.75" x14ac:dyDescent="0.25">
      <c r="K1011" s="12"/>
    </row>
    <row r="1012" spans="11:11" ht="15.75" x14ac:dyDescent="0.25">
      <c r="K1012" s="12"/>
    </row>
    <row r="1013" spans="11:11" ht="15.75" x14ac:dyDescent="0.25">
      <c r="K1013" s="12"/>
    </row>
    <row r="1014" spans="11:11" ht="15.75" x14ac:dyDescent="0.25">
      <c r="K1014" s="12"/>
    </row>
    <row r="1015" spans="11:11" ht="15.75" x14ac:dyDescent="0.25">
      <c r="K1015" s="12"/>
    </row>
    <row r="1016" spans="11:11" ht="15.75" x14ac:dyDescent="0.25">
      <c r="K1016" s="12"/>
    </row>
    <row r="1017" spans="11:11" ht="15.75" x14ac:dyDescent="0.25">
      <c r="K1017" s="12"/>
    </row>
    <row r="1018" spans="11:11" ht="15.75" x14ac:dyDescent="0.25">
      <c r="K1018" s="12"/>
    </row>
    <row r="1019" spans="11:11" ht="15.75" x14ac:dyDescent="0.25">
      <c r="K1019" s="12"/>
    </row>
    <row r="1020" spans="11:11" ht="15.75" x14ac:dyDescent="0.25">
      <c r="K1020" s="12"/>
    </row>
    <row r="1021" spans="11:11" ht="15.75" x14ac:dyDescent="0.25">
      <c r="K1021" s="12"/>
    </row>
    <row r="1022" spans="11:11" ht="15.75" x14ac:dyDescent="0.25">
      <c r="K1022" s="12"/>
    </row>
    <row r="1023" spans="11:11" ht="15.75" x14ac:dyDescent="0.25">
      <c r="K1023" s="12"/>
    </row>
    <row r="1024" spans="11:11" ht="15.75" x14ac:dyDescent="0.25">
      <c r="K1024" s="12"/>
    </row>
    <row r="1025" spans="11:11" ht="15.75" x14ac:dyDescent="0.25">
      <c r="K1025" s="12"/>
    </row>
    <row r="1026" spans="11:11" ht="15.75" x14ac:dyDescent="0.25">
      <c r="K1026" s="12"/>
    </row>
    <row r="1027" spans="11:11" ht="15.75" x14ac:dyDescent="0.25">
      <c r="K1027" s="12"/>
    </row>
    <row r="1028" spans="11:11" ht="15.75" x14ac:dyDescent="0.25">
      <c r="K1028" s="12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  <row r="1035" spans="11:11" x14ac:dyDescent="0.25">
      <c r="K1035" s="20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ht="15.75" x14ac:dyDescent="0.25">
      <c r="K1043" s="12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ht="15.75" x14ac:dyDescent="0.25">
      <c r="K1051" s="12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ht="15.75" x14ac:dyDescent="0.25">
      <c r="K1055" s="12"/>
    </row>
    <row r="1056" spans="11:11" ht="15.75" x14ac:dyDescent="0.25">
      <c r="K1056" s="12"/>
    </row>
    <row r="1057" spans="11:11" ht="15.75" x14ac:dyDescent="0.25">
      <c r="K1057" s="12"/>
    </row>
    <row r="1058" spans="11:11" ht="15.75" x14ac:dyDescent="0.25">
      <c r="K1058" s="12"/>
    </row>
    <row r="1059" spans="11:11" ht="15.75" x14ac:dyDescent="0.25">
      <c r="K1059" s="12"/>
    </row>
    <row r="1060" spans="11:11" ht="15.75" x14ac:dyDescent="0.25">
      <c r="K1060" s="12"/>
    </row>
    <row r="1061" spans="11:11" ht="15.75" x14ac:dyDescent="0.25">
      <c r="K1061" s="12"/>
    </row>
    <row r="1062" spans="11:11" ht="15.75" x14ac:dyDescent="0.25">
      <c r="K1062" s="12"/>
    </row>
    <row r="1063" spans="11:11" ht="15.75" x14ac:dyDescent="0.25">
      <c r="K1063" s="12"/>
    </row>
    <row r="1064" spans="11:11" ht="15.75" x14ac:dyDescent="0.25">
      <c r="K1064" s="12"/>
    </row>
    <row r="1065" spans="11:11" ht="15.75" x14ac:dyDescent="0.25">
      <c r="K1065" s="12"/>
    </row>
    <row r="1066" spans="11:11" ht="15.75" x14ac:dyDescent="0.25">
      <c r="K1066" s="12"/>
    </row>
    <row r="1067" spans="11:11" ht="15.75" x14ac:dyDescent="0.25">
      <c r="K1067" s="12"/>
    </row>
    <row r="1068" spans="11:11" ht="15.75" x14ac:dyDescent="0.25">
      <c r="K1068" s="12"/>
    </row>
    <row r="1069" spans="11:11" ht="15.75" x14ac:dyDescent="0.25">
      <c r="K1069" s="12"/>
    </row>
    <row r="1070" spans="11:11" ht="15.75" x14ac:dyDescent="0.25">
      <c r="K1070" s="12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</sheetData>
  <conditionalFormatting sqref="A2:N2 N2:R13 J2:J14 P2:P23 I3:N13 A3:G217 H3:H764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2 L763:L764 N763:R764 I765:J765 L765:R765 B765:H768 A767:A796 B768:G770 H769 H770:R770 O771 B771:H784 K771:K784 I772:I794 J773 J775:J784 L777:R790 B777:G795 G785:H788 J785:K791 B789:H790 H791:H793 K791:R832 J792:J794 G794:H794 A795:J795 B796:C796 E796:J798 D796:D801 A797:C801 B799:J805 A802:H803 B802:G824 A804:A849 I805:I827 B806:H806 J806:J813 H807:H813 H813:J815 H816:H823 J816:J827 G824:H824 B825:H826 B826:G831 H827 H828:L828 H829:J829 I829:I835 H830 J830:J835 B830:F839 G831:H831 B832:H834 K832:K836 L833:R834 H835 K835:R835 B835:G839 H836:R837 A838:J838 K838:R852 G839:J839 I839:I845 J840:J845 B840:H846 B843:G849 I846:J846 B847:J850 A850:R850 I851:J858 A851:H863 K852:K869 L853:R876 I858:I863 J859:J863 A864:J864 B865:J865 A865:A896 I866:J868 B866:H874 J869 I869:I874 J870:K874 B875:K876 B877:R881 J882:R882 B882:I888 J883:J886 B886:G898 J887:R887 J888 G889:J892 B893:J893 I893:I895 B894:H894 J894:J896 G895:I896 L896:R896 A897:R905 L906:L907 L883:R890 M891:R895">
    <cfRule type="expression" dxfId="20" priority="26">
      <formula>CELL("row")=ROW()</formula>
    </cfRule>
  </conditionalFormatting>
  <conditionalFormatting sqref="B257:G290 B291:B300 C291:G301">
    <cfRule type="expression" dxfId="19" priority="24">
      <formula>CELL("row")=ROW()</formula>
    </cfRule>
  </conditionalFormatting>
  <conditionalFormatting sqref="B772:G772">
    <cfRule type="expression" dxfId="18" priority="7">
      <formula>CELL("row")=ROW()</formula>
    </cfRule>
  </conditionalFormatting>
  <conditionalFormatting sqref="F398">
    <cfRule type="expression" dxfId="17" priority="19">
      <formula>CELL("row")=ROW()</formula>
    </cfRule>
  </conditionalFormatting>
  <conditionalFormatting sqref="F420">
    <cfRule type="expression" dxfId="16" priority="18">
      <formula>CELL("row")=ROW()</formula>
    </cfRule>
  </conditionalFormatting>
  <conditionalFormatting sqref="F326:G326">
    <cfRule type="expression" dxfId="15" priority="21">
      <formula>CELL("row")=ROW()</formula>
    </cfRule>
  </conditionalFormatting>
  <conditionalFormatting sqref="G266">
    <cfRule type="expression" dxfId="14" priority="23">
      <formula>CELL("row")=ROW()</formula>
    </cfRule>
  </conditionalFormatting>
  <conditionalFormatting sqref="I558">
    <cfRule type="expression" dxfId="13" priority="14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06:I906 K906:K912 A907:G907 K914:K985">
    <cfRule type="expression" dxfId="12" priority="12">
      <formula>CELL("row")=ROW()</formula>
    </cfRule>
  </conditionalFormatting>
  <conditionalFormatting sqref="K672:K697 K698:L700 L701">
    <cfRule type="expression" dxfId="11" priority="11">
      <formula>CELL("row")=ROW()</formula>
    </cfRule>
  </conditionalFormatting>
  <conditionalFormatting sqref="K883:K890 K891:L893 K892:K896 L894:L895">
    <cfRule type="expression" dxfId="10" priority="3">
      <formula>CELL("row")=ROW()</formula>
    </cfRule>
  </conditionalFormatting>
  <conditionalFormatting sqref="L532:L535">
    <cfRule type="expression" dxfId="9" priority="16">
      <formula>CELL("row")=ROW()</formula>
    </cfRule>
  </conditionalFormatting>
  <conditionalFormatting sqref="M718 M730 M733 M738:M739">
    <cfRule type="expression" dxfId="8" priority="6">
      <formula>CELL("row")=ROW()</formula>
    </cfRule>
  </conditionalFormatting>
  <conditionalFormatting sqref="M763:M764 M774">
    <cfRule type="expression" dxfId="7" priority="5">
      <formula>CELL("row")=ROW()</formula>
    </cfRule>
  </conditionalFormatting>
  <conditionalFormatting sqref="M906:O907">
    <cfRule type="expression" dxfId="6" priority="35">
      <formula>ROW(O93)=HighlightRow</formula>
    </cfRule>
  </conditionalFormatting>
  <conditionalFormatting sqref="N698">
    <cfRule type="expression" dxfId="5" priority="9">
      <formula>CELL("row")=ROW()</formula>
    </cfRule>
  </conditionalFormatting>
  <conditionalFormatting sqref="P906:Q907">
    <cfRule type="expression" dxfId="4" priority="39">
      <formula>ROW(S93)=HighlightRow</formula>
    </cfRule>
  </conditionalFormatting>
  <conditionalFormatting sqref="S105:XFD105">
    <cfRule type="expression" dxfId="3" priority="40">
      <formula>ROW(T94)=HighlightRow</formula>
    </cfRule>
  </conditionalFormatting>
  <conditionalFormatting sqref="S106:XFD114">
    <cfRule type="expression" dxfId="2" priority="37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1464" zoomScaleNormal="100" workbookViewId="0">
      <selection activeCell="A1473" sqref="A147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10682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11125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I17"/>
  <sheetViews>
    <sheetView workbookViewId="0">
      <selection activeCell="F20" sqref="F20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ht="28.5" x14ac:dyDescent="0.45">
      <c r="A1" s="51" t="s">
        <v>9462</v>
      </c>
      <c r="B1" s="51"/>
      <c r="C1" s="51"/>
      <c r="D1" s="51"/>
      <c r="E1" s="51"/>
      <c r="F1" s="51"/>
      <c r="G1" s="51"/>
      <c r="H1" s="51"/>
      <c r="I1" s="51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5">
        <v>46121</v>
      </c>
      <c r="C8" s="21" t="s">
        <v>11319</v>
      </c>
      <c r="D8" s="21" t="s">
        <v>337</v>
      </c>
      <c r="E8" s="21" t="s">
        <v>11417</v>
      </c>
      <c r="F8" s="49">
        <v>617194917012</v>
      </c>
      <c r="G8" s="25">
        <v>46193</v>
      </c>
      <c r="H8" s="21">
        <v>280</v>
      </c>
      <c r="I8" s="21" t="s">
        <v>11328</v>
      </c>
    </row>
    <row r="9" spans="1:9" x14ac:dyDescent="0.25">
      <c r="A9" s="21">
        <f t="shared" si="0"/>
        <v>7</v>
      </c>
      <c r="B9" s="25">
        <v>46121</v>
      </c>
      <c r="C9" s="21" t="s">
        <v>11320</v>
      </c>
      <c r="D9" s="21" t="s">
        <v>360</v>
      </c>
      <c r="E9" s="21" t="s">
        <v>11417</v>
      </c>
      <c r="F9" s="49">
        <v>617194917012</v>
      </c>
      <c r="G9" s="25">
        <v>46193</v>
      </c>
      <c r="H9" s="21">
        <v>543</v>
      </c>
      <c r="I9" s="21" t="s">
        <v>11328</v>
      </c>
    </row>
    <row r="10" spans="1:9" x14ac:dyDescent="0.25">
      <c r="A10" s="21">
        <f t="shared" si="0"/>
        <v>8</v>
      </c>
      <c r="B10" s="25">
        <v>46121</v>
      </c>
      <c r="C10" s="21" t="s">
        <v>11321</v>
      </c>
      <c r="D10" s="21" t="s">
        <v>360</v>
      </c>
      <c r="E10" s="21" t="s">
        <v>11417</v>
      </c>
      <c r="F10" s="49">
        <v>617194917012</v>
      </c>
      <c r="G10" s="25">
        <v>46193</v>
      </c>
      <c r="H10" s="21">
        <v>543</v>
      </c>
      <c r="I10" s="21" t="s">
        <v>11328</v>
      </c>
    </row>
    <row r="11" spans="1:9" x14ac:dyDescent="0.25">
      <c r="A11" s="21">
        <f t="shared" si="0"/>
        <v>9</v>
      </c>
      <c r="B11" s="25">
        <v>46121</v>
      </c>
      <c r="C11" s="21" t="s">
        <v>11322</v>
      </c>
      <c r="D11" s="21" t="s">
        <v>360</v>
      </c>
      <c r="E11" s="21" t="s">
        <v>11417</v>
      </c>
      <c r="F11" s="49">
        <v>617194917012</v>
      </c>
      <c r="G11" s="25">
        <v>46193</v>
      </c>
      <c r="H11" s="21">
        <v>543</v>
      </c>
      <c r="I11" s="21" t="s">
        <v>11328</v>
      </c>
    </row>
    <row r="12" spans="1:9" x14ac:dyDescent="0.25">
      <c r="A12" s="21">
        <f t="shared" si="0"/>
        <v>10</v>
      </c>
      <c r="B12" s="25">
        <v>46121</v>
      </c>
      <c r="C12" s="21" t="s">
        <v>11323</v>
      </c>
      <c r="D12" s="21" t="s">
        <v>360</v>
      </c>
      <c r="E12" s="21" t="s">
        <v>11417</v>
      </c>
      <c r="F12" s="49">
        <v>617194917012</v>
      </c>
      <c r="G12" s="25">
        <v>46193</v>
      </c>
      <c r="H12" s="21">
        <v>543</v>
      </c>
      <c r="I12" s="21" t="s">
        <v>11328</v>
      </c>
    </row>
    <row r="13" spans="1:9" x14ac:dyDescent="0.25">
      <c r="A13" s="21">
        <f t="shared" si="0"/>
        <v>11</v>
      </c>
      <c r="B13" s="25">
        <v>46121</v>
      </c>
      <c r="C13" s="21" t="s">
        <v>9955</v>
      </c>
      <c r="D13" s="21" t="s">
        <v>360</v>
      </c>
      <c r="E13" s="21" t="s">
        <v>11417</v>
      </c>
      <c r="F13" s="49">
        <v>617194917012</v>
      </c>
      <c r="G13" s="25">
        <v>46193</v>
      </c>
      <c r="H13" s="21">
        <v>280</v>
      </c>
      <c r="I13" s="21" t="s">
        <v>11328</v>
      </c>
    </row>
    <row r="14" spans="1:9" x14ac:dyDescent="0.25">
      <c r="A14" s="21">
        <f t="shared" si="0"/>
        <v>12</v>
      </c>
      <c r="B14" s="25">
        <v>46121</v>
      </c>
      <c r="C14" s="21" t="s">
        <v>11324</v>
      </c>
      <c r="D14" s="21" t="s">
        <v>360</v>
      </c>
      <c r="E14" s="21" t="s">
        <v>11417</v>
      </c>
      <c r="F14" s="49">
        <v>617194917012</v>
      </c>
      <c r="G14" s="25">
        <v>46193</v>
      </c>
      <c r="H14" s="21">
        <v>543</v>
      </c>
      <c r="I14" s="21" t="s">
        <v>11328</v>
      </c>
    </row>
    <row r="15" spans="1:9" x14ac:dyDescent="0.25">
      <c r="A15" s="21">
        <f t="shared" si="0"/>
        <v>13</v>
      </c>
      <c r="B15" s="25">
        <v>46191</v>
      </c>
      <c r="C15" s="21" t="s">
        <v>11333</v>
      </c>
      <c r="D15" s="21" t="s">
        <v>337</v>
      </c>
      <c r="E15" s="21" t="s">
        <v>11417</v>
      </c>
      <c r="F15" s="49">
        <v>617194917012</v>
      </c>
      <c r="G15" s="25">
        <v>46193</v>
      </c>
      <c r="H15" s="21">
        <v>543</v>
      </c>
      <c r="I15" s="21" t="s">
        <v>11328</v>
      </c>
    </row>
    <row r="16" spans="1:9" x14ac:dyDescent="0.25">
      <c r="C16" s="21"/>
    </row>
    <row r="17" spans="3:3" x14ac:dyDescent="0.25">
      <c r="C17" s="21"/>
    </row>
  </sheetData>
  <mergeCells count="1">
    <mergeCell ref="A1:I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99"/>
  <sheetViews>
    <sheetView tabSelected="1" topLeftCell="A582" zoomScaleNormal="100" workbookViewId="0">
      <selection activeCell="D604" sqref="D604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10471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10172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10191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10193</v>
      </c>
      <c r="C425" s="21">
        <v>9797996370</v>
      </c>
      <c r="D425" s="21" t="s">
        <v>10192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10194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10213</v>
      </c>
      <c r="C427" s="21">
        <v>8825098042</v>
      </c>
      <c r="D427" s="21" t="s">
        <v>10214</v>
      </c>
      <c r="E427" s="21" t="s">
        <v>10215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10201</v>
      </c>
      <c r="C428" s="21">
        <v>7889667593</v>
      </c>
      <c r="D428" s="21" t="s">
        <v>10236</v>
      </c>
      <c r="E428" s="21" t="s">
        <v>10207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10237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10238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10239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10240</v>
      </c>
      <c r="E432" s="21" t="s">
        <v>10228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10222</v>
      </c>
      <c r="C433" s="21">
        <v>9797242450</v>
      </c>
      <c r="D433" s="21" t="s">
        <v>10241</v>
      </c>
      <c r="E433" s="21" t="s">
        <v>10227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10212</v>
      </c>
      <c r="C434" s="21">
        <v>9682368636</v>
      </c>
      <c r="D434" s="21" t="s">
        <v>10248</v>
      </c>
      <c r="E434" s="21" t="s">
        <v>10219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10251</v>
      </c>
      <c r="C435" s="21">
        <v>9419274448</v>
      </c>
      <c r="D435" s="21" t="s">
        <v>10264</v>
      </c>
      <c r="E435" s="21" t="s">
        <v>10253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10260</v>
      </c>
      <c r="C436" s="21">
        <v>7006563570</v>
      </c>
      <c r="D436" s="21" t="s">
        <v>10265</v>
      </c>
      <c r="E436" s="21" t="s">
        <v>10263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10290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10273</v>
      </c>
      <c r="C438" s="21">
        <v>8493061512</v>
      </c>
      <c r="D438" s="21" t="s">
        <v>10291</v>
      </c>
      <c r="E438" s="21" t="s">
        <v>10280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10292</v>
      </c>
      <c r="E439" s="21" t="s">
        <v>10284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10276</v>
      </c>
      <c r="C440" s="21">
        <v>7006974580</v>
      </c>
      <c r="D440" s="21" t="s">
        <v>10293</v>
      </c>
      <c r="E440" s="21" t="s">
        <v>10279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10301</v>
      </c>
      <c r="C441" s="21">
        <v>9622793345</v>
      </c>
      <c r="D441" s="21" t="s">
        <v>10310</v>
      </c>
      <c r="E441" s="21" t="s">
        <v>10307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10269</v>
      </c>
      <c r="C442" s="21">
        <v>7780838222</v>
      </c>
      <c r="D442" s="21" t="s">
        <v>10311</v>
      </c>
      <c r="E442" s="21" t="s">
        <v>10270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10309</v>
      </c>
      <c r="C443" s="21">
        <v>7889514057</v>
      </c>
      <c r="D443" s="21" t="s">
        <v>10312</v>
      </c>
      <c r="E443" s="21" t="s">
        <v>10294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10313</v>
      </c>
      <c r="E444" s="21" t="s">
        <v>10306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10305</v>
      </c>
      <c r="C445" s="21">
        <v>9906916201</v>
      </c>
      <c r="D445" s="21" t="s">
        <v>10318</v>
      </c>
      <c r="E445" s="21" t="s">
        <v>10308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10317</v>
      </c>
      <c r="C446" s="21">
        <v>7780813464</v>
      </c>
      <c r="D446" s="21" t="s">
        <v>10320</v>
      </c>
      <c r="E446" s="21" t="s">
        <v>10319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10332</v>
      </c>
      <c r="C447" s="21">
        <v>9906838909</v>
      </c>
      <c r="D447" s="21" t="s">
        <v>10383</v>
      </c>
      <c r="E447" s="21" t="s">
        <v>10333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10342</v>
      </c>
      <c r="C448" s="21">
        <v>9906742075</v>
      </c>
      <c r="D448" s="21" t="s">
        <v>10384</v>
      </c>
      <c r="E448" s="21" t="s">
        <v>10343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10323</v>
      </c>
      <c r="C449" s="21">
        <v>9596304308</v>
      </c>
      <c r="D449" s="21" t="s">
        <v>10385</v>
      </c>
      <c r="E449" s="21" t="s">
        <v>10335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10386</v>
      </c>
      <c r="E450" s="21" t="s">
        <v>10375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10387</v>
      </c>
      <c r="E451" s="21" t="s">
        <v>10379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10365</v>
      </c>
      <c r="C452" s="21">
        <v>9858469144</v>
      </c>
      <c r="D452" s="21" t="s">
        <v>10388</v>
      </c>
      <c r="E452" s="21" t="s">
        <v>10377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10353</v>
      </c>
      <c r="C453" s="21">
        <v>9906005757</v>
      </c>
      <c r="D453" s="21" t="s">
        <v>10389</v>
      </c>
      <c r="E453" s="21" t="s">
        <v>10376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10412</v>
      </c>
      <c r="E454" s="21" t="s">
        <v>10378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10390</v>
      </c>
      <c r="C455" s="21">
        <v>6005066384</v>
      </c>
      <c r="D455" s="21" t="s">
        <v>10413</v>
      </c>
      <c r="E455" s="21" t="s">
        <v>10408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10414</v>
      </c>
      <c r="E456" s="21" t="s">
        <v>10407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10415</v>
      </c>
      <c r="E457" s="21" t="s">
        <v>10397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10435</v>
      </c>
      <c r="E458" s="21" t="s">
        <v>10206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10438</v>
      </c>
      <c r="C459" s="21">
        <v>9682376321</v>
      </c>
      <c r="D459" s="21" t="s">
        <v>10439</v>
      </c>
      <c r="E459" s="21" t="s">
        <v>10428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10440</v>
      </c>
      <c r="E460" s="21" t="s">
        <v>10382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10427</v>
      </c>
      <c r="C461" s="21">
        <v>9596000703</v>
      </c>
      <c r="D461" s="21" t="s">
        <v>10441</v>
      </c>
      <c r="E461" s="21" t="s">
        <v>10429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10433</v>
      </c>
      <c r="C462" s="21">
        <v>9596999599</v>
      </c>
      <c r="D462" s="21" t="s">
        <v>10442</v>
      </c>
      <c r="E462" s="21" t="s">
        <v>10436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10363</v>
      </c>
      <c r="C463" s="21">
        <v>7006471127</v>
      </c>
      <c r="D463" s="21" t="s">
        <v>10443</v>
      </c>
      <c r="E463" s="21" t="s">
        <v>10380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10451</v>
      </c>
      <c r="C464" s="21">
        <v>9797666466</v>
      </c>
      <c r="D464" s="21" t="s">
        <v>10465</v>
      </c>
      <c r="E464" s="21" t="s">
        <v>10454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10423</v>
      </c>
      <c r="C465" s="21">
        <v>7780954751</v>
      </c>
      <c r="D465" s="21" t="s">
        <v>10466</v>
      </c>
      <c r="E465" s="21" t="s">
        <v>10437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10504</v>
      </c>
      <c r="C466" s="21">
        <v>7889743548</v>
      </c>
      <c r="D466" s="21" t="s">
        <v>10488</v>
      </c>
      <c r="E466" s="21" t="s">
        <v>10505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10484</v>
      </c>
      <c r="C467" s="21">
        <v>9622985718</v>
      </c>
      <c r="D467" s="21" t="s">
        <v>10503</v>
      </c>
      <c r="E467" s="21" t="s">
        <v>10486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10506</v>
      </c>
      <c r="E468" s="21" t="s">
        <v>10497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10531</v>
      </c>
      <c r="C469" s="21">
        <v>9682364085</v>
      </c>
      <c r="D469" s="21" t="s">
        <v>10532</v>
      </c>
      <c r="E469" s="21" t="s">
        <v>10520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10527</v>
      </c>
      <c r="C470" s="21">
        <v>9419590065</v>
      </c>
      <c r="D470" s="21" t="s">
        <v>10550</v>
      </c>
      <c r="E470" s="21" t="s">
        <v>10548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10556</v>
      </c>
      <c r="C471" s="21">
        <v>7889456974</v>
      </c>
      <c r="D471" s="21" t="s">
        <v>10557</v>
      </c>
      <c r="E471" s="21" t="s">
        <v>10545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10514</v>
      </c>
      <c r="C472" s="21">
        <v>6005859681</v>
      </c>
      <c r="D472" s="21" t="s">
        <v>10558</v>
      </c>
      <c r="E472" s="21" t="s">
        <v>10522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10462</v>
      </c>
      <c r="C473" s="21">
        <v>9622856758</v>
      </c>
      <c r="D473" s="21" t="s">
        <v>10598</v>
      </c>
      <c r="E473" s="21" t="s">
        <v>10463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10480</v>
      </c>
      <c r="C474" s="21">
        <v>9541581455</v>
      </c>
      <c r="D474" s="21" t="s">
        <v>10599</v>
      </c>
      <c r="E474" s="21" t="s">
        <v>10489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10590</v>
      </c>
      <c r="C475" s="21">
        <v>6006602208</v>
      </c>
      <c r="D475" s="21" t="s">
        <v>10600</v>
      </c>
      <c r="E475" s="21" t="s">
        <v>10597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10584</v>
      </c>
      <c r="C476" s="21">
        <v>9541013033</v>
      </c>
      <c r="D476" s="21" t="s">
        <v>10601</v>
      </c>
      <c r="E476" s="21" t="s">
        <v>10587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10581</v>
      </c>
      <c r="C477" s="21">
        <v>7051749282</v>
      </c>
      <c r="D477" s="21" t="s">
        <v>10602</v>
      </c>
      <c r="E477" s="21" t="s">
        <v>10586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10566</v>
      </c>
      <c r="C478" s="21">
        <v>9541234994</v>
      </c>
      <c r="D478" s="21" t="s">
        <v>10611</v>
      </c>
      <c r="E478" s="21" t="s">
        <v>10572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10605</v>
      </c>
      <c r="C479" s="21">
        <v>7006655788</v>
      </c>
      <c r="D479" s="21" t="s">
        <v>10624</v>
      </c>
      <c r="E479" s="21" t="s">
        <v>10613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10526</v>
      </c>
      <c r="C480" s="21">
        <v>8899923120</v>
      </c>
      <c r="D480" s="21" t="s">
        <v>10627</v>
      </c>
      <c r="E480" s="21" t="s">
        <v>10547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10492</v>
      </c>
      <c r="C481" s="21">
        <v>8825019298</v>
      </c>
      <c r="D481" s="21" t="s">
        <v>10651</v>
      </c>
      <c r="E481" s="21" t="s">
        <v>10626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10631</v>
      </c>
      <c r="C482" s="21">
        <v>7051777629</v>
      </c>
      <c r="D482" s="21" t="s">
        <v>10652</v>
      </c>
      <c r="E482" s="21" t="s">
        <v>10637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10636</v>
      </c>
      <c r="C483" s="21">
        <v>9906260598</v>
      </c>
      <c r="D483" s="21" t="s">
        <v>10657</v>
      </c>
      <c r="E483" s="21" t="s">
        <v>10633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10677</v>
      </c>
      <c r="C484" s="21">
        <v>9971997124</v>
      </c>
      <c r="D484" s="21" t="s">
        <v>10658</v>
      </c>
      <c r="E484" s="21" t="s">
        <v>10650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10621</v>
      </c>
      <c r="C485" s="21">
        <v>9906441078</v>
      </c>
      <c r="D485" s="21" t="s">
        <v>10673</v>
      </c>
      <c r="E485" s="21" t="s">
        <v>10623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10674</v>
      </c>
      <c r="C486" s="21">
        <v>9419002969</v>
      </c>
      <c r="D486" s="21" t="s">
        <v>10675</v>
      </c>
      <c r="E486" s="21" t="s">
        <v>10649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10617</v>
      </c>
      <c r="C487" s="21">
        <v>7006333483</v>
      </c>
      <c r="D487" s="21" t="s">
        <v>10676</v>
      </c>
      <c r="E487" s="21" t="s">
        <v>10622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10643</v>
      </c>
      <c r="C488" s="21">
        <v>9797214183</v>
      </c>
      <c r="D488" s="21" t="s">
        <v>10693</v>
      </c>
      <c r="E488" s="21" t="s">
        <v>10648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10707</v>
      </c>
      <c r="E489" s="21" t="s">
        <v>10697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10686</v>
      </c>
      <c r="C490" s="21">
        <v>7006975068</v>
      </c>
      <c r="D490" s="21" t="s">
        <v>10708</v>
      </c>
      <c r="E490" s="21" t="s">
        <v>10687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10700</v>
      </c>
      <c r="C491" s="21">
        <v>9797979206</v>
      </c>
      <c r="D491" s="21" t="s">
        <v>10710</v>
      </c>
      <c r="E491" s="21" t="s">
        <v>10702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10688</v>
      </c>
      <c r="C492" s="21">
        <v>7889405476</v>
      </c>
      <c r="D492" s="21" t="s">
        <v>10711</v>
      </c>
      <c r="E492" s="21" t="s">
        <v>10689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10705</v>
      </c>
      <c r="C493" s="21">
        <v>8803043296</v>
      </c>
      <c r="D493" s="21" t="s">
        <v>10718</v>
      </c>
      <c r="E493" s="21" t="s">
        <v>10709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10680</v>
      </c>
      <c r="C494" s="21">
        <v>7006036071</v>
      </c>
      <c r="D494" s="21" t="s">
        <v>10731</v>
      </c>
      <c r="E494" s="21" t="s">
        <v>10719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10733</v>
      </c>
      <c r="C495" s="21">
        <v>8825065703</v>
      </c>
      <c r="D495" s="21" t="s">
        <v>10734</v>
      </c>
      <c r="E495" s="21" t="s">
        <v>10727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10723</v>
      </c>
      <c r="C496" s="21">
        <v>8899288728</v>
      </c>
      <c r="D496" s="21" t="s">
        <v>10752</v>
      </c>
      <c r="E496" s="21" t="s">
        <v>10750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10746</v>
      </c>
      <c r="C497" s="21">
        <v>9797984252</v>
      </c>
      <c r="D497" s="21" t="s">
        <v>10767</v>
      </c>
      <c r="E497" s="21" t="s">
        <v>10751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10760</v>
      </c>
      <c r="C498" s="21">
        <v>7889983618</v>
      </c>
      <c r="D498" s="21" t="s">
        <v>10782</v>
      </c>
      <c r="E498" s="21" t="s">
        <v>10766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10803</v>
      </c>
      <c r="C499" s="21">
        <v>9797928475</v>
      </c>
      <c r="D499" s="21" t="s">
        <v>10804</v>
      </c>
      <c r="E499" s="21" t="s">
        <v>10799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10805</v>
      </c>
      <c r="C500" s="21">
        <v>9906598118</v>
      </c>
      <c r="D500" s="21" t="s">
        <v>10806</v>
      </c>
      <c r="E500" s="21" t="s">
        <v>10748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10789</v>
      </c>
      <c r="C501" s="21">
        <v>7006694541</v>
      </c>
      <c r="D501" s="21" t="s">
        <v>10807</v>
      </c>
      <c r="E501" s="21" t="s">
        <v>10800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10780</v>
      </c>
      <c r="C502" s="21">
        <v>8825010525</v>
      </c>
      <c r="D502" s="21" t="s">
        <v>10808</v>
      </c>
      <c r="E502" s="21" t="s">
        <v>10781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10225</v>
      </c>
      <c r="C503" s="21">
        <v>7889390665</v>
      </c>
      <c r="D503" s="21" t="s">
        <v>10832</v>
      </c>
      <c r="E503" s="21" t="s">
        <v>10226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10833</v>
      </c>
      <c r="E504" s="21" t="s">
        <v>10802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10823</v>
      </c>
      <c r="C505" s="21">
        <v>9484057404</v>
      </c>
      <c r="D505" s="21" t="s">
        <v>10834</v>
      </c>
      <c r="E505" s="21" t="s">
        <v>10821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10847</v>
      </c>
      <c r="C506" s="21">
        <v>9796990530</v>
      </c>
      <c r="D506" s="21" t="s">
        <v>10848</v>
      </c>
      <c r="E506" s="21" t="s">
        <v>10932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10811</v>
      </c>
      <c r="C507" s="21">
        <v>6006286690</v>
      </c>
      <c r="D507" s="21" t="s">
        <v>10850</v>
      </c>
      <c r="E507" s="21" t="s">
        <v>10830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10851</v>
      </c>
      <c r="E508" s="21" t="s">
        <v>10829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10827</v>
      </c>
      <c r="C509" s="21">
        <v>7006107410</v>
      </c>
      <c r="D509" s="21" t="s">
        <v>10852</v>
      </c>
      <c r="E509" s="21" t="s">
        <v>10828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10755</v>
      </c>
      <c r="C510" s="21"/>
      <c r="D510" s="21" t="s">
        <v>10854</v>
      </c>
      <c r="E510" s="21" t="s">
        <v>10765</v>
      </c>
      <c r="F510" s="14">
        <v>46162</v>
      </c>
      <c r="G510" s="14" t="s">
        <v>337</v>
      </c>
      <c r="H510" s="12" t="s">
        <v>10855</v>
      </c>
    </row>
    <row r="511" spans="1:8" ht="15.75" x14ac:dyDescent="0.25">
      <c r="A511" s="12">
        <f t="shared" si="7"/>
        <v>509</v>
      </c>
      <c r="B511" s="21" t="s">
        <v>10872</v>
      </c>
      <c r="C511" s="21">
        <v>6005528953</v>
      </c>
      <c r="D511" s="21" t="s">
        <v>10874</v>
      </c>
      <c r="E511" s="21" t="s">
        <v>10873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10858</v>
      </c>
      <c r="C512" s="21">
        <v>6006180214</v>
      </c>
      <c r="D512" s="21" t="s">
        <v>10875</v>
      </c>
      <c r="E512" s="21" t="s">
        <v>10867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10841</v>
      </c>
      <c r="C513" s="21">
        <v>9419766402</v>
      </c>
      <c r="D513" s="21" t="s">
        <v>10876</v>
      </c>
      <c r="E513" s="21" t="s">
        <v>10865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10906</v>
      </c>
      <c r="C514" s="21">
        <v>7006418329</v>
      </c>
      <c r="D514" s="21" t="s">
        <v>10918</v>
      </c>
      <c r="E514" s="21" t="s">
        <v>10913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10610</v>
      </c>
      <c r="C515" s="21">
        <v>7780989757</v>
      </c>
      <c r="D515" s="21" t="s">
        <v>10919</v>
      </c>
      <c r="E515" s="21" t="s">
        <v>10612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10328</v>
      </c>
      <c r="C516" s="21">
        <v>7006832228</v>
      </c>
      <c r="D516" s="21" t="s">
        <v>10920</v>
      </c>
      <c r="E516" s="21" t="s">
        <v>10334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10898</v>
      </c>
      <c r="C517" s="21">
        <v>6005323353</v>
      </c>
      <c r="D517" s="21" t="s">
        <v>10921</v>
      </c>
      <c r="E517" s="21" t="s">
        <v>10902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10922</v>
      </c>
      <c r="C518" s="21">
        <v>7006112317</v>
      </c>
      <c r="D518" s="21" t="s">
        <v>10923</v>
      </c>
      <c r="E518" s="21" t="s">
        <v>10502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1" t="s">
        <v>10897</v>
      </c>
      <c r="C519" s="21">
        <v>9906564039</v>
      </c>
      <c r="D519" s="21" t="s">
        <v>10929</v>
      </c>
      <c r="E519" s="21" t="s">
        <v>10901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10889</v>
      </c>
      <c r="C520" s="21">
        <v>8825097876</v>
      </c>
      <c r="D520" s="21" t="s">
        <v>10944</v>
      </c>
      <c r="E520" s="21" t="s">
        <v>10917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10888</v>
      </c>
      <c r="C521" s="21">
        <v>9055028530</v>
      </c>
      <c r="D521" s="21" t="s">
        <v>10945</v>
      </c>
      <c r="E521" s="21" t="s">
        <v>10914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10927</v>
      </c>
      <c r="C522" s="21">
        <v>9796979654</v>
      </c>
      <c r="D522" s="21" t="s">
        <v>10946</v>
      </c>
      <c r="E522" s="21" t="s">
        <v>10933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10887</v>
      </c>
      <c r="C523" s="21">
        <v>9103686998</v>
      </c>
      <c r="D523" s="21" t="s">
        <v>10947</v>
      </c>
      <c r="E523" s="21" t="s">
        <v>10915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10890</v>
      </c>
      <c r="C524" s="21">
        <v>9149773196</v>
      </c>
      <c r="D524" s="21" t="s">
        <v>10948</v>
      </c>
      <c r="E524" s="21" t="s">
        <v>10916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10963</v>
      </c>
      <c r="C525" s="21">
        <v>9682167032</v>
      </c>
      <c r="D525" s="21" t="s">
        <v>10974</v>
      </c>
      <c r="E525" s="21" t="s">
        <v>10966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10937</v>
      </c>
      <c r="C526" s="21">
        <v>7006256901</v>
      </c>
      <c r="D526" s="21" t="s">
        <v>10975</v>
      </c>
      <c r="E526" s="21" t="s">
        <v>10943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10959</v>
      </c>
      <c r="C527" s="21">
        <v>7889540230</v>
      </c>
      <c r="D527" s="21" t="s">
        <v>10976</v>
      </c>
      <c r="E527" s="21" t="s">
        <v>10965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10952</v>
      </c>
      <c r="C528" s="21">
        <v>8825062872</v>
      </c>
      <c r="D528" s="21" t="s">
        <v>11048</v>
      </c>
      <c r="E528" s="21" t="s">
        <v>10967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11002</v>
      </c>
      <c r="C529" s="21">
        <v>9596263355</v>
      </c>
      <c r="D529" s="21" t="s">
        <v>11049</v>
      </c>
      <c r="E529" s="21" t="s">
        <v>11009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10998</v>
      </c>
      <c r="C530" s="21">
        <v>9682555158</v>
      </c>
      <c r="D530" s="21" t="s">
        <v>11050</v>
      </c>
      <c r="E530" s="21" t="s">
        <v>11011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10818</v>
      </c>
      <c r="C531" s="21">
        <v>8493839221</v>
      </c>
      <c r="D531" s="21" t="s">
        <v>11051</v>
      </c>
      <c r="E531" s="21" t="s">
        <v>10979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11040</v>
      </c>
      <c r="C532" s="21">
        <v>7006893741</v>
      </c>
      <c r="D532" s="21" t="s">
        <v>11052</v>
      </c>
      <c r="E532" s="21" t="s">
        <v>11041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11024</v>
      </c>
      <c r="C533" s="21">
        <v>8825051434</v>
      </c>
      <c r="D533" s="21" t="s">
        <v>11053</v>
      </c>
      <c r="E533" s="21" t="s">
        <v>11025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11054</v>
      </c>
      <c r="E534" s="21" t="s">
        <v>11027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11055</v>
      </c>
      <c r="C535" s="21">
        <v>7006180324</v>
      </c>
      <c r="D535" s="21" t="s">
        <v>11056</v>
      </c>
      <c r="E535" s="21" t="s">
        <v>11010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11004</v>
      </c>
      <c r="C536" s="21">
        <v>7889461451</v>
      </c>
      <c r="D536" s="21" t="s">
        <v>11057</v>
      </c>
      <c r="E536" s="21" t="s">
        <v>11012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11037</v>
      </c>
      <c r="C537" s="21">
        <v>9596577125</v>
      </c>
      <c r="D537" s="21" t="s">
        <v>11062</v>
      </c>
      <c r="E537" s="21" t="s">
        <v>11046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11042</v>
      </c>
      <c r="C538" s="21">
        <v>6006124106</v>
      </c>
      <c r="D538" s="21" t="s">
        <v>11064</v>
      </c>
      <c r="E538" s="21" t="s">
        <v>11047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10982</v>
      </c>
      <c r="C539" s="21">
        <v>9858414762</v>
      </c>
      <c r="D539" s="21" t="s">
        <v>11070</v>
      </c>
      <c r="E539" s="21" t="s">
        <v>10990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11061</v>
      </c>
      <c r="C540" s="21">
        <v>7780954780</v>
      </c>
      <c r="D540" s="21" t="s">
        <v>11071</v>
      </c>
      <c r="E540" s="21" t="s">
        <v>11063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11068</v>
      </c>
      <c r="C541" s="21">
        <v>7889312502</v>
      </c>
      <c r="D541" s="21" t="s">
        <v>11069</v>
      </c>
      <c r="E541" s="21" t="s">
        <v>11026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11083</v>
      </c>
      <c r="E542" s="21" t="s">
        <v>11082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11100</v>
      </c>
      <c r="C543" s="21">
        <v>9622566678</v>
      </c>
      <c r="D543" s="21" t="s">
        <v>11119</v>
      </c>
      <c r="E543" s="21" t="s">
        <v>11110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11124</v>
      </c>
      <c r="C544" s="21">
        <v>7051636983</v>
      </c>
      <c r="D544" s="21" t="s">
        <v>11127</v>
      </c>
      <c r="E544" s="21" t="s">
        <v>11122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11087</v>
      </c>
      <c r="C545" s="21">
        <v>8899693028</v>
      </c>
      <c r="D545" s="21" t="s">
        <v>11134</v>
      </c>
      <c r="E545" s="21" t="s">
        <v>11088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11102</v>
      </c>
      <c r="C546" s="21">
        <v>9596300301</v>
      </c>
      <c r="D546" s="21" t="s">
        <v>11135</v>
      </c>
      <c r="E546" s="21" t="s">
        <v>11109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11130</v>
      </c>
      <c r="C547" s="21">
        <v>9596422011</v>
      </c>
      <c r="D547" s="21" t="s">
        <v>11136</v>
      </c>
      <c r="E547" s="21" t="s">
        <v>11133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11169</v>
      </c>
      <c r="E548" s="21" t="s">
        <v>11162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11156</v>
      </c>
      <c r="C549" s="21">
        <v>7006471404</v>
      </c>
      <c r="D549" s="21" t="s">
        <v>11170</v>
      </c>
      <c r="E549" s="21" t="s">
        <v>11157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11139</v>
      </c>
      <c r="C550" s="21">
        <v>7889943024</v>
      </c>
      <c r="D550" s="21" t="s">
        <v>11171</v>
      </c>
      <c r="E550" s="21" t="s">
        <v>11141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11145</v>
      </c>
      <c r="C551" s="21">
        <v>7006213927</v>
      </c>
      <c r="D551" s="21" t="s">
        <v>11172</v>
      </c>
      <c r="E551" s="21" t="s">
        <v>11160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11180</v>
      </c>
      <c r="C552" s="21">
        <v>7006626147</v>
      </c>
      <c r="D552" s="21" t="s">
        <v>11183</v>
      </c>
      <c r="E552" s="21" t="s">
        <v>11182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11206</v>
      </c>
      <c r="C553" s="21">
        <v>9906216462</v>
      </c>
      <c r="D553" s="21" t="s">
        <v>11207</v>
      </c>
      <c r="E553" s="21" t="s">
        <v>11208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11191</v>
      </c>
      <c r="C554" s="21"/>
      <c r="D554" s="21" t="s">
        <v>11209</v>
      </c>
      <c r="E554" s="21" t="s">
        <v>11195</v>
      </c>
      <c r="F554" s="14">
        <v>46184</v>
      </c>
      <c r="G554" s="14"/>
      <c r="H554" s="12"/>
    </row>
    <row r="555" spans="1:8" ht="15.75" x14ac:dyDescent="0.25">
      <c r="A555" s="12">
        <f t="shared" si="8"/>
        <v>553</v>
      </c>
      <c r="B555" s="21" t="s">
        <v>11187</v>
      </c>
      <c r="C555" s="21">
        <v>7889775854</v>
      </c>
      <c r="D555" s="21" t="s">
        <v>11210</v>
      </c>
      <c r="E555" s="21" t="s">
        <v>11194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11252</v>
      </c>
      <c r="C556" s="21">
        <v>7006012723</v>
      </c>
      <c r="D556" s="21" t="s">
        <v>11248</v>
      </c>
      <c r="E556" s="21" t="s">
        <v>11246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11213</v>
      </c>
      <c r="C557" s="21">
        <v>7006462336</v>
      </c>
      <c r="D557" s="21" t="s">
        <v>11249</v>
      </c>
      <c r="E557" s="21" t="s">
        <v>11220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11224</v>
      </c>
      <c r="C558" s="21">
        <v>7006510242</v>
      </c>
      <c r="D558" s="21" t="s">
        <v>11250</v>
      </c>
      <c r="E558" s="21" t="s">
        <v>11236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11251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11245</v>
      </c>
      <c r="C560" s="21">
        <v>9906265335</v>
      </c>
      <c r="D560" s="21" t="s">
        <v>11254</v>
      </c>
      <c r="E560" s="21" t="s">
        <v>11247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10837</v>
      </c>
      <c r="C561" s="21">
        <v>8979091582</v>
      </c>
      <c r="D561" s="21" t="s">
        <v>11255</v>
      </c>
      <c r="E561" s="21" t="s">
        <v>11132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11277</v>
      </c>
      <c r="C562" s="21">
        <v>7006047465</v>
      </c>
      <c r="D562" s="21" t="s">
        <v>11280</v>
      </c>
      <c r="E562" s="21" t="s">
        <v>11278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11281</v>
      </c>
      <c r="E563" s="21" t="s">
        <v>11271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11227</v>
      </c>
      <c r="C564" s="21">
        <v>9419009819</v>
      </c>
      <c r="D564" s="21" t="s">
        <v>11282</v>
      </c>
      <c r="E564" s="21" t="s">
        <v>11234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11191</v>
      </c>
      <c r="C565" s="21">
        <v>7006537603</v>
      </c>
      <c r="D565" s="21" t="s">
        <v>11209</v>
      </c>
      <c r="E565" s="21" t="s">
        <v>11195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11233</v>
      </c>
      <c r="C566" s="21">
        <v>7006783199</v>
      </c>
      <c r="D566" s="21" t="s">
        <v>11283</v>
      </c>
      <c r="E566" s="21" t="s">
        <v>11237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11301</v>
      </c>
      <c r="C567" s="21">
        <v>8492067254</v>
      </c>
      <c r="D567" s="21" t="s">
        <v>11302</v>
      </c>
      <c r="E567" s="21" t="s">
        <v>10669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11292</v>
      </c>
      <c r="C568" s="21">
        <v>9419409046</v>
      </c>
      <c r="D568" s="21" t="s">
        <v>11303</v>
      </c>
      <c r="E568" s="21" t="s">
        <v>11295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11288</v>
      </c>
      <c r="C569" s="21">
        <v>7006208490</v>
      </c>
      <c r="D569" s="21" t="s">
        <v>11304</v>
      </c>
      <c r="E569" s="21" t="s">
        <v>11294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11307</v>
      </c>
      <c r="C570" s="21">
        <v>9596280520</v>
      </c>
      <c r="D570" s="21" t="s">
        <v>11318</v>
      </c>
      <c r="E570" s="21" t="s">
        <v>11310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11325</v>
      </c>
      <c r="C571" s="21">
        <v>9906606118</v>
      </c>
      <c r="D571" s="21" t="s">
        <v>11326</v>
      </c>
      <c r="E571" s="21" t="s">
        <v>11327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 t="s">
        <v>10458</v>
      </c>
      <c r="C572" s="21">
        <v>7006076673</v>
      </c>
      <c r="D572" s="21" t="s">
        <v>11340</v>
      </c>
      <c r="E572" s="21" t="s">
        <v>10464</v>
      </c>
      <c r="F572" s="14">
        <v>46196</v>
      </c>
      <c r="G572" s="14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1" t="s">
        <v>11362</v>
      </c>
      <c r="C573" s="21">
        <v>9149654809</v>
      </c>
      <c r="D573" s="21" t="s">
        <v>11396</v>
      </c>
      <c r="E573" s="21" t="s">
        <v>11368</v>
      </c>
      <c r="F573" s="14">
        <v>46192</v>
      </c>
      <c r="G573" s="14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1" t="s">
        <v>11367</v>
      </c>
      <c r="C574" s="21">
        <v>6006939791</v>
      </c>
      <c r="D574" s="21" t="s">
        <v>11397</v>
      </c>
      <c r="E574" s="21" t="s">
        <v>11369</v>
      </c>
      <c r="F574" s="14">
        <v>46192</v>
      </c>
      <c r="G574" s="14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1" t="s">
        <v>11359</v>
      </c>
      <c r="C575" s="21">
        <v>9811039202</v>
      </c>
      <c r="D575" s="21" t="s">
        <v>11398</v>
      </c>
      <c r="E575" s="21" t="s">
        <v>11370</v>
      </c>
      <c r="F575" s="14">
        <v>46192</v>
      </c>
      <c r="G575" s="14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1" t="s">
        <v>11344</v>
      </c>
      <c r="C576" s="21">
        <v>8082196159</v>
      </c>
      <c r="D576" s="21" t="s">
        <v>11400</v>
      </c>
      <c r="E576" s="21" t="s">
        <v>11346</v>
      </c>
      <c r="F576" s="14">
        <v>46192</v>
      </c>
      <c r="G576" s="14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1" t="s">
        <v>11406</v>
      </c>
      <c r="C577" s="21">
        <v>6005461613</v>
      </c>
      <c r="D577" s="21" t="s">
        <v>11407</v>
      </c>
      <c r="E577" s="21" t="s">
        <v>11371</v>
      </c>
      <c r="F577" s="14">
        <v>46193</v>
      </c>
      <c r="G577" s="14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1" t="s">
        <v>11409</v>
      </c>
      <c r="C578" s="21">
        <v>7006079082</v>
      </c>
      <c r="D578" s="21" t="s">
        <v>11410</v>
      </c>
      <c r="E578" s="21" t="s">
        <v>11380</v>
      </c>
      <c r="F578" s="14">
        <v>46193</v>
      </c>
      <c r="G578" s="14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1" t="s">
        <v>11384</v>
      </c>
      <c r="C579" s="21">
        <v>9469765393</v>
      </c>
      <c r="D579" s="21" t="s">
        <v>11416</v>
      </c>
      <c r="E579" s="21" t="s">
        <v>11386</v>
      </c>
      <c r="F579" s="14">
        <v>46193</v>
      </c>
      <c r="G579" s="14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1" t="s">
        <v>11414</v>
      </c>
      <c r="C580" s="21">
        <v>8899566980</v>
      </c>
      <c r="D580" s="21" t="s">
        <v>11418</v>
      </c>
      <c r="E580" s="21" t="s">
        <v>11415</v>
      </c>
      <c r="F580" s="14">
        <v>46193</v>
      </c>
      <c r="G580" s="14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1" t="s">
        <v>11419</v>
      </c>
      <c r="C581" s="21">
        <v>7006789699</v>
      </c>
      <c r="D581" s="21" t="s">
        <v>11420</v>
      </c>
      <c r="E581" s="21" t="s">
        <v>11408</v>
      </c>
      <c r="F581" s="14">
        <v>46193</v>
      </c>
      <c r="G581" s="14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1" t="s">
        <v>11395</v>
      </c>
      <c r="C582" s="21">
        <v>9622847452</v>
      </c>
      <c r="D582" s="21" t="s">
        <v>11422</v>
      </c>
      <c r="E582" s="21" t="s">
        <v>11399</v>
      </c>
      <c r="F582" s="14">
        <v>46193</v>
      </c>
      <c r="G582" s="14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1" t="s">
        <v>11093</v>
      </c>
      <c r="C583" s="21">
        <v>9596863815</v>
      </c>
      <c r="D583" s="21" t="s">
        <v>11428</v>
      </c>
      <c r="E583" s="21" t="s">
        <v>11094</v>
      </c>
      <c r="F583" s="14">
        <v>46195</v>
      </c>
      <c r="G583" s="14" t="s">
        <v>337</v>
      </c>
      <c r="H583" s="12" t="s">
        <v>6659</v>
      </c>
    </row>
    <row r="584" spans="1:8" ht="15.75" x14ac:dyDescent="0.25">
      <c r="A584" s="12">
        <f t="shared" ref="A584:A599" si="9">ROW()-2</f>
        <v>582</v>
      </c>
      <c r="B584" s="21" t="s">
        <v>11338</v>
      </c>
      <c r="C584" s="21">
        <v>9718916222</v>
      </c>
      <c r="D584" s="21" t="s">
        <v>11456</v>
      </c>
      <c r="E584" s="21" t="s">
        <v>11339</v>
      </c>
      <c r="F584" s="14">
        <v>46196</v>
      </c>
      <c r="G584" s="14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1" t="s">
        <v>11203</v>
      </c>
      <c r="C585" s="21">
        <v>7889410052</v>
      </c>
      <c r="D585" s="21" t="s">
        <v>11457</v>
      </c>
      <c r="E585" s="21" t="s">
        <v>11200</v>
      </c>
      <c r="F585" s="14">
        <v>46196</v>
      </c>
      <c r="G585" s="14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1" t="s">
        <v>11467</v>
      </c>
      <c r="C586" s="21">
        <v>7006467400</v>
      </c>
      <c r="D586" s="21" t="s">
        <v>11483</v>
      </c>
      <c r="E586" s="21" t="s">
        <v>11469</v>
      </c>
      <c r="F586" s="14">
        <v>46196</v>
      </c>
      <c r="G586" s="14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1" t="s">
        <v>11450</v>
      </c>
      <c r="C587" s="21">
        <v>9797131308</v>
      </c>
      <c r="D587" s="21" t="s">
        <v>11484</v>
      </c>
      <c r="E587" s="21" t="s">
        <v>11452</v>
      </c>
      <c r="F587" s="14">
        <v>46196</v>
      </c>
      <c r="G587" s="14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1" t="s">
        <v>11461</v>
      </c>
      <c r="C588" s="21"/>
      <c r="D588" s="21" t="s">
        <v>11485</v>
      </c>
      <c r="E588" s="21"/>
      <c r="F588" s="14"/>
      <c r="G588" s="14"/>
      <c r="H588" s="12"/>
    </row>
    <row r="589" spans="1:8" ht="15.75" x14ac:dyDescent="0.25">
      <c r="A589" s="12">
        <f t="shared" si="9"/>
        <v>587</v>
      </c>
      <c r="B589" s="21" t="s">
        <v>11446</v>
      </c>
      <c r="C589" s="21">
        <v>9622600868</v>
      </c>
      <c r="D589" s="21" t="s">
        <v>11486</v>
      </c>
      <c r="E589" s="21" t="s">
        <v>11453</v>
      </c>
      <c r="F589" s="14">
        <v>46197</v>
      </c>
      <c r="G589" s="14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1" t="s">
        <v>1705</v>
      </c>
      <c r="C590" s="21">
        <v>7006349375</v>
      </c>
      <c r="D590" s="21" t="s">
        <v>11498</v>
      </c>
      <c r="E590" s="21" t="s">
        <v>11499</v>
      </c>
      <c r="F590" s="14">
        <v>46197</v>
      </c>
      <c r="G590" s="14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1" t="s">
        <v>11477</v>
      </c>
      <c r="C591" s="21">
        <v>8899528913</v>
      </c>
      <c r="D591" s="21" t="s">
        <v>11515</v>
      </c>
      <c r="E591" s="21" t="s">
        <v>11487</v>
      </c>
      <c r="F591" s="14">
        <v>46197</v>
      </c>
      <c r="G591" s="14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1" t="s">
        <v>11481</v>
      </c>
      <c r="C592" s="21">
        <v>7006231817</v>
      </c>
      <c r="D592" s="21" t="s">
        <v>11517</v>
      </c>
      <c r="E592" s="21" t="s">
        <v>11488</v>
      </c>
      <c r="F592" s="14">
        <v>46197</v>
      </c>
      <c r="G592" s="14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1" t="s">
        <v>11496</v>
      </c>
      <c r="C593" s="21">
        <v>9419093820</v>
      </c>
      <c r="D593" s="21" t="s">
        <v>11518</v>
      </c>
      <c r="E593" s="21" t="s">
        <v>11501</v>
      </c>
      <c r="F593" s="14">
        <v>46197</v>
      </c>
      <c r="G593" s="14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1" t="s">
        <v>1946</v>
      </c>
      <c r="C594" s="21">
        <v>7006689027</v>
      </c>
      <c r="D594" s="21" t="s">
        <v>11519</v>
      </c>
      <c r="E594" s="21" t="s">
        <v>11510</v>
      </c>
      <c r="F594" s="14">
        <v>46197</v>
      </c>
      <c r="G594" s="14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1" t="s">
        <v>11507</v>
      </c>
      <c r="C595" s="21">
        <v>9622701314</v>
      </c>
      <c r="D595" s="21" t="s">
        <v>11520</v>
      </c>
      <c r="E595" s="21" t="s">
        <v>11511</v>
      </c>
      <c r="F595" s="14">
        <v>46197</v>
      </c>
      <c r="G595" s="14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1" t="s">
        <v>11522</v>
      </c>
      <c r="C596" s="21"/>
      <c r="D596" s="21" t="s">
        <v>11523</v>
      </c>
      <c r="E596" s="21"/>
      <c r="F596" s="14"/>
      <c r="G596" s="14"/>
      <c r="H596" s="12"/>
    </row>
    <row r="597" spans="1:8" ht="15.75" x14ac:dyDescent="0.25">
      <c r="A597" s="12">
        <f t="shared" si="9"/>
        <v>595</v>
      </c>
      <c r="B597" s="12" t="s">
        <v>11524</v>
      </c>
      <c r="C597" s="12"/>
      <c r="D597" s="21" t="s">
        <v>11525</v>
      </c>
      <c r="E597" s="12"/>
      <c r="F597" s="14"/>
      <c r="G597" s="14"/>
      <c r="H597" s="12"/>
    </row>
    <row r="598" spans="1:8" ht="15.75" x14ac:dyDescent="0.25">
      <c r="A598" s="12">
        <f t="shared" si="9"/>
        <v>596</v>
      </c>
      <c r="B598" s="12"/>
      <c r="C598" s="12"/>
      <c r="D598" s="12"/>
      <c r="E598" s="12"/>
      <c r="F598" s="14"/>
      <c r="G598" s="14"/>
      <c r="H598" s="12"/>
    </row>
    <row r="599" spans="1:8" ht="15.75" x14ac:dyDescent="0.25">
      <c r="A599" s="12">
        <f t="shared" si="9"/>
        <v>597</v>
      </c>
      <c r="B599" s="12"/>
      <c r="C599" s="12"/>
      <c r="D599" s="12"/>
      <c r="E599" s="12"/>
      <c r="F599" s="14"/>
      <c r="G599" s="14"/>
      <c r="H599" s="12"/>
    </row>
  </sheetData>
  <mergeCells count="1">
    <mergeCell ref="A1:H1"/>
  </mergeCells>
  <phoneticPr fontId="26" type="noConversion"/>
  <conditionalFormatting sqref="B589">
    <cfRule type="expression" dxfId="1" priority="1">
      <formula>CELL("row")=ROW()</formula>
    </cfRule>
  </conditionalFormatting>
  <conditionalFormatting sqref="B568:E596 D597">
    <cfRule type="expression" dxfId="0" priority="4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3" t="s">
        <v>10712</v>
      </c>
      <c r="B1" s="53"/>
      <c r="C1" s="42"/>
      <c r="D1" s="36"/>
    </row>
    <row r="2" spans="1:6" ht="23.25" x14ac:dyDescent="0.35">
      <c r="A2" s="54" t="s">
        <v>10713</v>
      </c>
      <c r="B2" s="54"/>
      <c r="C2" s="41"/>
    </row>
    <row r="3" spans="1:6" ht="23.25" x14ac:dyDescent="0.35">
      <c r="A3" s="41" t="s">
        <v>10714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10717</v>
      </c>
      <c r="B5" s="43">
        <f>85+9</f>
        <v>94</v>
      </c>
      <c r="C5" s="41"/>
    </row>
    <row r="6" spans="1:6" ht="23.25" x14ac:dyDescent="0.35">
      <c r="A6" s="41" t="s">
        <v>10715</v>
      </c>
      <c r="B6" s="43">
        <v>159</v>
      </c>
      <c r="C6" s="41"/>
    </row>
    <row r="7" spans="1:6" ht="23.25" x14ac:dyDescent="0.35">
      <c r="A7" s="41" t="s">
        <v>10716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2026-06-25T04:54:07Z</dcterms:modified>
</cp:coreProperties>
</file>