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31AF945-FAE6-4E43-B12C-76FB7F8F6822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2" i="4"/>
  <c r="A177" i="7"/>
  <c r="A178" i="7"/>
  <c r="A179" i="7"/>
  <c r="A180" i="7"/>
  <c r="A181" i="7"/>
  <c r="A190" i="7"/>
  <c r="A191" i="7"/>
  <c r="A380" i="4"/>
  <c r="A381" i="4"/>
  <c r="A382" i="4"/>
  <c r="A383" i="4"/>
  <c r="A384" i="4"/>
  <c r="A385" i="4"/>
  <c r="A386" i="4"/>
  <c r="A387" i="4"/>
  <c r="A388" i="4"/>
  <c r="A174" i="7"/>
  <c r="A182" i="7"/>
  <c r="A175" i="7"/>
  <c r="A176" i="7"/>
  <c r="A169" i="7"/>
  <c r="A168" i="7"/>
  <c r="A170" i="7"/>
  <c r="A171" i="7"/>
  <c r="A172" i="7"/>
  <c r="A173" i="7"/>
  <c r="A375" i="4"/>
  <c r="A376" i="4"/>
  <c r="A377" i="4"/>
  <c r="A378" i="4"/>
  <c r="A379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83" i="7"/>
  <c r="A184" i="7"/>
  <c r="A185" i="7"/>
  <c r="A186" i="7"/>
  <c r="A187" i="7"/>
  <c r="A188" i="7"/>
  <c r="A18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6" i="4"/>
  <c r="A336" i="4"/>
  <c r="A328" i="4"/>
  <c r="A357" i="4"/>
  <c r="A330" i="4"/>
  <c r="A331" i="4"/>
  <c r="A332" i="4"/>
  <c r="A370" i="4"/>
  <c r="A334" i="4"/>
  <c r="A201" i="4"/>
  <c r="A143" i="4"/>
  <c r="A337" i="4"/>
  <c r="A338" i="4"/>
  <c r="A339" i="4"/>
  <c r="A340" i="4"/>
  <c r="A341" i="4"/>
  <c r="A342" i="4"/>
  <c r="A343" i="4"/>
  <c r="A344" i="4"/>
  <c r="A345" i="4"/>
  <c r="A346" i="4"/>
  <c r="A161" i="4"/>
  <c r="A348" i="4"/>
  <c r="A349" i="4"/>
  <c r="A329" i="4"/>
  <c r="A351" i="4"/>
  <c r="A352" i="4"/>
  <c r="A353" i="4"/>
  <c r="A335" i="4"/>
  <c r="A355" i="4"/>
  <c r="A356" i="4"/>
  <c r="A350" i="4"/>
  <c r="A358" i="4"/>
  <c r="A359" i="4"/>
  <c r="A360" i="4"/>
  <c r="A361" i="4"/>
  <c r="A362" i="4"/>
  <c r="A363" i="4"/>
  <c r="A200" i="4"/>
  <c r="A365" i="4"/>
  <c r="A366" i="4"/>
  <c r="A367" i="4"/>
  <c r="A368" i="4"/>
  <c r="A369" i="4"/>
  <c r="A153" i="4"/>
  <c r="A224" i="4"/>
  <c r="A372" i="4"/>
  <c r="A373" i="4"/>
  <c r="A374" i="4"/>
  <c r="A318" i="4"/>
  <c r="A319" i="4"/>
  <c r="A320" i="4"/>
  <c r="A321" i="4"/>
  <c r="A322" i="4"/>
  <c r="A323" i="4"/>
  <c r="A324" i="4"/>
  <c r="A325" i="4"/>
  <c r="A333" i="4"/>
  <c r="A313" i="4"/>
  <c r="A314" i="4"/>
  <c r="A315" i="4"/>
  <c r="A316" i="4"/>
  <c r="A317" i="4"/>
  <c r="A4" i="7"/>
  <c r="A3" i="7"/>
  <c r="A96" i="4"/>
  <c r="A302" i="4"/>
  <c r="A303" i="4"/>
  <c r="A221" i="4"/>
  <c r="A305" i="4"/>
  <c r="A306" i="4"/>
  <c r="A307" i="4"/>
  <c r="A308" i="4"/>
  <c r="A309" i="4"/>
  <c r="A310" i="4"/>
  <c r="A311" i="4"/>
  <c r="A297" i="4"/>
  <c r="A298" i="4"/>
  <c r="A289" i="4"/>
  <c r="A300" i="4"/>
  <c r="A287" i="4"/>
  <c r="A288" i="4"/>
  <c r="A299" i="4"/>
  <c r="A290" i="4"/>
  <c r="A291" i="4"/>
  <c r="A292" i="4"/>
  <c r="A293" i="4"/>
  <c r="A294" i="4"/>
  <c r="A295" i="4"/>
  <c r="A304" i="4"/>
  <c r="A271" i="4"/>
  <c r="A371" i="4"/>
  <c r="A106" i="4"/>
  <c r="A286" i="4"/>
  <c r="A267" i="4"/>
  <c r="A268" i="4"/>
  <c r="A259" i="4"/>
  <c r="A269" i="4"/>
  <c r="A270" i="4"/>
  <c r="A183" i="4"/>
  <c r="A272" i="4"/>
  <c r="A184" i="4"/>
  <c r="A274" i="4"/>
  <c r="A354" i="4"/>
  <c r="A276" i="4"/>
  <c r="A277" i="4"/>
  <c r="A278" i="4"/>
  <c r="A279" i="4"/>
  <c r="A222" i="4"/>
  <c r="A281" i="4"/>
  <c r="A282" i="4"/>
  <c r="A347" i="4"/>
  <c r="A257" i="4"/>
  <c r="A258" i="4"/>
  <c r="A260" i="4"/>
  <c r="A261" i="4"/>
  <c r="A364" i="4"/>
  <c r="A301" i="4"/>
  <c r="A264" i="4"/>
  <c r="A280" i="4"/>
  <c r="A266" i="4"/>
  <c r="A246" i="4"/>
  <c r="A247" i="4"/>
  <c r="A248" i="4"/>
  <c r="A249" i="4"/>
  <c r="A250" i="4"/>
  <c r="A251" i="4"/>
  <c r="A252" i="4"/>
  <c r="A253" i="4"/>
  <c r="A254" i="4"/>
  <c r="A327" i="4"/>
  <c r="A233" i="4"/>
  <c r="A234" i="4"/>
  <c r="A235" i="4"/>
  <c r="A141" i="4"/>
  <c r="A237" i="4"/>
  <c r="A284" i="4"/>
  <c r="A239" i="4"/>
  <c r="A240" i="4"/>
  <c r="A241" i="4"/>
  <c r="A242" i="4"/>
  <c r="A243" i="4"/>
  <c r="A244" i="4"/>
  <c r="A245" i="4"/>
  <c r="A223" i="4"/>
  <c r="A115" i="4"/>
  <c r="A229" i="4"/>
  <c r="A265" i="4"/>
  <c r="A312" i="4"/>
  <c r="A228" i="4"/>
  <c r="A133" i="4"/>
  <c r="A230" i="4"/>
  <c r="A231" i="4"/>
  <c r="A232" i="4"/>
  <c r="A285" i="4"/>
  <c r="A217" i="4"/>
  <c r="A175" i="4"/>
  <c r="A187" i="4"/>
  <c r="A220" i="4"/>
  <c r="A165" i="4"/>
  <c r="A132" i="4"/>
  <c r="A212" i="4"/>
  <c r="A213" i="4"/>
  <c r="A214" i="4"/>
  <c r="A255" i="4"/>
  <c r="A205" i="4"/>
  <c r="A206" i="4"/>
  <c r="A207" i="4"/>
  <c r="A208" i="4"/>
  <c r="A209" i="4"/>
  <c r="A210" i="4"/>
  <c r="A211" i="4"/>
  <c r="A3" i="4"/>
  <c r="A4" i="4"/>
  <c r="A5" i="4"/>
  <c r="A6" i="4"/>
  <c r="A7" i="4"/>
  <c r="A256" i="4"/>
  <c r="A9" i="4"/>
  <c r="A10" i="4"/>
  <c r="A45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11" i="4"/>
  <c r="A44" i="4"/>
  <c r="A46" i="4"/>
  <c r="A47" i="4"/>
  <c r="A48" i="4"/>
  <c r="A8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238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275" i="4"/>
  <c r="A97" i="4"/>
  <c r="A98" i="4"/>
  <c r="A99" i="4"/>
  <c r="A100" i="4"/>
  <c r="A101" i="4"/>
  <c r="A102" i="4"/>
  <c r="A103" i="4"/>
  <c r="A104" i="4"/>
  <c r="A273" i="4"/>
  <c r="A227" i="4"/>
  <c r="A107" i="4"/>
  <c r="A108" i="4"/>
  <c r="A109" i="4"/>
  <c r="A110" i="4"/>
  <c r="A111" i="4"/>
  <c r="A112" i="4"/>
  <c r="A113" i="4"/>
  <c r="A114" i="4"/>
  <c r="A236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73" i="4"/>
  <c r="A142" i="4"/>
  <c r="A180" i="4"/>
  <c r="A144" i="4"/>
  <c r="A145" i="4"/>
  <c r="A146" i="4"/>
  <c r="A147" i="4"/>
  <c r="A148" i="4"/>
  <c r="A149" i="4"/>
  <c r="A150" i="4"/>
  <c r="A151" i="4"/>
  <c r="A152" i="4"/>
  <c r="A215" i="4"/>
  <c r="A154" i="4"/>
  <c r="A155" i="4"/>
  <c r="A156" i="4"/>
  <c r="A157" i="4"/>
  <c r="A158" i="4"/>
  <c r="A197" i="4"/>
  <c r="A160" i="4"/>
  <c r="A49" i="4"/>
  <c r="A162" i="4"/>
  <c r="A163" i="4"/>
  <c r="A164" i="4"/>
  <c r="A105" i="4"/>
  <c r="A166" i="4"/>
  <c r="A167" i="4"/>
  <c r="A168" i="4"/>
  <c r="A169" i="4"/>
  <c r="A170" i="4"/>
  <c r="A171" i="4"/>
  <c r="A172" i="4"/>
  <c r="A173" i="4"/>
  <c r="A174" i="4"/>
  <c r="A216" i="4"/>
  <c r="A176" i="4"/>
  <c r="A177" i="4"/>
  <c r="A178" i="4"/>
  <c r="A179" i="4"/>
  <c r="A218" i="4"/>
  <c r="A181" i="4"/>
  <c r="A182" i="4"/>
  <c r="A226" i="4"/>
  <c r="A263" i="4"/>
  <c r="A185" i="4"/>
  <c r="A186" i="4"/>
  <c r="A296" i="4"/>
  <c r="A188" i="4"/>
  <c r="A189" i="4"/>
  <c r="A190" i="4"/>
  <c r="A191" i="4"/>
  <c r="A192" i="4"/>
  <c r="A193" i="4"/>
  <c r="A194" i="4"/>
  <c r="A195" i="4"/>
  <c r="A196" i="4"/>
  <c r="A219" i="4"/>
  <c r="A198" i="4"/>
  <c r="A199" i="4"/>
  <c r="A262" i="4"/>
  <c r="A159" i="4"/>
  <c r="A202" i="4"/>
  <c r="A203" i="4"/>
  <c r="A204" i="4"/>
  <c r="A2" i="4"/>
</calcChain>
</file>

<file path=xl/sharedStrings.xml><?xml version="1.0" encoding="utf-8"?>
<sst xmlns="http://schemas.openxmlformats.org/spreadsheetml/2006/main" count="21196" uniqueCount="8283">
  <si>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</si>
  <si>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</si>
  <si>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</si>
  <si>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</si>
  <si>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</si>
  <si>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</si>
  <si>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</si>
  <si>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</si>
  <si>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</si>
  <si>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</si>
  <si>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</si>
  <si>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</si>
  <si>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</si>
  <si>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</si>
  <si>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</si>
  <si>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</si>
  <si>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</si>
  <si>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</si>
  <si>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</si>
  <si>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</si>
  <si>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</si>
  <si>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</si>
  <si>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</si>
  <si>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</si>
  <si>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</si>
  <si>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</si>
  <si>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</si>
  <si>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</si>
  <si>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</si>
  <si>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</si>
  <si>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</si>
  <si>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</si>
  <si>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</si>
  <si>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</si>
  <si>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</si>
  <si>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</si>
  <si>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</si>
  <si>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</si>
  <si>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</si>
  <si>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</si>
  <si>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</si>
  <si>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</si>
  <si>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</si>
  <si>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</si>
  <si>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</si>
  <si>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</si>
  <si>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</si>
  <si>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</si>
  <si>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</si>
  <si>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</si>
  <si>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</si>
  <si>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</si>
  <si>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</si>
  <si>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</si>
  <si>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</si>
  <si>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</si>
  <si>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</si>
  <si>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</si>
  <si>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</si>
  <si>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</si>
  <si>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</si>
  <si>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</si>
  <si>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</si>
  <si>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</si>
  <si>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</si>
  <si>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</si>
  <si>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</si>
  <si>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</si>
  <si>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</si>
  <si>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</si>
  <si>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</si>
  <si>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</si>
  <si>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</si>
  <si>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</si>
  <si>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</si>
  <si>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</si>
  <si>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</si>
  <si>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</si>
  <si>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</si>
  <si>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</si>
  <si>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</si>
  <si>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</si>
  <si>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</si>
  <si>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</si>
  <si>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</si>
  <si>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</si>
  <si>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</si>
  <si>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</si>
  <si>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</si>
  <si>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</si>
  <si>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</si>
  <si>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</si>
  <si>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</si>
  <si>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</si>
  <si>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</si>
  <si>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</si>
  <si>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</si>
  <si>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</si>
  <si>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</si>
  <si>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</si>
  <si>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</si>
  <si>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</si>
  <si>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</si>
  <si>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</si>
  <si>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</si>
  <si>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</si>
  <si>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</si>
  <si>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</si>
  <si>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</si>
  <si>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</si>
  <si>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</si>
  <si>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</si>
  <si>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</si>
  <si>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</si>
  <si>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</si>
  <si>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</si>
  <si>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</si>
  <si>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</si>
  <si>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</si>
  <si>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</si>
  <si>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</si>
  <si>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</si>
  <si>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</si>
  <si>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</si>
  <si>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</si>
  <si>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</si>
  <si>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</si>
  <si>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</si>
  <si>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</si>
  <si>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</si>
  <si>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</si>
  <si>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</si>
  <si>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</si>
  <si>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</si>
  <si>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</si>
  <si>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</si>
  <si>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</si>
  <si>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</si>
  <si>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</si>
  <si>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</si>
  <si>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</si>
  <si>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</si>
  <si>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</si>
  <si>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</si>
  <si>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</si>
  <si>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</si>
  <si>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</si>
  <si>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</si>
  <si>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</si>
  <si>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</si>
  <si>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</si>
  <si>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</si>
  <si>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</si>
  <si>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</si>
  <si>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</si>
  <si>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</si>
  <si>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</si>
  <si>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</si>
  <si>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</si>
  <si>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</si>
  <si>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</si>
  <si>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</si>
  <si>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</si>
  <si>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</si>
  <si>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</si>
  <si>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</si>
  <si>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</si>
  <si>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</si>
  <si>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</si>
  <si>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</si>
  <si>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</si>
  <si>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</si>
  <si>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</si>
  <si>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</si>
  <si>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</si>
  <si>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</si>
  <si>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</si>
  <si>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</si>
  <si>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</si>
  <si>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</si>
  <si>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</si>
  <si>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</si>
  <si>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</si>
  <si>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</si>
  <si>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</si>
  <si>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</si>
  <si>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</si>
  <si>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</si>
  <si>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</si>
  <si>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</si>
  <si>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</si>
  <si>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</si>
  <si>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</si>
  <si>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</si>
  <si>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</si>
  <si>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</si>
  <si>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</si>
  <si>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</si>
  <si>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</si>
  <si>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</si>
  <si>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</si>
  <si>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</si>
  <si>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</si>
  <si>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</si>
  <si>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</si>
  <si>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</si>
  <si>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</si>
  <si>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</si>
  <si>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</si>
  <si>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</si>
  <si>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</si>
  <si>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</si>
  <si>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</si>
  <si>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</si>
  <si>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</si>
  <si>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</si>
  <si>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</si>
  <si>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</si>
  <si>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</si>
  <si>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</si>
  <si>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</si>
  <si>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</si>
  <si>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</si>
  <si>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</si>
  <si>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</si>
  <si>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</si>
  <si>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</si>
  <si>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</si>
  <si>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</si>
  <si>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</si>
  <si>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</si>
  <si>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</si>
  <si>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</si>
  <si>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</si>
  <si>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</si>
  <si>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</si>
  <si>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</si>
  <si>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</si>
  <si>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</si>
  <si>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</si>
  <si>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</si>
  <si>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</si>
  <si>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</si>
  <si>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</si>
  <si>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</si>
  <si>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</si>
  <si>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</si>
  <si>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</si>
  <si>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</si>
  <si>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</si>
  <si>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</si>
  <si>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</si>
  <si>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</si>
  <si>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</si>
  <si>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</si>
  <si>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</si>
  <si>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</si>
  <si>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</si>
  <si>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</si>
  <si>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</si>
  <si>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</si>
  <si>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</si>
  <si>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</si>
  <si>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</si>
  <si>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</si>
  <si>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</si>
  <si>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</si>
  <si>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</si>
  <si>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</si>
  <si>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</si>
  <si>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</si>
  <si>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</si>
  <si>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</si>
  <si>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</si>
  <si>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</si>
  <si>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</si>
  <si>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</si>
  <si>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</si>
  <si>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</si>
  <si>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</si>
  <si>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</si>
  <si>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</si>
  <si>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</si>
  <si>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</si>
  <si>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</si>
  <si>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</si>
  <si>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</si>
  <si>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</si>
  <si>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</si>
  <si>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</si>
  <si>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</si>
  <si>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</si>
  <si>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</si>
  <si>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</si>
  <si>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</si>
  <si>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</si>
  <si>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</si>
  <si>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</si>
  <si>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</si>
  <si>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</si>
  <si>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</si>
  <si>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</si>
  <si>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</si>
  <si>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</si>
  <si>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</si>
  <si>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</si>
  <si>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</si>
  <si>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</si>
  <si>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</si>
  <si>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</si>
  <si>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</si>
  <si>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</si>
  <si>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</si>
  <si>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</si>
  <si>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</si>
  <si>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</si>
  <si>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</si>
  <si>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</si>
  <si>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</si>
  <si>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</si>
  <si>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</si>
  <si>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</si>
  <si>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</si>
  <si>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</si>
  <si>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</si>
  <si>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</si>
  <si>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</si>
  <si>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</si>
  <si>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</si>
  <si>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</si>
  <si>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</si>
  <si>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</si>
  <si>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</si>
  <si>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</si>
  <si>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</si>
  <si>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</si>
  <si>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</si>
  <si>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</si>
  <si>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</si>
  <si>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</si>
  <si>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</si>
  <si>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</si>
  <si>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</si>
  <si>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</si>
  <si>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</si>
  <si>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</si>
  <si>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</si>
  <si>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</si>
  <si>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</si>
  <si>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</si>
  <si>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</si>
  <si>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</si>
  <si>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</si>
  <si>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</si>
  <si>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</si>
  <si>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</si>
  <si>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</si>
  <si>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</si>
  <si>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</si>
  <si>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</si>
  <si>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</si>
  <si>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</si>
  <si>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</si>
  <si>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</si>
  <si>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</si>
  <si>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</si>
  <si>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</si>
  <si>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</si>
  <si>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</si>
  <si>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</si>
  <si>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</si>
  <si>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</si>
  <si>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</si>
  <si>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</si>
  <si>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</si>
  <si>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</si>
  <si>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</si>
  <si>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</si>
  <si>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</si>
  <si>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</si>
  <si>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</si>
  <si>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</si>
  <si>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</si>
  <si>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</si>
  <si>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</si>
  <si>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</si>
  <si>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</si>
  <si>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</si>
  <si>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</si>
  <si>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</si>
  <si>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</si>
  <si>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</si>
  <si>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</si>
  <si>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</si>
  <si>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</si>
  <si>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</si>
  <si>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</si>
  <si>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</si>
  <si>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</si>
  <si>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</si>
  <si>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</si>
  <si>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</si>
  <si>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</si>
  <si>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</si>
  <si>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</si>
  <si>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</si>
  <si>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</si>
  <si>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</si>
  <si>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</si>
  <si>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</si>
  <si>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</si>
  <si>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</si>
  <si>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</si>
  <si>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</si>
  <si>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</si>
  <si>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</si>
  <si>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</si>
  <si>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</si>
  <si>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</si>
  <si>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</si>
  <si>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</si>
  <si>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</si>
  <si>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</si>
  <si>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</si>
  <si>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</si>
  <si>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</si>
  <si>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</si>
  <si>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</si>
  <si>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</si>
  <si>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</si>
  <si>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</si>
  <si>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</si>
  <si>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</si>
  <si>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</si>
  <si>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</si>
  <si>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</si>
  <si>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</si>
  <si>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</si>
  <si>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</si>
  <si>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</si>
  <si>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</si>
  <si>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</si>
  <si>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</si>
  <si>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</si>
  <si>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</si>
  <si>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</si>
  <si>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</si>
  <si>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</si>
  <si>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</si>
  <si>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</si>
  <si>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</si>
  <si>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</si>
  <si>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</si>
  <si>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</si>
  <si>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</si>
  <si>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</si>
  <si>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</si>
  <si>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</si>
  <si>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</si>
  <si>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</si>
  <si>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</si>
  <si>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</si>
  <si>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</si>
  <si>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</si>
  <si>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</si>
  <si>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</si>
  <si>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</si>
  <si>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</si>
  <si>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</si>
  <si>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</si>
  <si>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</si>
  <si>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</si>
  <si>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</si>
  <si>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</si>
  <si>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</si>
  <si>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</si>
  <si>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</si>
  <si>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</si>
  <si>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</si>
  <si>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</si>
  <si>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</si>
  <si>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</si>
  <si>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</si>
  <si>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</si>
  <si>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</si>
  <si>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</si>
  <si>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</si>
  <si>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</si>
  <si>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</si>
  <si>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</si>
  <si>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</si>
  <si>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</si>
  <si>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</si>
  <si>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</si>
  <si>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</si>
  <si>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</si>
  <si>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</si>
  <si>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</si>
  <si>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</si>
  <si>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</si>
  <si>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</si>
  <si>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</si>
  <si>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</si>
  <si>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</si>
  <si>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</si>
  <si>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</si>
  <si>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</si>
  <si>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</si>
  <si>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</si>
  <si>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</si>
  <si>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</si>
  <si>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</si>
  <si>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</si>
  <si>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</si>
  <si>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</si>
  <si>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</si>
  <si>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</si>
  <si>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</si>
  <si>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</si>
  <si>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</si>
  <si>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</si>
  <si>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</si>
  <si>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</si>
  <si>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</si>
  <si>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</si>
  <si>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</si>
  <si>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</si>
  <si>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</si>
  <si>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</si>
  <si>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</si>
  <si>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</si>
  <si>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</si>
  <si>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</si>
  <si>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</si>
  <si>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</si>
  <si>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</si>
  <si>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</si>
  <si>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</si>
  <si>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</si>
  <si>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</si>
  <si>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</si>
  <si>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</si>
  <si>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</si>
  <si>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</si>
  <si>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</si>
  <si>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</si>
  <si>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</si>
  <si>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</si>
  <si>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</si>
  <si>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</si>
  <si>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</si>
  <si>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</si>
  <si>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</si>
  <si>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</si>
  <si>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</si>
  <si>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</si>
  <si>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</si>
  <si>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</si>
  <si>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</si>
  <si>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</si>
  <si>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</si>
  <si>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</si>
  <si>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</si>
  <si>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</si>
  <si>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</si>
  <si>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</si>
  <si>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</si>
  <si>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</si>
  <si>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</si>
  <si>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</si>
  <si>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</si>
  <si>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</si>
  <si>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</si>
  <si>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</si>
  <si>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</si>
  <si>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</si>
  <si>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</si>
  <si>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</si>
  <si>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</si>
  <si>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</si>
  <si>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</si>
  <si>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</si>
  <si>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</si>
  <si>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</si>
  <si>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</si>
  <si>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</si>
  <si>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</si>
  <si>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</si>
  <si>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</si>
  <si>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</si>
  <si>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</si>
  <si>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</si>
  <si>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</si>
  <si>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</si>
  <si>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</si>
  <si>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</si>
  <si>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</si>
  <si>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</si>
  <si>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</si>
  <si>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</si>
  <si>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</si>
  <si>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</si>
  <si>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</si>
  <si>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</si>
  <si>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</si>
  <si>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</si>
  <si>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</si>
  <si>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</si>
  <si>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</si>
  <si>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</si>
  <si>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</si>
  <si>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</si>
  <si>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</si>
  <si>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</si>
  <si>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</si>
  <si>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</si>
  <si>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</si>
  <si>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</si>
  <si>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</si>
  <si>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</si>
  <si>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</si>
  <si>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</si>
  <si>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</si>
  <si>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</si>
  <si>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</si>
  <si>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</si>
  <si>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</si>
  <si>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</si>
  <si>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</si>
  <si>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</si>
  <si>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</si>
  <si>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</si>
  <si>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</si>
  <si>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</si>
  <si>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</si>
  <si>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</si>
  <si>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</si>
  <si>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</si>
  <si>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</si>
  <si>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</si>
  <si>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</si>
  <si>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</si>
  <si>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</si>
  <si>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</si>
  <si>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</si>
  <si>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</si>
  <si>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</si>
  <si>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</si>
  <si>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</si>
  <si>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</si>
  <si>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</si>
  <si>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</si>
  <si>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</si>
  <si>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</si>
  <si>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</si>
  <si>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</si>
  <si>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</si>
  <si>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</si>
  <si>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</si>
  <si>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</si>
  <si>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</si>
  <si>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</si>
  <si>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</si>
  <si>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</si>
  <si>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</si>
  <si>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</si>
  <si>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</si>
  <si>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</si>
  <si>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</si>
  <si>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</si>
  <si>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</si>
  <si>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</si>
  <si>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</si>
  <si>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</si>
  <si>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</si>
  <si>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</si>
  <si>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</si>
  <si>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</si>
  <si>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</si>
  <si>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</si>
  <si>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</si>
  <si>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</si>
  <si>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</si>
  <si>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</si>
  <si>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</si>
  <si>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</si>
  <si>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</si>
  <si>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</si>
  <si>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</si>
  <si>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</si>
  <si>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</si>
  <si>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</si>
  <si>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</si>
  <si>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</si>
  <si>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</si>
  <si>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</si>
  <si>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</si>
  <si>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</si>
  <si>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</si>
  <si>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</si>
  <si>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</si>
  <si>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</si>
  <si>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</si>
  <si>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</si>
  <si>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</si>
  <si>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</si>
  <si>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</si>
  <si>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</si>
  <si>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</si>
  <si>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</si>
  <si>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</si>
  <si>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</si>
  <si>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</si>
  <si>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</si>
  <si>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</si>
  <si>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</si>
  <si>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</si>
  <si>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</si>
  <si>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</si>
  <si>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</si>
  <si>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</si>
  <si>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</si>
  <si>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</si>
  <si>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</si>
  <si>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</si>
  <si>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</si>
  <si>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</si>
  <si>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</si>
  <si>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</si>
  <si>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</si>
  <si>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</si>
  <si>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</si>
  <si>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</si>
  <si>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</si>
  <si>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</si>
  <si>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</si>
  <si>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</si>
  <si>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</si>
  <si>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</si>
  <si>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</si>
  <si>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</si>
  <si>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</si>
  <si>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</si>
  <si>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</si>
  <si>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</si>
  <si>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</si>
  <si>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</si>
  <si>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</si>
  <si>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</si>
  <si>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</si>
  <si>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</si>
  <si>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</si>
  <si>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</si>
  <si>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</si>
  <si>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</si>
  <si>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</si>
  <si>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</si>
  <si>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</si>
  <si>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</si>
  <si>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</si>
  <si>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</si>
  <si>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</si>
  <si>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</si>
  <si>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</si>
  <si>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</si>
  <si>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</si>
  <si>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</si>
  <si>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</si>
  <si>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</si>
  <si>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</si>
  <si>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</si>
  <si>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</si>
  <si>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</si>
  <si>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</si>
  <si>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</si>
  <si>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</si>
  <si>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</si>
  <si>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</si>
  <si>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</si>
  <si>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</si>
  <si>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</si>
  <si>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</si>
  <si>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</si>
  <si>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</si>
  <si>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</si>
  <si>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</si>
  <si>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</si>
  <si>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</si>
  <si>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</si>
  <si>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</si>
  <si>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</si>
  <si>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</si>
  <si>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</si>
  <si>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</si>
  <si>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</si>
  <si>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</si>
  <si>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</si>
  <si>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</si>
  <si>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</si>
  <si>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</si>
  <si>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</si>
  <si>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</si>
  <si>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</si>
  <si>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</si>
  <si>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</si>
  <si>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</si>
  <si>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</si>
  <si>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</si>
  <si>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</si>
  <si>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</si>
  <si>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</si>
  <si>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</si>
  <si>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</si>
  <si>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</si>
  <si>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</si>
  <si>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</si>
  <si>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</si>
  <si>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</si>
  <si>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</si>
  <si>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</si>
  <si>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</si>
  <si>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</si>
  <si>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</si>
  <si>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</si>
  <si>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</si>
  <si>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</si>
  <si>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</si>
  <si>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</si>
  <si>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</si>
  <si>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</si>
  <si>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</si>
  <si>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</si>
  <si>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</si>
  <si>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</si>
  <si>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</si>
  <si>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</si>
  <si>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</si>
  <si>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</si>
  <si>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</si>
  <si>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</si>
  <si>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</si>
  <si>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</si>
  <si>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</si>
  <si>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</si>
  <si>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</si>
  <si>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</si>
  <si>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</si>
  <si>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</si>
  <si>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</si>
  <si>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</si>
  <si>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</si>
  <si>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</si>
  <si>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</si>
  <si>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</si>
  <si>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</si>
  <si>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</si>
  <si>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</si>
  <si>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</si>
  <si>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</si>
  <si>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</si>
  <si>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</si>
  <si>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</si>
  <si>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</si>
  <si>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</si>
  <si>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</si>
  <si>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</si>
  <si>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</si>
  <si>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</si>
  <si>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</si>
  <si>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</si>
  <si>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</si>
  <si>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</si>
  <si>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</si>
  <si>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</si>
  <si>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</si>
  <si>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</si>
  <si>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</si>
  <si>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</si>
  <si>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</si>
  <si>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</si>
  <si>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</si>
  <si>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</si>
  <si>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</si>
  <si>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</si>
  <si>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</si>
  <si>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</si>
  <si>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</si>
  <si>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</si>
  <si>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</si>
  <si>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</si>
  <si>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</si>
  <si>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</si>
  <si>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</si>
  <si>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</si>
  <si>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</si>
  <si>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</si>
  <si>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</si>
  <si>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</si>
  <si>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</si>
  <si>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</si>
  <si>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</si>
  <si>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</si>
  <si>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</si>
  <si>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</si>
  <si>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</si>
  <si>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</si>
  <si>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</si>
  <si>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</si>
  <si>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</si>
  <si>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</si>
  <si>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</si>
  <si>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</si>
  <si>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</si>
  <si>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</si>
  <si>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</si>
  <si>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</si>
  <si>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</si>
  <si>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</si>
  <si>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</si>
  <si>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</si>
  <si>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</si>
  <si>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</si>
  <si>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</si>
  <si>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</si>
  <si>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</si>
  <si>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</si>
  <si>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</si>
  <si>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</si>
  <si>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</si>
  <si>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</si>
  <si>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</si>
  <si>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</si>
  <si>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</si>
  <si>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</si>
  <si>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</si>
  <si>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</si>
  <si>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</si>
  <si>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</si>
  <si>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</si>
  <si>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</si>
  <si>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</si>
  <si>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</si>
  <si>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</si>
  <si>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</si>
  <si>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</si>
  <si>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</si>
  <si>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</si>
  <si>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</si>
  <si>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</si>
  <si>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</si>
  <si>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</si>
  <si>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</si>
  <si>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</si>
  <si>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</si>
  <si>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</si>
  <si>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</si>
  <si>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</si>
  <si>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</si>
  <si>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</si>
  <si>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</si>
  <si>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</si>
  <si>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</si>
  <si>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</si>
  <si>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</si>
  <si>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</si>
  <si>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</si>
  <si>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</si>
  <si>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</si>
  <si>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</si>
  <si>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</si>
  <si>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</si>
  <si>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</si>
  <si>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</si>
  <si>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</si>
  <si>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</si>
  <si>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</si>
  <si>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</si>
  <si>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</si>
  <si>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</si>
  <si>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</si>
  <si>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</si>
  <si>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</si>
  <si>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</si>
  <si>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</si>
  <si>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</si>
  <si>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</si>
  <si>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</si>
  <si>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</si>
  <si>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</si>
  <si>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</si>
  <si>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</si>
  <si>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</si>
  <si>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</si>
  <si>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</si>
  <si>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</si>
  <si>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</si>
  <si>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</si>
  <si>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</si>
  <si>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</si>
  <si>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</si>
  <si>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</si>
  <si>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</si>
  <si>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</si>
  <si>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</si>
  <si>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</si>
  <si>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</si>
  <si>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</si>
  <si>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</si>
  <si>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</si>
  <si>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</si>
  <si>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</si>
  <si>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</si>
  <si>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</si>
  <si>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</si>
  <si>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</si>
  <si>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</si>
  <si>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</si>
  <si>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</si>
  <si>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</si>
  <si>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</si>
  <si>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</si>
  <si>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</si>
  <si>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</si>
  <si>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</si>
  <si>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</si>
  <si>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</si>
  <si>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</si>
  <si>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</si>
  <si>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</si>
  <si>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</si>
  <si>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</si>
  <si>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</si>
  <si>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</si>
  <si>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</si>
  <si>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</si>
  <si>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</si>
  <si>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</si>
  <si>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</si>
  <si>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</si>
  <si>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</si>
  <si>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</si>
  <si>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</si>
  <si>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</si>
  <si>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</si>
  <si>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</si>
  <si>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</si>
  <si>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</si>
  <si>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</si>
  <si>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</si>
  <si>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</si>
  <si>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</si>
  <si>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</si>
  <si>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</si>
  <si>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</si>
  <si>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</si>
  <si>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</si>
  <si>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</si>
  <si>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</si>
  <si>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</si>
  <si>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</si>
  <si>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</si>
  <si>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</si>
  <si>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</si>
  <si>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</si>
  <si>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</si>
  <si>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</si>
  <si>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</si>
  <si>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</si>
  <si>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</si>
  <si>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</si>
  <si>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</si>
  <si>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</si>
  <si>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</si>
  <si>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</si>
  <si>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</si>
  <si>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</si>
  <si>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</si>
  <si>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</si>
  <si>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</si>
  <si>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</si>
  <si>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</si>
  <si>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</si>
  <si>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</si>
  <si>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</si>
  <si>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</si>
  <si>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</si>
  <si>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</si>
  <si>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</si>
  <si>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</si>
  <si>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</si>
  <si>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</si>
  <si>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</si>
  <si>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</si>
  <si>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</si>
  <si>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</si>
  <si>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</si>
  <si>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</si>
  <si>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</si>
  <si>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</si>
  <si>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</si>
  <si>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</si>
  <si>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</si>
  <si>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</si>
  <si>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</si>
  <si>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</si>
  <si>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</si>
  <si>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</si>
  <si>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</si>
  <si>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</si>
  <si>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</si>
  <si>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</si>
  <si>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</si>
  <si>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</si>
  <si>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</si>
  <si>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</si>
  <si>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</si>
  <si>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</si>
  <si>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</si>
  <si>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</si>
  <si>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</si>
  <si>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</si>
  <si>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</si>
  <si>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</si>
  <si>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</si>
  <si>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</si>
  <si>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</si>
  <si>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</si>
  <si>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</si>
  <si>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</si>
  <si>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</si>
  <si>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</si>
  <si>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</si>
  <si>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</si>
  <si>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</si>
  <si>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</si>
  <si>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</si>
  <si>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</si>
  <si>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</si>
  <si>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</si>
  <si>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</si>
  <si>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</si>
  <si>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</si>
  <si>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</si>
  <si>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</si>
  <si>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</si>
  <si>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</si>
  <si>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</si>
  <si>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</si>
  <si>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</si>
  <si>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</si>
  <si>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</si>
  <si>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</si>
  <si>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</si>
  <si>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</si>
  <si>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</si>
  <si>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</si>
  <si>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</si>
  <si>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</si>
  <si>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</si>
  <si>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</si>
  <si>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</si>
  <si>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</si>
  <si>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</si>
  <si>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</si>
  <si>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</si>
  <si>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</si>
  <si>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</si>
  <si>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</si>
  <si>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</si>
  <si>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</si>
  <si>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</si>
  <si>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</si>
  <si>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</si>
  <si>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</si>
  <si>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</si>
  <si>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</si>
  <si>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</si>
  <si>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</si>
  <si>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</si>
  <si>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</si>
  <si>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</si>
  <si>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</si>
  <si>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</si>
  <si>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</si>
  <si>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</si>
  <si>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</si>
  <si>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</si>
  <si>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</si>
  <si>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</si>
  <si>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</si>
  <si>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</si>
  <si>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</si>
  <si>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</si>
  <si>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</si>
  <si>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</si>
  <si>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</si>
  <si>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</si>
  <si>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</si>
  <si>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</si>
  <si>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</si>
  <si>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</si>
  <si>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</si>
  <si>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</si>
  <si>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</si>
  <si>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</si>
  <si>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</si>
  <si>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</si>
  <si>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</si>
  <si>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</si>
  <si>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</si>
  <si>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</si>
  <si>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</si>
  <si>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</si>
  <si>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</si>
  <si>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</si>
  <si>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</si>
  <si>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</si>
  <si>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</si>
  <si>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</si>
  <si>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</si>
  <si>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</si>
  <si>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</si>
  <si>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</si>
  <si>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</si>
  <si>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</si>
  <si>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</si>
  <si>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</si>
  <si>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</si>
  <si>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</si>
  <si>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</si>
  <si>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</si>
  <si>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</si>
  <si>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</si>
  <si>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</si>
  <si>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</si>
  <si>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</si>
  <si>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</si>
  <si>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</si>
  <si>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</si>
  <si>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</si>
  <si>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</si>
  <si>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</si>
  <si>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</si>
  <si>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</si>
  <si>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</si>
  <si>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</si>
  <si>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</si>
  <si>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</si>
  <si>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</si>
  <si>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</si>
  <si>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</si>
  <si>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</si>
  <si>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</si>
  <si>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</si>
  <si>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</si>
  <si>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</si>
  <si>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</si>
  <si>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</si>
  <si>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</si>
  <si>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</si>
  <si>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</si>
  <si>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</si>
  <si>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</si>
  <si>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</si>
  <si>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</si>
  <si>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</si>
  <si>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</si>
  <si>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</si>
  <si>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</si>
  <si>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</si>
  <si>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</si>
  <si>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</si>
  <si>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</si>
  <si>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</si>
  <si>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</si>
  <si>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</si>
  <si>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</si>
  <si>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</si>
  <si>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</si>
  <si>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</si>
  <si>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</si>
  <si>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</si>
  <si>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</si>
  <si>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</si>
  <si>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</si>
  <si>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</si>
  <si>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</si>
  <si>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</si>
  <si>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</si>
  <si>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</si>
  <si>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</si>
  <si>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</si>
  <si>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</si>
  <si>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</si>
  <si>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</si>
  <si>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</si>
  <si>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</si>
  <si>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</si>
  <si>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</si>
  <si>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</si>
  <si>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</si>
  <si>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</si>
  <si>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</si>
  <si>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</si>
  <si>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</si>
  <si>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</si>
  <si>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</si>
  <si>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</si>
  <si>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</si>
  <si>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</si>
  <si>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</si>
  <si>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</si>
  <si>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</si>
  <si>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</si>
  <si>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</si>
  <si>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</si>
  <si>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</si>
  <si>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</si>
  <si>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</si>
  <si>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</si>
  <si>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</si>
  <si>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</si>
  <si>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</si>
  <si>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</si>
  <si>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</si>
  <si>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</si>
  <si>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</si>
  <si>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</si>
  <si>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</si>
  <si>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</si>
  <si>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</si>
  <si>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</si>
  <si>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</si>
  <si>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</si>
  <si>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</si>
  <si>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</si>
  <si>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</si>
  <si>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</si>
  <si>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</si>
  <si>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</si>
  <si>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</si>
  <si>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</si>
  <si>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</si>
  <si>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</si>
  <si>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</si>
  <si>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</si>
  <si>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</si>
  <si>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</si>
  <si>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</si>
  <si>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</si>
  <si>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</si>
  <si>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</si>
  <si>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</si>
  <si>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</si>
  <si>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</si>
  <si>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</si>
  <si>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</si>
  <si>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</si>
  <si>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</si>
  <si>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</si>
  <si>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</si>
  <si>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</si>
  <si>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</si>
  <si>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</si>
  <si>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</si>
  <si>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</si>
  <si>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</si>
  <si>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</si>
  <si>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</si>
  <si>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</si>
  <si>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</si>
  <si>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</si>
  <si>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</si>
  <si>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</si>
  <si>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</si>
  <si>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</si>
  <si>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</si>
  <si>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</si>
  <si>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</si>
  <si>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</si>
  <si>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</si>
  <si>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</si>
  <si>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</si>
  <si>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</si>
  <si>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</si>
  <si>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</si>
  <si>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</si>
  <si>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</si>
  <si>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</si>
  <si>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</si>
  <si>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</si>
  <si>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</si>
  <si>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</si>
  <si>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</si>
  <si>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</si>
  <si>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</si>
  <si>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</si>
  <si>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</si>
  <si>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</si>
  <si>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</si>
  <si>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</si>
  <si>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</si>
  <si>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</si>
  <si>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</si>
  <si>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</si>
  <si>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</si>
  <si>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</si>
  <si>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</si>
  <si>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</si>
  <si>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</si>
  <si>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</si>
  <si>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</si>
  <si>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</si>
  <si>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</si>
  <si>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</si>
  <si>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</si>
  <si>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</si>
  <si>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</si>
  <si>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</si>
  <si>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</si>
  <si>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</si>
  <si>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</si>
  <si>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</si>
  <si>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</si>
  <si>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</si>
  <si>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</si>
  <si>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</si>
  <si>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</si>
  <si>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</si>
  <si>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</si>
  <si>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</si>
  <si>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</si>
  <si>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</si>
  <si>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</si>
  <si>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</si>
  <si>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</si>
  <si>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</si>
  <si>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</si>
  <si>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</si>
  <si>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</si>
  <si>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</si>
  <si>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</si>
  <si>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</si>
  <si>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</si>
  <si>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</si>
  <si>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</si>
  <si>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</si>
  <si>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</si>
  <si>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</si>
  <si>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</si>
  <si>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</si>
  <si>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</si>
  <si>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</si>
  <si>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</si>
  <si>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</si>
  <si>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</si>
  <si>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</si>
  <si>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</si>
  <si>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</si>
  <si>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</si>
  <si>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</si>
  <si>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</si>
  <si>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</si>
  <si>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</si>
  <si>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</si>
  <si>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</si>
  <si>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</si>
  <si>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</si>
  <si>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</si>
  <si>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</si>
  <si>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</si>
  <si>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</si>
  <si>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</si>
  <si>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</si>
  <si>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</si>
  <si>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</si>
  <si>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</si>
  <si>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</si>
  <si>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</si>
  <si>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</si>
  <si>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</si>
  <si>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</si>
  <si>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</si>
  <si>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</si>
  <si>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</si>
  <si>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</si>
  <si>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</si>
  <si>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</si>
  <si>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</si>
  <si>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</si>
  <si>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</si>
  <si>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</si>
  <si>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</si>
  <si>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</si>
  <si>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</si>
  <si>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</si>
  <si>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</si>
  <si>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</si>
  <si>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</si>
  <si>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</si>
  <si>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</si>
  <si>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</si>
  <si>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</si>
  <si>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</si>
  <si>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</si>
  <si>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</si>
  <si>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</si>
  <si>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</si>
  <si>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</si>
  <si>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</si>
  <si>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</si>
  <si>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</si>
  <si>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</si>
  <si>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</si>
  <si>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</si>
  <si>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</si>
  <si>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</si>
  <si>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</si>
  <si>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</si>
  <si>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</si>
  <si>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</si>
  <si>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</si>
  <si>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</si>
  <si>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</si>
  <si>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</si>
  <si>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</si>
  <si>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</si>
  <si>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</si>
  <si>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</si>
  <si>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</si>
  <si>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</si>
  <si>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</si>
  <si>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</si>
  <si>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</si>
  <si>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</si>
  <si>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</si>
  <si>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</si>
  <si>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</si>
  <si>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</si>
  <si>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</si>
  <si>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</si>
  <si>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</si>
  <si>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</si>
  <si>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</si>
  <si>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</si>
  <si>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</si>
  <si>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</si>
  <si>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</si>
  <si>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</si>
  <si>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</si>
  <si>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</si>
  <si>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</si>
  <si>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</si>
  <si>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</si>
  <si>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</si>
  <si>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</si>
  <si>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</si>
  <si>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</si>
  <si>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</si>
  <si>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</si>
  <si>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</si>
  <si>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</si>
  <si>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</si>
  <si>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</si>
  <si>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</si>
  <si>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</si>
  <si>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</si>
  <si>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</si>
  <si>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</si>
  <si>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</si>
  <si>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</si>
  <si>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</si>
  <si>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</si>
  <si>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</si>
  <si>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</si>
  <si>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</si>
  <si>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</si>
  <si>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</si>
  <si>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</si>
  <si>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</si>
  <si>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</si>
  <si>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</si>
  <si>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</si>
  <si>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</si>
  <si>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</si>
  <si>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</si>
  <si>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</si>
  <si>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</si>
  <si>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</si>
  <si>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</si>
  <si>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</si>
  <si>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</si>
  <si>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</si>
  <si>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</si>
  <si>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</si>
  <si>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</si>
  <si>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</si>
  <si>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</si>
  <si>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</si>
  <si>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</si>
  <si>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</si>
  <si>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</si>
  <si>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</si>
  <si>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</si>
  <si>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</si>
  <si>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</si>
  <si>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</si>
  <si>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</si>
  <si>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</si>
  <si>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</si>
  <si>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</si>
  <si>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</si>
  <si>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</si>
  <si>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</si>
  <si>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</si>
  <si>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</si>
  <si>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</si>
  <si>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</si>
  <si>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</si>
  <si>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</si>
  <si>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</si>
  <si>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</si>
  <si>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</si>
  <si>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</si>
  <si>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</si>
  <si>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</si>
  <si>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</si>
  <si>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</si>
  <si>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</si>
  <si>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</si>
  <si>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</si>
  <si>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</si>
  <si>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</si>
  <si>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</si>
  <si>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</si>
  <si>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</si>
  <si>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</si>
  <si>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</si>
  <si>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</si>
  <si>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</si>
  <si>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</si>
  <si>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</si>
  <si>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</si>
  <si>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</si>
  <si>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</si>
  <si>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</si>
  <si>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</si>
  <si>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</si>
  <si>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</si>
  <si>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</si>
  <si>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</si>
  <si>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</si>
  <si>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</si>
  <si>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</si>
  <si>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</si>
  <si>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</si>
  <si>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</si>
  <si>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</si>
  <si>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</si>
  <si>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</si>
  <si>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</si>
  <si>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</si>
  <si>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</si>
  <si>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</si>
  <si>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</si>
  <si>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</si>
  <si>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</si>
  <si>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</si>
  <si>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</si>
  <si>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</si>
  <si>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</si>
  <si>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</si>
  <si>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</si>
  <si>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</si>
  <si>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</si>
  <si>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</si>
  <si>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</si>
  <si>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</si>
  <si>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</si>
  <si>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</si>
  <si>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</si>
  <si>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</si>
  <si>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</si>
  <si>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</si>
  <si>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</si>
  <si>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</si>
  <si>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</si>
  <si>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</si>
  <si>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</si>
  <si>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</si>
  <si>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</si>
  <si>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</si>
  <si>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</si>
  <si>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</si>
  <si>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</si>
  <si>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</si>
  <si>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</si>
  <si>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</si>
  <si>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</si>
  <si>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</si>
  <si>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</si>
  <si>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</si>
  <si>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</si>
  <si>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</si>
  <si>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</si>
  <si>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</si>
  <si>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</si>
  <si>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</si>
  <si>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</si>
  <si>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</si>
  <si>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</si>
  <si>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</si>
  <si>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</si>
  <si>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</si>
  <si>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</si>
  <si>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</si>
  <si>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</si>
  <si>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</si>
  <si>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</si>
  <si>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</si>
  <si>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</si>
  <si>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</si>
  <si>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</si>
  <si>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</si>
  <si>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</si>
  <si>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</si>
  <si>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</si>
  <si>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</si>
  <si>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</si>
  <si>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</si>
  <si>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</si>
  <si>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</si>
  <si>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</si>
  <si>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</si>
  <si>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</si>
  <si>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</si>
  <si>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</si>
  <si>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</si>
  <si>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</si>
  <si>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</si>
  <si>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</si>
  <si>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</si>
  <si>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</si>
  <si>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</si>
  <si>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</si>
  <si>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</si>
  <si>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</si>
  <si>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</si>
  <si>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</si>
  <si>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</si>
  <si>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</si>
  <si>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</si>
  <si>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</si>
  <si>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</si>
  <si>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</si>
  <si>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</si>
  <si>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</si>
  <si>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</si>
  <si>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</si>
  <si>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</si>
  <si>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</si>
  <si>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</si>
  <si>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</si>
  <si>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</si>
  <si>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</si>
  <si>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</si>
  <si>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</si>
  <si>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</si>
  <si>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</si>
  <si>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</si>
  <si>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</si>
  <si>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</si>
  <si>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</si>
  <si>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</si>
  <si>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</si>
  <si>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</si>
  <si>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</si>
  <si>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</si>
  <si>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</si>
  <si>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</si>
  <si>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</si>
  <si>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</si>
  <si>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</si>
  <si>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</si>
  <si>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</si>
  <si>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</si>
  <si>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</si>
  <si>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</si>
  <si>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</si>
  <si>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</si>
  <si>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</si>
  <si>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</si>
  <si>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</si>
  <si>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</si>
  <si>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</si>
  <si>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</si>
  <si>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</si>
  <si>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</si>
  <si>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</si>
  <si>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</si>
  <si>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</si>
  <si>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</si>
  <si>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</si>
  <si>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</si>
  <si>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</si>
  <si>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</si>
  <si>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</si>
  <si>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</si>
  <si>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</si>
  <si>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</si>
  <si>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</si>
  <si>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</si>
  <si>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</si>
  <si>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</si>
  <si>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</si>
  <si>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</si>
  <si>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</si>
  <si>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</si>
  <si>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</si>
  <si>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</si>
  <si>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</si>
  <si>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</si>
  <si>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</si>
  <si>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</si>
  <si>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</si>
  <si>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</si>
  <si>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</si>
  <si>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</si>
  <si>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</si>
  <si>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</si>
  <si>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</si>
  <si>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</si>
  <si>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</si>
  <si>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</si>
  <si>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</si>
  <si>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</si>
  <si>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</si>
  <si>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</si>
  <si>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</si>
  <si>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</si>
  <si>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</si>
  <si>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</si>
  <si>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</si>
  <si>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</si>
  <si>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</si>
  <si>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</si>
  <si>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</si>
  <si>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</si>
  <si>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</si>
  <si>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</si>
  <si>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</si>
  <si>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</si>
  <si>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</si>
  <si>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</si>
  <si>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</si>
  <si>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</si>
  <si>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</si>
  <si>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</si>
  <si>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</si>
  <si>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</si>
  <si>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</si>
  <si>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</si>
  <si>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</si>
  <si>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</si>
  <si>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</si>
  <si>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</si>
  <si>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</si>
  <si>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</si>
  <si>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</si>
  <si>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</si>
  <si>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</si>
  <si>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</si>
  <si>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</si>
  <si>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</si>
  <si>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</si>
  <si>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</si>
  <si>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</si>
  <si>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</si>
  <si>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</si>
  <si>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</si>
  <si>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</si>
  <si>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</si>
  <si>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</si>
  <si>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</si>
  <si>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</si>
  <si>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</si>
  <si>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</si>
  <si>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</si>
  <si>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</si>
  <si>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</si>
  <si>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</si>
  <si>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</si>
  <si>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</si>
  <si>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</si>
  <si>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</si>
  <si>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</si>
  <si>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</si>
  <si>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</si>
  <si>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</si>
  <si>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</si>
  <si>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</si>
  <si>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</si>
  <si>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</si>
  <si>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</si>
  <si>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</si>
  <si>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</si>
  <si>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</si>
  <si>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</si>
  <si>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</si>
  <si>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</si>
  <si>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</si>
  <si>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</si>
  <si>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</si>
  <si>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</si>
  <si>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</si>
  <si>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</si>
  <si>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</si>
  <si>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</si>
  <si>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</si>
  <si>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</si>
  <si>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</si>
  <si>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</si>
  <si>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</si>
  <si>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</si>
  <si>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</si>
  <si>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</si>
  <si>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</si>
  <si>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</si>
  <si>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</si>
  <si>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</si>
  <si>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</si>
  <si>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</si>
  <si>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</si>
  <si>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</si>
  <si>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</si>
  <si>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</si>
  <si>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</si>
  <si>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</si>
  <si>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</si>
  <si>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</si>
  <si>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</si>
  <si>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</si>
  <si>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</si>
  <si>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</si>
  <si>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</si>
  <si>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</si>
  <si>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</si>
  <si>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</si>
  <si>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</si>
  <si>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</si>
  <si>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</si>
  <si>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</si>
  <si>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</si>
  <si>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</si>
  <si>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</si>
  <si>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</si>
  <si>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</si>
  <si>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</si>
  <si>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</si>
  <si>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</si>
  <si>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</si>
  <si>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</si>
  <si>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</si>
  <si>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</si>
  <si>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</si>
  <si>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</si>
  <si>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</si>
  <si>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</si>
  <si>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</si>
  <si>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</si>
  <si>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</si>
  <si>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</si>
  <si>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</si>
  <si>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</si>
  <si>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</si>
  <si>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</si>
  <si>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</si>
  <si>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</si>
  <si>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</si>
  <si>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</si>
  <si>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</si>
  <si>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</si>
  <si>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</si>
  <si>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</si>
  <si>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</si>
  <si>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</si>
  <si>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</si>
  <si>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</si>
  <si>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</si>
  <si>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</si>
  <si>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</si>
  <si>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</si>
  <si>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</si>
  <si>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</si>
  <si>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</si>
  <si>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</si>
  <si>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</si>
  <si>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</si>
  <si>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</si>
  <si>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</si>
  <si>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</si>
  <si>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</si>
  <si>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</si>
  <si>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</si>
  <si>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</si>
  <si>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</si>
  <si>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</si>
  <si>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</si>
  <si>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</si>
  <si>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</si>
  <si>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</si>
  <si>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</si>
  <si>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</si>
  <si>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</si>
  <si>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</si>
  <si>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</si>
  <si>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</si>
  <si>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</si>
  <si>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</si>
  <si>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</si>
  <si>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</si>
  <si>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</si>
  <si>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</si>
  <si>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</si>
  <si>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</si>
  <si>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</si>
  <si>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</si>
  <si>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</si>
  <si>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</si>
  <si>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</si>
  <si>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</si>
  <si>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</si>
  <si>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</si>
  <si>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</si>
  <si>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</si>
  <si>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</si>
  <si>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</si>
  <si>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</si>
  <si>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</si>
  <si>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</si>
  <si>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</si>
  <si>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</si>
  <si>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</si>
  <si>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</si>
  <si>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</si>
  <si>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</si>
  <si>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</si>
  <si>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</si>
  <si>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</si>
  <si>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</si>
  <si>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</si>
  <si>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</si>
  <si>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</si>
  <si>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</si>
  <si>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</si>
  <si>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</si>
  <si>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</si>
  <si>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</si>
  <si>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</si>
  <si>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</si>
  <si>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</si>
  <si>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</si>
  <si>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</si>
  <si>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</si>
  <si>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</si>
  <si>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</si>
  <si>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</si>
  <si>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</si>
  <si>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</si>
  <si>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</si>
  <si>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</si>
  <si>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</si>
  <si>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</si>
  <si>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</si>
  <si>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</si>
  <si>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</si>
  <si>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</si>
  <si>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</si>
  <si>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</si>
  <si>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</si>
  <si>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</si>
  <si>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</si>
  <si>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</si>
  <si>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</si>
  <si>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</si>
  <si>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</si>
  <si>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</si>
  <si>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</si>
  <si>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</si>
  <si>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</si>
  <si>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</si>
  <si>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</si>
  <si>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</si>
  <si>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</si>
  <si>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</si>
  <si>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</si>
  <si>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</si>
  <si>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</si>
  <si>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</si>
  <si>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</si>
  <si>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</si>
  <si>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</si>
  <si>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</si>
  <si>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</si>
  <si>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</si>
  <si>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</si>
  <si>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</si>
  <si>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</si>
  <si>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</si>
  <si>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</si>
  <si>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</si>
  <si>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</si>
  <si>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</si>
  <si>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</si>
  <si>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</si>
  <si>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</si>
  <si>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</si>
  <si>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</si>
  <si>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</si>
  <si>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</si>
  <si>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</si>
  <si>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</si>
  <si>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</si>
  <si>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</si>
  <si>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</si>
  <si>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</si>
  <si>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</si>
  <si>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</si>
  <si>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</si>
  <si>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</si>
  <si>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</si>
  <si>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</si>
  <si>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</si>
  <si>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</si>
  <si>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</si>
  <si>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</si>
  <si>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</si>
  <si>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</si>
  <si>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</si>
  <si>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</si>
  <si>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</si>
  <si>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</si>
  <si>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</si>
  <si>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</si>
  <si>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</si>
  <si>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</si>
  <si>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</si>
  <si>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</si>
  <si>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</si>
  <si>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</si>
  <si>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</si>
  <si>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</si>
  <si>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</si>
  <si>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</si>
  <si>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</si>
  <si>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</si>
  <si>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</si>
  <si>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</si>
  <si>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</si>
  <si>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</si>
  <si>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</si>
  <si>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</si>
  <si>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</si>
  <si>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</si>
  <si>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</si>
  <si>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</si>
  <si>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</si>
  <si>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</si>
  <si>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</si>
  <si>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</si>
  <si>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</si>
  <si>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</si>
  <si>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</si>
  <si>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</si>
  <si>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</si>
  <si>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</si>
  <si>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</si>
  <si>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</si>
  <si>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</si>
  <si>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</si>
  <si>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</si>
  <si>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</si>
  <si>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</si>
  <si>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</si>
  <si>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</si>
  <si>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</si>
  <si>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</si>
  <si>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</si>
  <si>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</si>
  <si>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</si>
  <si>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</si>
  <si>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</si>
  <si>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</si>
  <si>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</si>
  <si>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</si>
  <si>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</si>
  <si>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</si>
  <si>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</si>
  <si>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</si>
  <si>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</si>
  <si>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</si>
  <si>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</si>
  <si>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</si>
  <si>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</si>
  <si>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</si>
  <si>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</si>
  <si>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</si>
  <si>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</si>
  <si>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</si>
  <si>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</si>
  <si>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</si>
  <si>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</si>
  <si>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</si>
  <si>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</si>
  <si>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</si>
  <si>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</si>
  <si>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</si>
  <si>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</si>
  <si>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</si>
  <si>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</si>
  <si>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</si>
  <si>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</si>
  <si>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</si>
  <si>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</si>
  <si>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</si>
  <si>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</si>
  <si>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</si>
  <si>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</si>
  <si>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</si>
  <si>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</si>
  <si>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</si>
  <si>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</si>
  <si>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</si>
  <si>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</si>
  <si>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</si>
  <si>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</si>
  <si>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</si>
  <si>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</si>
  <si>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</si>
  <si>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</si>
  <si>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</si>
  <si>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</si>
  <si>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</si>
  <si>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</si>
  <si>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</si>
  <si>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</si>
  <si>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</si>
  <si>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</si>
  <si>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</si>
  <si>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</si>
  <si>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</si>
  <si>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</si>
  <si>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</si>
  <si>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</si>
  <si>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</si>
  <si>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</si>
  <si>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</si>
  <si>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</si>
  <si>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</si>
  <si>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</si>
  <si>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</si>
  <si>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</si>
  <si>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</si>
  <si>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</si>
  <si>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</si>
  <si>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</si>
  <si>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</si>
  <si>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</si>
  <si>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</si>
  <si>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</si>
  <si>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</si>
  <si>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</si>
  <si>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</si>
  <si>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</si>
  <si>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</si>
  <si>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</si>
  <si>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</si>
  <si>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</si>
  <si>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</si>
  <si>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</si>
  <si>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</si>
  <si>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</si>
  <si>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</si>
  <si>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</si>
  <si>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</si>
  <si>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</si>
  <si>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</si>
  <si>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</si>
  <si>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</si>
  <si>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</si>
  <si>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</si>
  <si>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</si>
  <si>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</si>
  <si>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</si>
  <si>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</si>
  <si>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</si>
  <si>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</si>
  <si>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</si>
  <si>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</si>
  <si>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</si>
  <si>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</si>
  <si>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</si>
  <si>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</si>
  <si>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</si>
  <si>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</si>
  <si>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</si>
  <si>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</si>
  <si>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</si>
  <si>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</si>
  <si>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</si>
  <si>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</si>
  <si>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</si>
  <si>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</si>
  <si>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</si>
  <si>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</si>
  <si>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</si>
  <si>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</si>
  <si>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</si>
  <si>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</si>
  <si>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</si>
  <si>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</si>
  <si>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</si>
  <si>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</si>
  <si>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</si>
  <si>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</si>
  <si>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</si>
  <si>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</si>
  <si>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</si>
  <si>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</si>
  <si>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</si>
  <si>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</si>
  <si>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</si>
  <si>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</si>
  <si>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</si>
  <si>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</si>
  <si>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</si>
  <si>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</si>
  <si>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</si>
  <si>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</si>
  <si>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</si>
  <si>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</si>
  <si>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</si>
  <si>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</si>
  <si>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</si>
  <si>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</si>
  <si>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</si>
  <si>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</si>
  <si>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</si>
  <si>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</si>
  <si>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</si>
  <si>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</si>
  <si>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</si>
  <si>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</si>
  <si>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</si>
  <si>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</si>
  <si>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</si>
  <si>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</si>
  <si>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</si>
  <si>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</si>
  <si>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</si>
  <si>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</si>
  <si>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</si>
  <si>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</si>
  <si>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</si>
  <si>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</si>
  <si>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</si>
  <si>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</si>
  <si>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</si>
  <si>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</si>
  <si>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</si>
  <si>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</si>
  <si>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</si>
  <si>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</si>
  <si>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</si>
  <si>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</si>
  <si>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</si>
  <si>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</si>
  <si>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</si>
  <si>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</si>
  <si>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</si>
  <si>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</si>
  <si>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</si>
  <si>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</si>
  <si>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</si>
  <si>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</si>
  <si>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</si>
  <si>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</si>
  <si>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</si>
  <si>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</si>
  <si>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</si>
  <si>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</si>
  <si>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</si>
  <si>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</si>
  <si>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</si>
  <si>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</si>
  <si>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</si>
  <si>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</si>
  <si>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</si>
  <si>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</si>
  <si>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</si>
  <si>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</si>
  <si>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</si>
  <si>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</si>
  <si>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</si>
  <si>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</si>
  <si>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</si>
  <si>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</si>
  <si>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</si>
  <si>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</si>
  <si>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</si>
  <si>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</si>
  <si>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</si>
  <si>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</si>
  <si>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</si>
  <si>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</si>
  <si>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</si>
  <si>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</si>
  <si>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</si>
  <si>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</si>
  <si>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</si>
  <si>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</si>
  <si>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</si>
  <si>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</si>
  <si>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</si>
  <si>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</si>
  <si>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</si>
  <si>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</si>
  <si>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</si>
  <si>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</si>
  <si>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</si>
  <si>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</si>
  <si>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</si>
  <si>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</si>
  <si>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</si>
  <si>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</si>
  <si>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</si>
  <si>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</si>
  <si>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</si>
  <si>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</si>
  <si>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</si>
  <si>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</si>
  <si>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</si>
  <si>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</si>
  <si>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</si>
  <si>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</si>
  <si>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</si>
  <si>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</si>
  <si>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</si>
  <si>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</si>
  <si>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</si>
  <si>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</si>
  <si>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</si>
  <si>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</si>
  <si>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</si>
  <si>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</si>
  <si>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</si>
  <si>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</si>
  <si>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</si>
  <si>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</si>
  <si>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</si>
  <si>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</si>
  <si>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</si>
  <si>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</si>
  <si>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</si>
  <si>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</si>
  <si>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</si>
  <si>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</si>
  <si>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</si>
  <si>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</si>
  <si>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</si>
  <si>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</si>
  <si>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</si>
  <si>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</si>
  <si>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</si>
  <si>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</si>
  <si>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</si>
  <si>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</si>
  <si>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</si>
  <si>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</si>
  <si>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</si>
  <si>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</si>
  <si>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</si>
  <si>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</si>
  <si>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</si>
  <si>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</si>
  <si>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</si>
  <si>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</si>
  <si>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</si>
  <si>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</si>
  <si>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</si>
  <si>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</si>
  <si>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</si>
  <si>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</si>
  <si>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</si>
  <si>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</si>
  <si>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</si>
  <si>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</si>
  <si>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</si>
  <si>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</si>
  <si>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</si>
  <si>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</si>
  <si>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</si>
  <si>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</si>
  <si>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</si>
  <si>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</si>
  <si>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</si>
  <si>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</si>
  <si>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</si>
  <si>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</si>
  <si>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</si>
  <si>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</si>
  <si>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</si>
  <si>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</si>
  <si>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</si>
  <si>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</si>
  <si>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</si>
  <si>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</si>
  <si>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</si>
  <si>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</si>
  <si>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</si>
  <si>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</si>
  <si>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</si>
  <si>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</si>
  <si>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</si>
  <si>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</si>
  <si>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</si>
  <si>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</si>
  <si>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</si>
  <si>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</si>
  <si>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</si>
  <si>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</si>
  <si>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</si>
  <si>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</si>
  <si>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</si>
  <si>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</si>
  <si>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</si>
  <si>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</si>
  <si>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</si>
  <si>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</si>
  <si>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</si>
  <si>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</si>
  <si>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</si>
  <si>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</si>
  <si>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</si>
  <si>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</si>
  <si>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</si>
  <si>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</si>
  <si>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</si>
  <si>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</si>
  <si>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</si>
  <si>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</si>
  <si>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</si>
  <si>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</si>
  <si>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</si>
  <si>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</si>
  <si>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</si>
  <si>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</si>
  <si>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</si>
  <si>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</si>
  <si>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</si>
  <si>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</si>
  <si>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</si>
  <si>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</si>
  <si>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</si>
  <si>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</si>
  <si>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</si>
  <si>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</si>
  <si>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</si>
  <si>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</si>
  <si>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</si>
  <si>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</si>
  <si>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</si>
  <si>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</si>
  <si>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</si>
  <si>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</si>
  <si>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</si>
  <si>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</si>
  <si>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</si>
  <si>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</si>
  <si>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</si>
  <si>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</si>
  <si>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</si>
  <si>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</si>
  <si>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</si>
  <si>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</si>
  <si>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</si>
  <si>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</si>
  <si>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</si>
  <si>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</si>
  <si>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</si>
  <si>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</si>
  <si>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</si>
  <si>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</si>
  <si>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</si>
  <si>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</si>
  <si>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</si>
  <si>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</si>
  <si>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</si>
  <si>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</si>
  <si>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</si>
  <si>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</si>
  <si>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</si>
  <si>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</si>
  <si>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</si>
  <si>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</si>
  <si>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</si>
  <si>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</si>
  <si>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</si>
  <si>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</si>
  <si>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</si>
  <si>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</si>
  <si>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</si>
  <si>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</si>
  <si>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</si>
  <si>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</si>
  <si>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</si>
  <si>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</si>
  <si>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</si>
  <si>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</si>
  <si>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</si>
  <si>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</si>
  <si>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</si>
  <si>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</si>
  <si>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</si>
  <si>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</si>
  <si>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</si>
  <si>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</si>
  <si>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</si>
  <si>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</si>
  <si>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</si>
  <si>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</si>
  <si>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</si>
  <si>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</si>
  <si>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</si>
  <si>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</si>
  <si>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</si>
  <si>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</si>
  <si>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</si>
  <si>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</si>
  <si>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</si>
  <si>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</si>
  <si>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</si>
  <si>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</si>
  <si>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</si>
  <si>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</si>
  <si>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</si>
  <si>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</si>
  <si>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</si>
  <si>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</si>
  <si>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</si>
  <si>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</si>
  <si>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</si>
  <si>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</si>
  <si>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</si>
  <si>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</si>
  <si>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</si>
  <si>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</si>
  <si>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</si>
  <si>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</si>
  <si>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</si>
  <si>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</si>
  <si>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</si>
  <si>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</si>
  <si>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</si>
  <si>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</si>
  <si>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</si>
  <si>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</si>
  <si>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</si>
  <si>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</si>
  <si>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</si>
  <si>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</si>
  <si>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</si>
  <si>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</si>
  <si>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</si>
  <si>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</si>
  <si>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</si>
  <si>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</si>
  <si>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</si>
  <si>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</si>
  <si>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</si>
  <si>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</si>
  <si>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</si>
  <si>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</si>
  <si>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</si>
  <si>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</si>
  <si>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</si>
  <si>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</si>
  <si>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</si>
  <si>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</si>
  <si>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</si>
  <si>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</si>
  <si>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</si>
  <si>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</si>
  <si>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</si>
  <si>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</si>
  <si>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</si>
  <si>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</si>
  <si>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</si>
  <si>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</si>
  <si>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</si>
  <si>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</si>
  <si>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</si>
  <si>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</si>
  <si>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</si>
  <si>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</si>
  <si>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</si>
  <si>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</si>
  <si>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</si>
  <si>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</si>
  <si>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</si>
  <si>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</si>
  <si>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</si>
  <si>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</si>
  <si>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</si>
  <si>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</si>
  <si>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</si>
  <si>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</si>
  <si>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</si>
  <si>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</si>
  <si>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</si>
  <si>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</si>
  <si>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</si>
  <si>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</si>
  <si>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</si>
  <si>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</si>
  <si>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</si>
  <si>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</si>
  <si>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</si>
  <si>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</si>
  <si>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</si>
  <si>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</si>
  <si>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</si>
  <si>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</si>
  <si>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</si>
  <si>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</si>
  <si>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</si>
  <si>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</si>
  <si>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</si>
  <si>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</si>
  <si>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</si>
  <si>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</si>
  <si>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</si>
  <si>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</si>
  <si>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</si>
  <si>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</si>
  <si>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</si>
  <si>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</si>
  <si>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</si>
  <si>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</si>
  <si>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</si>
  <si>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</si>
  <si>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</si>
  <si>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</si>
  <si>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</si>
  <si>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</si>
  <si>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</si>
  <si>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</si>
  <si>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</si>
  <si>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</si>
  <si>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</si>
  <si>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</si>
  <si>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</si>
  <si>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</si>
  <si>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</si>
  <si>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</si>
  <si>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</si>
  <si>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</si>
  <si>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</si>
  <si>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</si>
  <si>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</si>
  <si>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</si>
  <si>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</si>
  <si>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</si>
  <si>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</si>
  <si>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</si>
  <si>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</si>
  <si>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</si>
  <si>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</si>
  <si>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</si>
  <si>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</si>
  <si>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</si>
  <si>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</si>
  <si>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</si>
  <si>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</si>
  <si>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</si>
  <si>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</si>
  <si>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</si>
  <si>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</si>
  <si>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</si>
  <si>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</si>
  <si>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</si>
  <si>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</si>
  <si>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</si>
  <si>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</si>
  <si>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</si>
  <si>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</si>
  <si>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</si>
  <si>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</si>
  <si>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</si>
  <si>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</si>
  <si>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</si>
  <si>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</si>
  <si>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</si>
  <si>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</si>
  <si>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</si>
  <si>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</si>
  <si>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</si>
  <si>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</si>
  <si>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</si>
  <si>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</si>
  <si>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</si>
  <si>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</si>
  <si>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</si>
  <si>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</si>
  <si>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</si>
  <si>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</si>
  <si>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</si>
  <si>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</si>
  <si>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</si>
  <si>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</si>
  <si>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</si>
  <si>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</si>
  <si>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</si>
  <si>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</si>
  <si>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</si>
  <si>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</si>
  <si>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</si>
  <si>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</si>
  <si>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</si>
  <si>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</si>
  <si>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</si>
  <si>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</si>
  <si>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</si>
  <si>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</si>
  <si>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</si>
  <si>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</si>
  <si>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</si>
  <si>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</si>
  <si>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</si>
  <si>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</si>
  <si>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</si>
  <si>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</si>
  <si>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</si>
  <si>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</si>
  <si>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</si>
  <si>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</si>
  <si>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</si>
  <si>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</si>
  <si>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</si>
  <si>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</si>
  <si>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</si>
  <si>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</si>
  <si>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</si>
  <si>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</si>
  <si>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</si>
  <si>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</si>
  <si>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</si>
  <si>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</si>
  <si>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</si>
  <si>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</si>
  <si>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</si>
  <si>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</si>
  <si>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</si>
  <si>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</si>
  <si>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</si>
  <si>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</si>
  <si>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</si>
  <si>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</si>
  <si>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</si>
  <si>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</si>
  <si>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</si>
  <si>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</si>
  <si>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</si>
  <si>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</si>
  <si>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</si>
  <si>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</si>
  <si>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</si>
  <si>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</si>
  <si>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</si>
  <si>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</si>
  <si>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</si>
  <si>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</si>
  <si>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</si>
  <si>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</si>
  <si>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</si>
  <si>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</si>
  <si>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</si>
  <si>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</si>
  <si>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</si>
  <si>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</si>
  <si>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</si>
  <si>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</si>
  <si>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</si>
  <si>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</si>
  <si>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</si>
  <si>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</si>
  <si>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</si>
  <si>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</si>
  <si>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</si>
  <si>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</si>
  <si>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</si>
  <si>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</si>
  <si>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</si>
  <si>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</si>
  <si>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</si>
  <si>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</si>
  <si>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</si>
  <si>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</si>
  <si>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</si>
  <si>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</si>
  <si>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</si>
  <si>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</si>
  <si>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</si>
  <si>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</si>
  <si>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</si>
  <si>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</si>
  <si>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</si>
  <si>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</si>
  <si>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</si>
  <si>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</si>
  <si>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</si>
  <si>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</si>
  <si>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</si>
  <si>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</si>
  <si>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</si>
  <si>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</si>
  <si>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</si>
  <si>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</si>
  <si>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</si>
  <si>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</si>
  <si>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</si>
  <si>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</si>
  <si>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</si>
  <si>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</si>
  <si>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</si>
  <si>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</si>
  <si>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</si>
  <si>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</si>
  <si>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</si>
  <si>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</si>
  <si>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</si>
  <si>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</si>
  <si>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</si>
  <si>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</si>
  <si>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</si>
  <si>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</si>
  <si>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</si>
  <si>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</si>
  <si>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</si>
  <si>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</si>
  <si>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</si>
  <si>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</si>
  <si>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</si>
  <si>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</si>
  <si>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</si>
  <si>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</si>
  <si>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</si>
  <si>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</si>
  <si>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</si>
  <si>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</si>
  <si>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</si>
  <si>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</si>
  <si>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</si>
  <si>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</si>
  <si>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</si>
  <si>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</si>
  <si>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</si>
  <si>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</si>
  <si>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</si>
  <si>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</si>
  <si>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</si>
  <si>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</si>
  <si>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</si>
  <si>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</si>
  <si>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</si>
  <si>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</si>
  <si>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</si>
  <si>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</si>
  <si>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</si>
  <si>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</si>
  <si>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</si>
  <si>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</si>
  <si>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</si>
  <si>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</si>
  <si>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</si>
  <si>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</si>
  <si>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</si>
  <si>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</si>
  <si>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</si>
  <si>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</si>
  <si>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</si>
  <si>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</si>
  <si>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</si>
  <si>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</si>
  <si>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</si>
  <si>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</si>
  <si>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</si>
  <si>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</si>
  <si>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</si>
  <si>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</si>
  <si>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</si>
  <si>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</si>
  <si>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</si>
  <si>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</si>
  <si>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</si>
  <si>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</si>
  <si>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</si>
  <si>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</si>
  <si>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</si>
  <si>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</si>
  <si>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</si>
  <si>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</si>
  <si>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</si>
  <si>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</si>
  <si>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</si>
  <si>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</si>
  <si>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</si>
  <si>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</si>
  <si>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</si>
  <si>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</si>
  <si>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</si>
  <si>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</si>
  <si>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</si>
  <si>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</si>
  <si>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</si>
  <si>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</si>
  <si>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</si>
  <si>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</si>
  <si>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</si>
  <si>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</si>
  <si>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</si>
  <si>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</si>
  <si>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</si>
  <si>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</si>
  <si>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</si>
  <si>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</si>
  <si>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</si>
  <si>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</si>
  <si>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</si>
  <si>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</si>
  <si>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</si>
  <si>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</si>
  <si>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</si>
  <si>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</si>
  <si>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</si>
  <si>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</si>
  <si>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</si>
  <si>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</si>
  <si>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</si>
  <si>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</si>
  <si>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</si>
  <si>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</si>
  <si>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</si>
  <si>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</si>
  <si>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</si>
  <si>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</si>
  <si>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</si>
  <si>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</si>
  <si>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</si>
  <si>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</si>
  <si>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</si>
  <si>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</si>
  <si>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</si>
  <si>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</si>
  <si>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</si>
  <si>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</si>
  <si>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</si>
  <si>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</si>
  <si>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</si>
  <si>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</si>
  <si>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</si>
  <si>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</si>
  <si>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</si>
  <si>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</si>
  <si>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</si>
  <si>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</si>
  <si>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</si>
  <si>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</si>
  <si>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</si>
  <si>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</si>
  <si>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</si>
  <si>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</si>
  <si>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</si>
  <si>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</si>
  <si>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</si>
  <si>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</si>
  <si>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</si>
  <si>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</si>
  <si>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</si>
  <si>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</si>
  <si>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</si>
  <si>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</si>
  <si>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</si>
  <si>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</si>
  <si>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</si>
  <si>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</si>
  <si>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</si>
  <si>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</si>
  <si>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</si>
  <si>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</si>
  <si>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</si>
  <si>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</si>
  <si>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</si>
  <si>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</si>
  <si>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</si>
  <si>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</si>
  <si>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</si>
  <si>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</si>
  <si>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</si>
  <si>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</si>
  <si>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</si>
  <si>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</si>
  <si>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</si>
  <si>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</si>
  <si>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</si>
  <si>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</si>
  <si>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</si>
  <si>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</si>
  <si>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</si>
  <si>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</si>
  <si>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</si>
  <si>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</si>
  <si>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</si>
  <si>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</si>
  <si>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</si>
  <si>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</si>
  <si>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</si>
  <si>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</si>
  <si>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</si>
  <si>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</si>
  <si>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</si>
  <si>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</si>
  <si>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</si>
  <si>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</si>
  <si>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</si>
  <si>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</si>
  <si>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</si>
  <si>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</si>
  <si>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</si>
  <si>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</si>
  <si>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</si>
  <si>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</si>
  <si>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</si>
  <si>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</si>
  <si>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</si>
  <si>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</si>
  <si>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</si>
  <si>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</si>
  <si>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</si>
  <si>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</si>
  <si>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</si>
  <si>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</si>
  <si>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</si>
  <si>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</si>
  <si>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</si>
  <si>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</si>
  <si>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</si>
  <si>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</si>
  <si>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</si>
  <si>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</si>
  <si>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</si>
  <si>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</si>
  <si>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</si>
  <si>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</si>
  <si>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</si>
  <si>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</si>
  <si>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</si>
  <si>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</si>
  <si>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</si>
  <si>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</si>
  <si>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</si>
  <si>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</si>
  <si>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</si>
  <si>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</si>
  <si>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</si>
  <si>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</si>
  <si>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</si>
  <si>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</si>
  <si>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</si>
  <si>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</si>
  <si>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</si>
  <si>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</si>
  <si>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</si>
  <si>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</si>
  <si>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</si>
  <si>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</si>
  <si>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</si>
  <si>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</si>
  <si>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</si>
  <si>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</si>
  <si>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</si>
  <si>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</si>
  <si>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</si>
  <si>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</si>
  <si>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</si>
  <si>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</si>
  <si>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</si>
  <si>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</si>
  <si>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</si>
  <si>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</si>
  <si>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</si>
  <si>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</si>
  <si>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</si>
  <si>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</si>
  <si>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</si>
  <si>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</si>
  <si>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</si>
  <si>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</si>
  <si>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</si>
  <si>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</si>
  <si>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</si>
  <si>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</si>
  <si>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</si>
  <si>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</si>
  <si>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</si>
  <si>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</si>
  <si>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</si>
  <si>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</si>
  <si>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</si>
  <si>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</si>
  <si>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</si>
  <si>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</si>
  <si>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</si>
  <si>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</si>
  <si>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</si>
  <si>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</si>
  <si>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</si>
  <si>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</si>
  <si>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</si>
  <si>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</si>
  <si>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</si>
  <si>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</si>
  <si>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</si>
  <si>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</si>
  <si>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</si>
  <si>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</si>
  <si>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</si>
  <si>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</si>
  <si>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</si>
  <si>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</si>
  <si>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</si>
  <si>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</si>
  <si>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</si>
  <si>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</si>
  <si>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</si>
  <si>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</si>
  <si>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</si>
  <si>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</si>
  <si>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</si>
  <si>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</si>
  <si>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</si>
  <si>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</si>
  <si>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</si>
  <si>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</si>
  <si>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</si>
  <si>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</si>
  <si>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</si>
  <si>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</si>
  <si>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</si>
  <si>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</si>
  <si>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</si>
  <si>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</si>
  <si>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</si>
  <si>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</si>
  <si>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</si>
  <si>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</si>
  <si>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</si>
  <si>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</si>
  <si>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</si>
  <si>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</si>
  <si>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</si>
  <si>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</si>
  <si>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</si>
  <si>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</si>
  <si>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</si>
  <si>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</si>
  <si>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</si>
  <si>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</si>
  <si>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</si>
  <si>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</si>
  <si>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</si>
  <si>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</si>
  <si>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</si>
  <si>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</si>
  <si>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</si>
  <si>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</si>
  <si>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</si>
  <si>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</si>
  <si>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</si>
  <si>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</si>
  <si>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</si>
  <si>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</si>
  <si>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</si>
  <si>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</si>
  <si>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</si>
  <si>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</si>
  <si>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</si>
  <si>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</si>
  <si>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</si>
  <si>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</si>
  <si>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</si>
  <si>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</si>
  <si>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</si>
  <si>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</si>
  <si>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</si>
  <si>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</si>
  <si>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</si>
  <si>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</si>
  <si>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</si>
  <si>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</si>
  <si>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</si>
  <si>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</si>
  <si>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</si>
  <si>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</si>
  <si>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</si>
  <si>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</si>
  <si>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</si>
  <si>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</si>
  <si>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</si>
  <si>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</si>
  <si>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</si>
  <si>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</si>
  <si>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</si>
  <si>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</si>
  <si>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</si>
  <si>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</si>
  <si>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</si>
  <si>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</si>
  <si>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</si>
  <si>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</si>
  <si>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</si>
  <si>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</si>
  <si>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</si>
  <si>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</si>
  <si>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</si>
  <si>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</si>
  <si>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</si>
  <si>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</si>
  <si>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</si>
  <si>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</si>
  <si>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</si>
  <si>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</si>
  <si>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</si>
  <si>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</si>
  <si>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</si>
  <si>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</si>
  <si>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</si>
  <si>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</si>
  <si>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</si>
  <si>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</si>
  <si>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</si>
  <si>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</si>
  <si>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</si>
  <si>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</si>
  <si>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</si>
  <si>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</si>
  <si>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</si>
  <si>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</si>
  <si>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</si>
  <si>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</si>
  <si>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</si>
  <si>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</si>
  <si>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</si>
  <si>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</si>
  <si>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</si>
  <si>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</si>
  <si>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</si>
  <si>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</si>
  <si>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</si>
  <si>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</si>
  <si>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</si>
  <si>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</si>
  <si>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</si>
  <si>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</si>
  <si>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</si>
  <si>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</si>
  <si>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</si>
  <si>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</si>
  <si>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</si>
  <si>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</si>
  <si>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</si>
  <si>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</si>
  <si>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</si>
  <si>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</si>
  <si>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</si>
  <si>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</si>
  <si>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</si>
  <si>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</si>
  <si>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</si>
  <si>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</si>
  <si>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</si>
  <si>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</si>
  <si>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</si>
  <si>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</si>
  <si>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</si>
  <si>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</si>
  <si>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</si>
  <si>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</si>
  <si>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</si>
  <si>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</si>
  <si>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</si>
  <si>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</si>
  <si>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</si>
  <si>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</si>
  <si>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</si>
  <si>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</si>
  <si>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</si>
  <si>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</si>
  <si>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</si>
  <si>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</si>
  <si>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</si>
  <si>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</si>
  <si>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</si>
  <si>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</si>
  <si>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</si>
  <si>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</si>
  <si>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</si>
  <si>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</si>
  <si>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</si>
  <si>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</si>
  <si>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</si>
  <si>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</si>
  <si>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</si>
  <si>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</si>
  <si>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</si>
  <si>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</si>
  <si>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</si>
  <si>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</si>
  <si>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</si>
  <si>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</si>
  <si>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</si>
  <si>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</si>
  <si>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</si>
  <si>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</si>
  <si>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</si>
  <si>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</si>
  <si>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</si>
  <si>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</si>
  <si>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</si>
  <si>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</si>
  <si>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</si>
  <si>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</si>
  <si>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</si>
  <si>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</si>
  <si>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</si>
  <si>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</si>
  <si>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</si>
  <si>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</si>
  <si>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</si>
  <si>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</si>
  <si>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</si>
  <si>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</si>
  <si>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</si>
  <si>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</si>
  <si>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</si>
  <si>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</si>
  <si>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</si>
  <si>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</si>
  <si>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</si>
  <si>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</si>
  <si>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</si>
  <si>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</si>
  <si>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</si>
  <si>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</si>
  <si>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</si>
  <si>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</si>
  <si>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</si>
  <si>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</si>
  <si>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</si>
  <si>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</si>
  <si>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</si>
  <si>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</si>
  <si>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</si>
  <si>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</si>
  <si>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</si>
  <si>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</si>
  <si>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</si>
  <si>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</si>
  <si>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</si>
  <si>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</si>
  <si>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</si>
  <si>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</si>
  <si>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</si>
  <si>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</si>
  <si>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</si>
  <si>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</si>
  <si>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</si>
  <si>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</si>
  <si>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</si>
  <si>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</si>
  <si>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</si>
  <si>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</si>
  <si>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</si>
  <si>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</si>
  <si>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</si>
  <si>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</si>
  <si>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</si>
  <si>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</si>
  <si>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</si>
  <si>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</si>
  <si>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</si>
  <si>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</si>
  <si>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</si>
  <si>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</si>
  <si>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</si>
  <si>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</si>
  <si>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</si>
  <si>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</si>
  <si>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</si>
  <si>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</si>
  <si>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</si>
  <si>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</si>
  <si>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</si>
  <si>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</si>
  <si>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</si>
  <si>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</si>
  <si>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</si>
  <si>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</si>
  <si>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</si>
  <si>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</si>
  <si>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</si>
  <si>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</si>
  <si>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</si>
  <si>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</si>
  <si>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</si>
  <si>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</si>
  <si>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</si>
  <si>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</si>
  <si>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</si>
  <si>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</si>
  <si>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</si>
  <si>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</si>
  <si>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</si>
  <si>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</si>
  <si>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</si>
  <si>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</si>
  <si>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</si>
  <si>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</si>
  <si>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</si>
  <si>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</si>
  <si>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</si>
  <si>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</si>
  <si>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</si>
  <si>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</si>
  <si>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</si>
  <si>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</si>
  <si>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</si>
  <si>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</si>
  <si>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</si>
  <si>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</si>
  <si>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</si>
  <si>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</si>
  <si>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</si>
  <si>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</si>
  <si>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</si>
  <si>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</si>
  <si>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</si>
  <si>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</si>
  <si>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</si>
  <si>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</si>
  <si>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</si>
  <si>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</si>
  <si>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</si>
  <si>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</si>
  <si>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</si>
  <si>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</si>
  <si>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</si>
  <si>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</si>
  <si>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</si>
  <si>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</si>
  <si>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</si>
  <si>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</si>
  <si>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</si>
  <si>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</si>
  <si>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</si>
  <si>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</si>
  <si>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</si>
  <si>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</si>
  <si>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</si>
  <si>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</si>
  <si>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</si>
  <si>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</si>
  <si>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</si>
  <si>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</si>
  <si>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</si>
  <si>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</si>
  <si>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</si>
  <si>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</si>
  <si>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</si>
  <si>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</si>
  <si>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</si>
  <si>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</si>
  <si>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</si>
  <si>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</si>
  <si>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</si>
  <si>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</si>
  <si>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</si>
  <si>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</si>
  <si>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</si>
  <si>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</si>
  <si>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</si>
  <si>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</si>
  <si>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</si>
  <si>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</si>
  <si>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</si>
  <si>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</si>
  <si>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</si>
  <si>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</si>
  <si>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</si>
  <si>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</si>
  <si>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</si>
  <si>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</si>
  <si>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</si>
  <si>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</si>
  <si>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</si>
  <si>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</si>
  <si>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</si>
  <si>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</si>
  <si>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</si>
  <si>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</si>
  <si>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</si>
  <si>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</si>
  <si>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</si>
  <si>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</si>
  <si>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</si>
  <si>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</si>
  <si>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</si>
  <si>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</si>
  <si>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</si>
  <si>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</si>
  <si>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</si>
  <si>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</si>
  <si>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</si>
  <si>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</si>
  <si>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</si>
  <si>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</si>
  <si>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</si>
  <si>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</si>
  <si>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</si>
  <si>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</si>
  <si>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</si>
  <si>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</si>
  <si>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</si>
  <si>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</si>
  <si>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</si>
  <si>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</si>
  <si>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</si>
  <si>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</si>
  <si>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</si>
  <si>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</si>
  <si>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</si>
  <si>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</si>
  <si>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</si>
  <si>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</si>
  <si>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</si>
  <si>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</si>
  <si>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</si>
  <si>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</si>
  <si>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</si>
  <si>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</si>
  <si>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</si>
  <si>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</si>
  <si>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</si>
  <si>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</si>
  <si>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</si>
  <si>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</si>
  <si>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</si>
  <si>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</si>
  <si>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</si>
  <si>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</si>
  <si>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</si>
  <si>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</si>
  <si>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</si>
  <si>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</si>
  <si>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</si>
  <si>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</si>
  <si>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</si>
  <si>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</si>
  <si>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</si>
  <si>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</si>
  <si>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</si>
  <si>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</si>
  <si>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</si>
  <si>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</si>
  <si>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</si>
  <si>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</si>
  <si>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</si>
  <si>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</si>
  <si>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</si>
  <si>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</si>
  <si>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</si>
  <si>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</si>
  <si>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</si>
  <si>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</si>
  <si>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</si>
  <si>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</si>
  <si>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</si>
  <si>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</si>
  <si>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</si>
  <si>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</si>
  <si>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</si>
  <si>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</si>
  <si>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</si>
  <si>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</si>
  <si>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</si>
  <si>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</si>
  <si>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</si>
  <si>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</si>
  <si>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</si>
  <si>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</si>
  <si>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</si>
  <si>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</si>
  <si>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</si>
  <si>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</si>
  <si>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</si>
  <si>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</si>
  <si>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</si>
  <si>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</si>
  <si>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</si>
  <si>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</si>
  <si>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</si>
  <si>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</si>
  <si>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</si>
  <si>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</si>
  <si>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</si>
  <si>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</si>
  <si>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</si>
  <si>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</si>
  <si>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</si>
  <si>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</si>
  <si>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</si>
  <si>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</si>
  <si>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</si>
  <si>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</si>
  <si>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</si>
  <si>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</si>
  <si>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</si>
  <si>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</si>
  <si>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</si>
  <si>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</si>
  <si>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</si>
  <si>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</si>
  <si>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</si>
  <si>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</si>
  <si>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</si>
  <si>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</si>
  <si>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</si>
  <si>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</si>
  <si>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</si>
  <si>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</si>
  <si>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</si>
  <si>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</si>
  <si>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</si>
  <si>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</si>
  <si>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</si>
  <si>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</si>
  <si>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</si>
  <si>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</si>
  <si>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</si>
  <si>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</si>
  <si>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</si>
  <si>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</si>
  <si>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</si>
  <si>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</si>
  <si>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</si>
  <si>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</si>
  <si>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</si>
  <si>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</si>
  <si>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</si>
  <si>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</si>
  <si>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</si>
  <si>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</si>
  <si>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</si>
  <si>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</si>
  <si>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</si>
  <si>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</si>
  <si>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</si>
  <si>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</si>
  <si>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</si>
  <si>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</si>
  <si>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</si>
  <si>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</si>
  <si>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</si>
  <si>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</si>
  <si>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</si>
  <si>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</si>
  <si>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</si>
  <si>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</si>
  <si>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</si>
  <si>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</si>
  <si>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</si>
  <si>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</si>
  <si>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</si>
  <si>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</si>
  <si>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</si>
  <si>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</si>
  <si>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</si>
  <si>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</si>
  <si>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</si>
  <si>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</si>
  <si>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</si>
  <si>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</si>
  <si>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</si>
  <si>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</si>
  <si>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</si>
  <si>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</si>
  <si>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</si>
  <si>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</si>
  <si>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</si>
  <si>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</si>
  <si>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</si>
  <si>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</si>
  <si>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</si>
  <si>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</si>
  <si>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</si>
  <si>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</si>
  <si>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</si>
  <si>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</si>
  <si>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</si>
  <si>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</si>
  <si>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</si>
  <si>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</si>
  <si>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</si>
  <si>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</si>
  <si>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</si>
  <si>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</si>
  <si>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</si>
  <si>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</si>
  <si>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</si>
  <si>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</si>
  <si>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</si>
  <si>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</si>
  <si>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</si>
  <si>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</si>
  <si>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</si>
  <si>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</si>
  <si>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</si>
  <si>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</si>
  <si>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</si>
  <si>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</si>
  <si>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</si>
  <si>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</si>
  <si>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</si>
  <si>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</si>
  <si>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</si>
  <si>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</si>
  <si>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</si>
  <si>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</si>
  <si>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</si>
  <si>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</si>
  <si>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</si>
  <si>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</si>
  <si>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</si>
  <si>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</si>
  <si>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</si>
  <si>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</si>
  <si>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</si>
  <si>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</si>
  <si>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</si>
  <si>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</si>
  <si>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</si>
  <si>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</si>
  <si>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</si>
  <si>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</si>
  <si>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</si>
  <si>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</si>
  <si>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</si>
  <si>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</si>
  <si>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</si>
  <si>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</si>
  <si>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</si>
  <si>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</si>
  <si>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</si>
  <si>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</si>
  <si>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</si>
  <si>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</si>
  <si>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</si>
  <si>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</si>
  <si>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</si>
  <si>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</si>
  <si>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</si>
  <si>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</si>
  <si>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</si>
  <si>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</si>
  <si>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</si>
  <si>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</si>
  <si>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</si>
  <si>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</si>
  <si>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</si>
  <si>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</si>
  <si>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</si>
  <si>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</si>
  <si>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</si>
  <si>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</si>
  <si>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</si>
  <si>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</si>
  <si>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</si>
  <si>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</si>
  <si>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</si>
  <si>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</si>
  <si>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</si>
  <si>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</si>
  <si>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</si>
  <si>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</si>
  <si>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</si>
  <si>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</si>
  <si>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</si>
  <si>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</si>
  <si>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</si>
  <si>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</si>
  <si>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</si>
  <si>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</si>
  <si>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</si>
  <si>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</si>
  <si>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</si>
  <si>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</si>
  <si>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</si>
  <si>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</si>
  <si>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</si>
  <si>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</si>
  <si>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</si>
  <si>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</si>
  <si>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</si>
  <si>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</si>
  <si>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</si>
  <si>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</si>
  <si>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</si>
  <si>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</si>
  <si>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</si>
  <si>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</si>
  <si>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</si>
  <si>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</si>
  <si>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</si>
  <si>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</si>
  <si>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</si>
  <si>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</si>
  <si>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</si>
  <si>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</si>
  <si>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</si>
  <si>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</si>
  <si>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</si>
  <si>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</si>
  <si>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</si>
  <si>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</si>
  <si>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</si>
  <si>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</si>
  <si>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</si>
  <si>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</si>
  <si>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</si>
  <si>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</si>
  <si>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</si>
  <si>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</si>
  <si>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</si>
  <si>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</si>
  <si>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</si>
  <si>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</si>
  <si>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</si>
  <si>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</si>
  <si>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</si>
  <si>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</si>
  <si>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</si>
  <si>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</si>
  <si>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</si>
  <si>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</si>
  <si>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</si>
  <si>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</si>
  <si>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</si>
  <si>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</si>
  <si>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</si>
  <si>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</si>
  <si>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</si>
  <si>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</si>
  <si>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</si>
  <si>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</si>
  <si>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</si>
  <si>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</si>
  <si>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</si>
  <si>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</si>
  <si>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</si>
  <si>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</si>
  <si>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</si>
  <si>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</si>
  <si>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</si>
  <si>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</si>
  <si>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</si>
  <si>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</si>
  <si>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</si>
  <si>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</si>
  <si>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</si>
  <si>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</si>
  <si>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</si>
  <si>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</si>
  <si>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</si>
  <si>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</si>
  <si>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</si>
  <si>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</si>
  <si>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</si>
  <si>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</si>
  <si>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</si>
  <si>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</si>
  <si>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</si>
  <si>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</si>
  <si>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</si>
  <si>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</si>
  <si>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</si>
  <si>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</si>
  <si>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</si>
  <si>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</si>
  <si>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</si>
  <si>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</si>
  <si>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</si>
  <si>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</si>
  <si>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</si>
  <si>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</si>
  <si>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</si>
  <si>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</si>
  <si>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</si>
  <si>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</si>
  <si>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</si>
  <si>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</si>
  <si>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</si>
  <si>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</si>
  <si>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</si>
  <si>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</si>
  <si>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</si>
  <si>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</si>
  <si>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</si>
  <si>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</si>
  <si>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</si>
  <si>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</si>
  <si>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</si>
  <si>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</si>
  <si>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</si>
  <si>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</si>
  <si>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</si>
  <si>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</si>
  <si>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</si>
  <si>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</si>
  <si>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</si>
  <si>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</si>
  <si>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</si>
  <si>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</si>
  <si>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</si>
  <si>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</si>
  <si>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</si>
  <si>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</si>
  <si>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</si>
  <si>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</si>
  <si>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</si>
  <si>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</si>
  <si>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</si>
  <si>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</si>
  <si>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</si>
  <si>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</si>
  <si>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</si>
  <si>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</si>
  <si>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</si>
  <si>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</si>
  <si>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</si>
  <si>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</si>
  <si>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</si>
  <si>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</si>
  <si>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</si>
  <si>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</si>
  <si>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</si>
  <si>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</si>
  <si>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</si>
  <si>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</si>
  <si>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</si>
  <si>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</si>
  <si>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</si>
  <si>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</si>
  <si>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</si>
  <si>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</si>
  <si>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</si>
  <si>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</si>
  <si>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</si>
  <si>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</si>
  <si>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</si>
  <si>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</si>
  <si>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</si>
  <si>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</si>
  <si>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</si>
  <si>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</si>
  <si>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</si>
  <si>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</si>
  <si>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</si>
  <si>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</si>
  <si>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</si>
  <si>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</si>
  <si>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</si>
  <si>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</si>
  <si>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</si>
  <si>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</si>
  <si>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</si>
  <si>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</si>
  <si>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</si>
  <si>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</si>
  <si>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</si>
  <si>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</si>
  <si>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</si>
  <si>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</si>
  <si>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</si>
  <si>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</si>
  <si>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</si>
  <si>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</si>
  <si>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</si>
  <si>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</si>
  <si>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</si>
  <si>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</si>
  <si>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</si>
  <si>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</si>
  <si>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</si>
  <si>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</si>
  <si>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</si>
  <si>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</si>
  <si>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</si>
  <si>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</si>
  <si>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</si>
  <si>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</si>
  <si>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</si>
  <si>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</si>
  <si>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</si>
  <si>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</si>
  <si>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</si>
  <si>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</si>
  <si>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</si>
  <si>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</si>
  <si>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</si>
  <si>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</si>
  <si>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</si>
  <si>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</si>
  <si>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</si>
  <si>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</si>
  <si>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</si>
  <si>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</si>
  <si>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</si>
  <si>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</si>
  <si>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</si>
  <si>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</si>
  <si>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</si>
  <si>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</si>
  <si>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</si>
  <si>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</si>
  <si>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</si>
  <si>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</si>
  <si>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</si>
  <si>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</si>
  <si>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</si>
  <si>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</si>
  <si>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</si>
  <si>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</si>
  <si>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</si>
  <si>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</si>
  <si>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</si>
  <si>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</si>
  <si>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</si>
  <si>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</si>
  <si>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</si>
  <si>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</si>
  <si>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</si>
  <si>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</si>
  <si>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</si>
  <si>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</si>
  <si>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</si>
  <si>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</si>
  <si>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</si>
  <si>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</si>
  <si>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</si>
  <si>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</si>
  <si>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</si>
  <si>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</si>
  <si>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</si>
  <si>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</si>
  <si>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</si>
  <si>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</si>
  <si>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</si>
  <si>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</si>
  <si>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</si>
  <si>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</si>
  <si>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</si>
  <si>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</si>
  <si>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</si>
  <si>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</si>
  <si>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</si>
  <si>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</si>
  <si>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</si>
  <si>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</si>
  <si>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</si>
  <si>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</si>
  <si>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</si>
  <si>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</si>
  <si>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</si>
  <si>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</si>
  <si>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</si>
  <si>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</si>
  <si>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</si>
  <si>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</si>
  <si>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</si>
  <si>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</si>
  <si>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</si>
  <si>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</si>
  <si>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</si>
  <si>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</si>
  <si>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</si>
  <si>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</si>
  <si>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</si>
  <si>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</si>
  <si>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</si>
  <si>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</si>
  <si>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</si>
  <si>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</si>
  <si>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</si>
  <si>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</si>
  <si>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</si>
  <si>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</si>
  <si>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</si>
  <si>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</si>
  <si>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</si>
  <si>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</si>
  <si>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</si>
  <si>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</si>
  <si>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</si>
  <si>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</si>
  <si>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</si>
  <si>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</si>
  <si>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</si>
  <si>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</si>
  <si>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</si>
  <si>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</si>
  <si>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</si>
  <si>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</si>
  <si>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</si>
  <si>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</si>
  <si>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</si>
  <si>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</si>
  <si>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</si>
  <si>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</si>
  <si>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</si>
  <si>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</si>
  <si>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</si>
  <si>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</si>
  <si>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</si>
  <si>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</si>
  <si>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</si>
  <si>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</si>
  <si>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</si>
  <si>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</si>
  <si>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</si>
  <si>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</si>
  <si>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</si>
  <si>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</si>
  <si>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</si>
  <si>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</si>
  <si>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</si>
  <si>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</si>
  <si>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</si>
  <si>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</si>
  <si>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</si>
  <si>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</si>
  <si>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</si>
  <si>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</si>
  <si>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</si>
  <si>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</si>
  <si>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</si>
  <si>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</si>
  <si>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</si>
  <si>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</si>
  <si>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</si>
  <si>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</si>
  <si>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</si>
  <si>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</si>
  <si>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</si>
  <si>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</si>
  <si>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</si>
  <si>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</si>
  <si>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</si>
  <si>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</si>
  <si>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</si>
  <si>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</si>
  <si>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</si>
  <si>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</si>
  <si>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</si>
  <si>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</si>
  <si>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</si>
  <si>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</si>
  <si>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</si>
  <si>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</si>
  <si>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</si>
  <si>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</si>
  <si>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</si>
  <si>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</si>
  <si>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</si>
  <si>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</si>
  <si>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</si>
  <si>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</si>
  <si>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</si>
  <si>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</si>
  <si>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</si>
  <si>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</si>
  <si>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</si>
  <si>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</si>
  <si>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</si>
  <si>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</si>
  <si>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</si>
  <si>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</si>
  <si>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</si>
  <si>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</si>
  <si>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</si>
  <si>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</si>
  <si>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</si>
  <si>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</si>
  <si>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</si>
  <si>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</si>
  <si>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</si>
  <si>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</si>
  <si>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</si>
  <si>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</si>
  <si>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</si>
  <si>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</si>
  <si>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</si>
  <si>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</si>
  <si>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</si>
  <si>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</si>
  <si>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</si>
  <si>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</si>
  <si>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</si>
  <si>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</si>
  <si>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</si>
  <si>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</si>
  <si>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</si>
  <si>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</si>
  <si>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</si>
  <si>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</si>
  <si>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</si>
  <si>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</si>
  <si>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</si>
  <si>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</si>
  <si>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</si>
  <si>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</si>
  <si>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</si>
  <si>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</si>
  <si>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</si>
  <si>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</si>
  <si>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</si>
  <si>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</si>
  <si>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</si>
  <si>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</si>
  <si>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</si>
  <si>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</si>
  <si>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</si>
  <si>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</si>
  <si>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</si>
  <si>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</si>
  <si>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</si>
  <si>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</si>
  <si>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</si>
  <si>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</si>
  <si>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</si>
  <si>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</si>
  <si>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</si>
  <si>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</si>
  <si>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</si>
  <si>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</si>
  <si>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</si>
  <si>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</si>
  <si>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</si>
  <si>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</si>
  <si>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</si>
  <si>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</si>
  <si>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</si>
  <si>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</si>
  <si>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</si>
  <si>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</si>
  <si>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</si>
  <si>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</si>
  <si>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</si>
  <si>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</si>
  <si>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</si>
  <si>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</si>
  <si>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</si>
  <si>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</si>
  <si>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</si>
  <si>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</si>
  <si>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</si>
  <si>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</si>
  <si>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</si>
  <si>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</si>
  <si>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</si>
  <si>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</si>
  <si>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</si>
  <si>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</si>
  <si>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</si>
  <si>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</si>
  <si>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</si>
  <si>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</si>
  <si>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</si>
  <si>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</si>
  <si>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</si>
  <si>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</si>
  <si>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</si>
  <si>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</si>
  <si>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</si>
  <si>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</si>
  <si>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</si>
  <si>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</si>
  <si>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</si>
  <si>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</si>
  <si>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</si>
  <si>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</si>
  <si>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</si>
  <si>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</si>
  <si>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</si>
  <si>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</si>
  <si>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</si>
  <si>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</si>
  <si>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</si>
  <si>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</si>
  <si>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</si>
  <si>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</si>
  <si>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</si>
  <si>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</si>
  <si>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</si>
  <si>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</si>
  <si>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</si>
  <si>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</si>
  <si>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</si>
  <si>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</si>
  <si>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</si>
  <si>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</si>
  <si>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</si>
  <si>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</si>
  <si>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</si>
  <si>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</si>
  <si>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</si>
  <si>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</si>
  <si>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</si>
  <si>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</si>
  <si>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</si>
  <si>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</si>
  <si>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</si>
  <si>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</si>
  <si>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</si>
  <si>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</si>
  <si>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</si>
  <si>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</si>
  <si>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</si>
  <si>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</si>
  <si>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</si>
  <si>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</si>
  <si>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</si>
  <si>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</si>
  <si>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</si>
  <si>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</si>
  <si>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</si>
  <si>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</si>
  <si>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</si>
  <si>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</si>
  <si>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</si>
  <si>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</si>
  <si>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</si>
  <si>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</si>
  <si>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</si>
  <si>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</si>
  <si>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</si>
  <si>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</si>
  <si>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</si>
  <si>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</si>
  <si>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</si>
  <si>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</si>
  <si>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</si>
  <si>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</si>
  <si>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</si>
  <si>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</si>
  <si>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</si>
  <si>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</si>
  <si>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</si>
  <si>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</si>
  <si>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</si>
  <si>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</si>
  <si>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</si>
  <si>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</si>
  <si>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</si>
  <si>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</si>
  <si>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</si>
  <si>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</si>
  <si>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</si>
  <si>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</si>
  <si>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</si>
  <si>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</si>
  <si>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</si>
  <si>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</si>
  <si>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</si>
  <si>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</si>
  <si>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</si>
  <si>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</si>
  <si>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</si>
  <si>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</si>
  <si>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</si>
  <si>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</si>
  <si>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</si>
  <si>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</si>
  <si>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</si>
  <si>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</si>
  <si>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</si>
  <si>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</si>
  <si>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</si>
  <si>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</si>
  <si>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</si>
  <si>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</si>
  <si>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</si>
  <si>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</si>
  <si>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</si>
  <si>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</si>
  <si>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</si>
  <si>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</si>
  <si>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</si>
  <si>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</si>
  <si>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</si>
  <si>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</si>
  <si>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</si>
  <si>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</si>
  <si>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</si>
  <si>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</si>
  <si>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</si>
  <si>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</si>
  <si>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</si>
  <si>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</si>
  <si>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</si>
  <si>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</si>
  <si>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</si>
  <si>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</si>
  <si>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</si>
  <si>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</si>
  <si>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</si>
  <si>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</si>
  <si>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</si>
  <si>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</si>
  <si>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</si>
  <si>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</si>
  <si>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</si>
  <si>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</si>
  <si>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</si>
  <si>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</si>
  <si>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</si>
  <si>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</si>
  <si>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</si>
  <si>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</si>
  <si>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</si>
  <si>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</si>
  <si>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</si>
  <si>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</si>
  <si>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</si>
  <si>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</si>
  <si>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</si>
  <si>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</si>
  <si>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</si>
  <si>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</si>
  <si>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</si>
  <si>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</si>
  <si>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</si>
  <si>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</si>
  <si>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</si>
  <si>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</si>
  <si>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</si>
  <si>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</si>
  <si>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</si>
  <si>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</si>
  <si>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</si>
  <si>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</si>
  <si>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</si>
  <si>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</si>
  <si>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</si>
  <si>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</si>
  <si>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</si>
  <si>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</si>
  <si>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</si>
  <si>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</si>
  <si>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</si>
  <si>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</si>
  <si>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</si>
  <si>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</si>
  <si>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</si>
  <si>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</si>
  <si>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</si>
  <si>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</si>
  <si>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</si>
  <si>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</si>
  <si>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</si>
  <si>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</si>
  <si>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</si>
  <si>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</si>
  <si>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</si>
  <si>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</si>
  <si>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</si>
  <si>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</si>
  <si>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</si>
  <si>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</si>
  <si>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</si>
  <si>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</si>
  <si>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</si>
  <si>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</si>
  <si>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</si>
  <si>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</si>
  <si>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</si>
  <si>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</si>
  <si>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</si>
  <si>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</si>
  <si>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</si>
  <si>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</si>
  <si>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</si>
  <si>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</si>
  <si>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</si>
  <si>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</si>
  <si>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</si>
  <si>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</si>
  <si>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</si>
  <si>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</si>
  <si>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</si>
  <si>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</si>
  <si>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</si>
  <si>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</si>
  <si>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</si>
  <si>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</si>
  <si>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</si>
  <si>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</si>
  <si>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</si>
  <si>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</si>
  <si>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</si>
  <si>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</si>
  <si>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</si>
  <si>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</si>
  <si>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</si>
  <si>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</si>
  <si>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</si>
  <si>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</si>
  <si>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</si>
  <si>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</si>
  <si>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</si>
  <si>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</si>
  <si>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</si>
  <si>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</si>
  <si>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</si>
  <si>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</si>
  <si>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</si>
  <si>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</si>
  <si>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</si>
  <si>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</si>
  <si>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</si>
  <si>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</si>
  <si>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</si>
  <si>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</si>
  <si>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</si>
  <si>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</si>
  <si>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</si>
  <si>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</si>
  <si>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</si>
  <si>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</si>
  <si>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</si>
  <si>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</si>
  <si>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</si>
  <si>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</si>
  <si>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</si>
  <si>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</si>
  <si>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</si>
  <si>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</si>
  <si>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</si>
  <si>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</si>
  <si>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</si>
  <si>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</si>
  <si>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</si>
  <si>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</si>
  <si>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</si>
  <si>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</si>
  <si>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</si>
  <si>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</si>
  <si>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</si>
  <si>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</si>
  <si>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</si>
  <si>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</si>
  <si>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</si>
  <si>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</si>
  <si>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</si>
  <si>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</si>
  <si>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</si>
  <si>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</si>
  <si>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</si>
  <si>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</si>
  <si>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</si>
  <si>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</si>
  <si>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</si>
  <si>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</si>
  <si>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</si>
  <si>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</si>
  <si>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</si>
  <si>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</si>
  <si>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</si>
  <si>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</si>
  <si>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</si>
  <si>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</si>
  <si>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</si>
  <si>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</si>
  <si>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</si>
  <si>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</si>
  <si>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</si>
  <si>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</si>
  <si>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</si>
  <si>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</si>
  <si>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</si>
  <si>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</si>
  <si>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</si>
  <si>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</si>
  <si>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</si>
  <si>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</si>
  <si>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</si>
  <si>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</si>
  <si>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</si>
  <si>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</si>
  <si>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</si>
  <si>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</si>
  <si>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</si>
  <si>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</si>
  <si>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</si>
  <si>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</si>
  <si>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</si>
  <si>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</si>
  <si>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</si>
  <si>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</si>
  <si>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</si>
  <si>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</si>
  <si>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</si>
  <si>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</si>
  <si>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</si>
  <si>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</si>
  <si>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</si>
  <si>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</si>
  <si>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</si>
  <si>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</si>
  <si>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</si>
  <si>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</si>
  <si>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</si>
  <si>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</si>
  <si>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</si>
  <si>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</si>
  <si>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</si>
  <si>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</si>
  <si>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</si>
  <si>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</si>
  <si>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</si>
  <si>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</si>
  <si>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</si>
  <si>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</si>
  <si>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</si>
  <si>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</si>
  <si>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</si>
  <si>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</si>
  <si>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</si>
  <si>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</si>
  <si>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</si>
  <si>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</si>
  <si>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</si>
  <si>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</si>
  <si>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</si>
  <si>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</si>
  <si>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</si>
  <si>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</si>
  <si>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</si>
  <si>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</si>
  <si>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</si>
  <si>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</si>
  <si>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</si>
  <si>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</si>
  <si>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</si>
  <si>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</si>
  <si>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</si>
  <si>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</si>
  <si>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</si>
  <si>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</si>
  <si>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</si>
  <si>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</si>
  <si>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</si>
  <si>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</si>
  <si>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</si>
  <si>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</si>
  <si>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</si>
  <si>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</si>
  <si>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</si>
  <si>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</si>
  <si>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</si>
  <si>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</si>
  <si>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</si>
  <si>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</si>
  <si>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</si>
  <si>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</si>
  <si>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</si>
  <si>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</si>
  <si>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</si>
  <si>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</si>
  <si>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</si>
  <si>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</si>
  <si>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</si>
  <si>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</si>
  <si>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</si>
  <si>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</si>
  <si>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</si>
  <si>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</si>
  <si>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</si>
  <si>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</si>
  <si>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</si>
  <si>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</si>
  <si>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</si>
  <si>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</si>
  <si>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</si>
  <si>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</si>
  <si>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</si>
  <si>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</si>
  <si>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</si>
  <si>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</si>
  <si>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</si>
  <si>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</si>
  <si>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</si>
  <si>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</si>
  <si>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</si>
  <si>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</si>
  <si>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</si>
  <si>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</si>
  <si>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</si>
  <si>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</si>
  <si>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</si>
  <si>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</si>
  <si>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</si>
  <si>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</si>
  <si>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</si>
  <si>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</si>
  <si>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</si>
  <si>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</si>
  <si>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</si>
  <si>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</si>
  <si>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</si>
  <si>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</si>
  <si>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</si>
  <si>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</si>
  <si>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</si>
  <si>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</si>
  <si>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</si>
  <si>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</si>
  <si>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</si>
  <si>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</si>
  <si>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</si>
  <si>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</si>
  <si>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</si>
  <si>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</si>
  <si>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</si>
  <si>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</si>
  <si>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</si>
  <si>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</si>
  <si>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</si>
  <si>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</si>
  <si>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</si>
  <si>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</si>
  <si>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</si>
  <si>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</si>
  <si>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</si>
  <si>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</si>
  <si>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</si>
  <si>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</si>
  <si>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</si>
  <si>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</si>
  <si>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</si>
  <si>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</si>
  <si>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</si>
  <si>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</si>
  <si>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</si>
  <si>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</si>
  <si>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</si>
  <si>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</si>
  <si>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</si>
  <si>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</si>
  <si>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</si>
  <si>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</si>
  <si>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</si>
  <si>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</si>
  <si>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</si>
  <si>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</si>
  <si>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</si>
  <si>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</si>
  <si>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</si>
  <si>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</si>
  <si>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</si>
  <si>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</si>
  <si>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</si>
  <si>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</si>
  <si>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</si>
  <si>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</si>
  <si>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</si>
  <si>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</si>
  <si>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</si>
  <si>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</si>
  <si>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</si>
  <si>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</si>
  <si>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</si>
  <si>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</si>
  <si>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</si>
  <si>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</si>
  <si>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</si>
  <si>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</si>
  <si>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</si>
  <si>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</si>
  <si>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</si>
  <si>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</si>
  <si>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</si>
  <si>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</si>
  <si>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</si>
  <si>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</si>
  <si>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</si>
  <si>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</si>
  <si>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</si>
  <si>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</si>
  <si>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</si>
  <si>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</si>
  <si>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</si>
  <si>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</si>
  <si>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</si>
  <si>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</si>
  <si>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</si>
  <si>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</si>
  <si>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</si>
  <si>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</si>
  <si>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</si>
  <si>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</si>
  <si>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</si>
  <si>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</si>
  <si>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</si>
  <si>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</si>
  <si>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</si>
  <si>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</si>
  <si>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</si>
  <si>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</si>
  <si>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</si>
  <si>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</si>
  <si>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</si>
  <si>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</si>
  <si>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</si>
  <si>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</si>
  <si>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</si>
  <si>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</si>
  <si>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</si>
  <si>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</si>
  <si>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</si>
  <si>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</si>
  <si>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</si>
  <si>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</si>
  <si>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</si>
  <si>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</si>
  <si>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</si>
  <si>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</si>
  <si>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</si>
  <si>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</si>
  <si>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</si>
  <si>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</si>
  <si>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</si>
  <si>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</si>
  <si>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</si>
  <si>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</si>
  <si>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</si>
  <si>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</si>
  <si>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</si>
  <si>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</si>
  <si>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</si>
  <si>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</si>
  <si>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</si>
  <si>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</si>
  <si>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</si>
  <si>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</si>
  <si>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</si>
  <si>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</si>
  <si>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</si>
  <si>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</si>
  <si>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</si>
  <si>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</si>
  <si>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</si>
  <si>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</si>
  <si>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</si>
  <si>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</si>
  <si>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</si>
  <si>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</si>
  <si>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</si>
  <si>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</si>
  <si>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</si>
  <si>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</si>
  <si>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</si>
  <si>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</si>
  <si>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</si>
  <si>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</si>
  <si>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</si>
  <si>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</si>
  <si>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</si>
  <si>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</si>
  <si>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</si>
  <si>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</si>
  <si>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</si>
  <si>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</si>
  <si>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</si>
  <si>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</si>
  <si>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</si>
  <si>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</si>
  <si>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</si>
  <si>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</si>
  <si>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</si>
  <si>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</si>
  <si>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</si>
  <si>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</si>
  <si>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</si>
  <si>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</si>
  <si>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</si>
  <si>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</si>
  <si>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</si>
  <si>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</si>
  <si>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</si>
  <si>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</si>
  <si>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</si>
  <si>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</si>
  <si>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</si>
  <si>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</si>
  <si>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</si>
  <si>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</si>
  <si>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</si>
  <si>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</si>
  <si>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</si>
  <si>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</si>
  <si>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</si>
  <si>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</si>
  <si>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</si>
  <si>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</si>
  <si>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</si>
  <si>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</si>
  <si>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</si>
  <si>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</si>
  <si>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</si>
  <si>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</si>
  <si>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</si>
  <si>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</si>
  <si>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</si>
  <si>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</si>
  <si>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</si>
  <si>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</si>
  <si>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</si>
  <si>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</si>
  <si>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</si>
  <si>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</si>
  <si>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</si>
  <si>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</si>
  <si>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</si>
  <si>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</si>
  <si>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</si>
  <si>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</si>
  <si>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</si>
  <si>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</si>
  <si>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</si>
  <si>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</si>
  <si>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</si>
  <si>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</si>
  <si>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</si>
  <si>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</si>
  <si>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</si>
  <si>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</si>
  <si>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</si>
  <si>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</si>
  <si>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</si>
  <si>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</si>
  <si>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</si>
  <si>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</si>
  <si>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</si>
  <si>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</si>
  <si>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</si>
  <si>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</si>
  <si>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</si>
  <si>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</si>
  <si>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</si>
  <si>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</si>
  <si>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</si>
  <si>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</si>
  <si>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</si>
  <si>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</si>
  <si>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</si>
  <si>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</si>
  <si>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</si>
  <si>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</si>
  <si>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</si>
  <si>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</si>
  <si>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</si>
  <si>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</si>
  <si>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</si>
  <si>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</si>
  <si>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</si>
  <si>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</si>
  <si>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</si>
  <si>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</si>
  <si>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</si>
  <si>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</si>
  <si>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</si>
  <si>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</si>
  <si>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</si>
  <si>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</si>
  <si>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</si>
  <si>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</si>
  <si>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</si>
  <si>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</si>
  <si>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</si>
  <si>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</si>
  <si>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</si>
  <si>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</si>
  <si>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</si>
  <si>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</si>
  <si>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</si>
  <si>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</si>
  <si>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</si>
  <si>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</si>
  <si>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</si>
  <si>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</si>
  <si>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</si>
  <si>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</si>
  <si>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</si>
  <si>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</si>
  <si>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</si>
  <si>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</si>
  <si>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</si>
  <si>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</si>
  <si>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</si>
  <si>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</si>
  <si>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</si>
  <si>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</si>
  <si>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</si>
  <si>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</si>
  <si>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</si>
  <si>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</si>
  <si>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</si>
  <si>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</si>
  <si>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</si>
  <si>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</si>
  <si>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</si>
  <si>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</si>
  <si>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</si>
  <si>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</si>
  <si>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</si>
  <si>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</si>
  <si>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</si>
  <si>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</si>
  <si>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</si>
  <si>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</si>
  <si>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</si>
  <si>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</si>
  <si>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</si>
  <si>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</si>
  <si>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</si>
  <si>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</si>
  <si>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</si>
  <si>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</si>
  <si>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</si>
  <si>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</si>
  <si>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</si>
  <si>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</si>
  <si>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</si>
  <si>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</si>
  <si>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</si>
  <si>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</si>
  <si>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</si>
  <si>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</si>
  <si>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</si>
  <si>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</si>
  <si>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</si>
  <si>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</si>
  <si>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</si>
  <si>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</si>
  <si>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</si>
  <si>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</si>
  <si>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</si>
  <si>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</si>
  <si>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</si>
  <si>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</si>
  <si>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</si>
  <si>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</si>
  <si>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</si>
  <si>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</si>
  <si>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</si>
  <si>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</si>
  <si>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</si>
  <si>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</si>
  <si>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</si>
  <si>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</si>
  <si>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</si>
  <si>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</si>
  <si>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</si>
  <si>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</si>
  <si>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</si>
  <si>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</si>
  <si>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</si>
  <si>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</si>
  <si>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</si>
  <si>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</si>
  <si>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</si>
  <si>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</si>
  <si>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</si>
  <si>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</si>
  <si>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</si>
  <si>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</si>
  <si>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</si>
  <si>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</si>
  <si>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</si>
  <si>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</si>
  <si>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</si>
  <si>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</si>
  <si>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</si>
  <si>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</si>
  <si>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</si>
  <si>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</si>
  <si>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</si>
  <si>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</si>
  <si>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</si>
  <si>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</si>
  <si>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</si>
  <si>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</si>
  <si>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</si>
  <si>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</si>
  <si>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</si>
  <si>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</si>
  <si>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</si>
  <si>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</si>
  <si>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</si>
  <si>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</si>
  <si>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</si>
  <si>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</si>
  <si>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</si>
  <si>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</si>
  <si>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</si>
  <si>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</si>
  <si>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</si>
  <si>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</si>
  <si>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</si>
  <si>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</si>
  <si>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</si>
  <si>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</si>
  <si>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</si>
  <si>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</si>
  <si>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</si>
  <si>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</si>
  <si>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</si>
  <si>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</si>
  <si>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</si>
  <si>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</si>
  <si>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</si>
  <si>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</si>
  <si>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</si>
  <si>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</si>
  <si>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</si>
  <si>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</si>
  <si>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</si>
  <si>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</si>
  <si>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</si>
  <si>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</si>
  <si>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</si>
  <si>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</si>
  <si>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</si>
  <si>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</si>
  <si>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</si>
  <si>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</si>
  <si>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</si>
  <si>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</si>
  <si>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</si>
  <si>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</si>
  <si>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</si>
  <si>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</si>
  <si>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</si>
  <si>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</si>
  <si>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</si>
  <si>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</si>
  <si>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</si>
  <si>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</si>
  <si>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</si>
  <si>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</si>
  <si>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</si>
  <si>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</si>
  <si>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</si>
  <si>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</si>
  <si>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</si>
  <si>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</si>
  <si>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</si>
  <si>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</si>
  <si>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</si>
  <si>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</si>
  <si>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</si>
  <si>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</si>
  <si>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</si>
  <si>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</si>
  <si>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</si>
  <si>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</si>
  <si>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</si>
  <si>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</si>
  <si>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</si>
  <si>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</si>
  <si>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</si>
  <si>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</si>
  <si>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</si>
  <si>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</si>
  <si>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</si>
  <si>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</si>
  <si>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</si>
  <si>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</si>
  <si>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</si>
  <si>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</si>
  <si>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</si>
  <si>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</si>
  <si>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</si>
  <si>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</si>
  <si>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</si>
  <si>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</si>
  <si>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</si>
  <si>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</si>
  <si>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</si>
  <si>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</si>
  <si>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</si>
  <si>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</si>
  <si>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</si>
  <si>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</si>
  <si>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</si>
  <si>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</si>
  <si>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</si>
  <si>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</si>
  <si>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</si>
  <si>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</si>
  <si>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</si>
  <si>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</si>
  <si>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</si>
  <si>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</si>
  <si>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</si>
  <si>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</si>
  <si>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</si>
  <si>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</si>
  <si>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</si>
  <si>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</si>
  <si>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</si>
  <si>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</si>
  <si>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</si>
  <si>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</si>
  <si>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</si>
  <si>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</si>
  <si>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</si>
  <si>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</si>
  <si>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</si>
  <si>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</si>
  <si>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</si>
  <si>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</si>
  <si>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</si>
  <si>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</si>
  <si>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</si>
  <si>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</si>
  <si>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</si>
  <si>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</si>
  <si>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</si>
  <si>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</si>
  <si>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</si>
  <si>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</si>
  <si>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</si>
  <si>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</si>
  <si>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</si>
  <si>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</si>
  <si>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</si>
  <si>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</si>
  <si>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</si>
  <si>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</si>
  <si>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</si>
  <si>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</si>
  <si>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</si>
  <si>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</si>
  <si>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</si>
  <si>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</si>
  <si>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</si>
  <si>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</si>
  <si>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</si>
  <si>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</si>
  <si>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</si>
  <si>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</si>
  <si>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</si>
  <si>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</si>
  <si>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</si>
  <si>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</si>
  <si>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</si>
  <si>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</si>
  <si>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</si>
  <si>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</si>
  <si>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</si>
  <si>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</si>
  <si>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</si>
  <si>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</si>
  <si>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</si>
  <si>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</si>
  <si>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</si>
  <si>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</si>
  <si>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</si>
  <si>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</si>
  <si>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</si>
  <si>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</si>
  <si>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</si>
  <si>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</si>
  <si>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</si>
  <si>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</si>
  <si>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</si>
  <si>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</si>
  <si>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</si>
  <si>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</si>
  <si>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</si>
  <si>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</si>
  <si>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</si>
  <si>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</si>
  <si>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</si>
  <si>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</si>
  <si>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</si>
  <si>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</si>
  <si>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</si>
  <si>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</si>
  <si>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</si>
  <si>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</si>
  <si>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</si>
  <si>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</si>
  <si>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</si>
  <si>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</si>
  <si>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</si>
  <si>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</si>
  <si>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</si>
  <si>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</si>
  <si>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</si>
  <si>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</si>
  <si>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</si>
  <si>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</si>
  <si>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</si>
  <si>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</si>
  <si>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</si>
  <si>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</si>
  <si>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</si>
  <si>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</si>
  <si>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</si>
  <si>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</si>
  <si>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</si>
  <si>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</si>
  <si>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</si>
  <si>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</si>
  <si>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</si>
  <si>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</si>
  <si>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</si>
  <si>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</si>
  <si>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</si>
  <si>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</si>
  <si>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</si>
  <si>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</si>
  <si>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</si>
  <si>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</si>
  <si>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</si>
  <si>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</si>
  <si>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</si>
  <si>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</si>
  <si>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</si>
  <si>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</si>
  <si>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</si>
  <si>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</si>
  <si>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</si>
  <si>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</si>
  <si>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</si>
  <si>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</si>
  <si>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</si>
  <si>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</si>
  <si>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</si>
  <si>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</si>
  <si>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</si>
  <si>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</si>
  <si>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</si>
  <si>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</si>
  <si>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</si>
  <si>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</si>
  <si>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</si>
  <si>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</si>
  <si>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</si>
  <si>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</si>
  <si>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</si>
  <si>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</si>
  <si>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</si>
  <si>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</si>
  <si>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</si>
  <si>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</si>
  <si>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</si>
  <si>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</si>
  <si>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</si>
  <si>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</si>
  <si>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</si>
  <si>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</si>
  <si>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</si>
  <si>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</si>
  <si>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</si>
  <si>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</si>
  <si>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</si>
  <si>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</si>
  <si>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</si>
  <si>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</si>
  <si>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</si>
  <si>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</si>
  <si>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</si>
  <si>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</si>
  <si>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</si>
  <si>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</si>
  <si>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</si>
  <si>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</si>
  <si>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</si>
  <si>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</si>
  <si>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</si>
  <si>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</si>
  <si>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</si>
  <si>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</si>
  <si>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</si>
  <si>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</si>
  <si>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</si>
  <si>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</si>
  <si>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</si>
  <si>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</si>
  <si>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</si>
  <si>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</si>
  <si>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</si>
  <si>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</si>
  <si>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</si>
  <si>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</si>
  <si>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</si>
  <si>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</si>
  <si>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</si>
  <si>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</si>
  <si>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</si>
  <si>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</si>
  <si>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</si>
  <si>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</si>
  <si>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</si>
  <si>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</si>
  <si>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</si>
  <si>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</si>
  <si>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</si>
  <si>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</si>
  <si>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</si>
  <si>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</si>
  <si>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</si>
  <si>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</si>
  <si>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</si>
  <si>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</si>
  <si>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</si>
  <si>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</si>
  <si>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</si>
  <si>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</si>
  <si>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</si>
  <si>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</si>
  <si>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</si>
  <si>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</si>
  <si>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</si>
  <si>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</si>
  <si>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</si>
  <si>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</si>
  <si>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</si>
  <si>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</si>
  <si>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</si>
  <si>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</si>
  <si>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</si>
  <si>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</si>
  <si>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</si>
  <si>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</si>
  <si>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</si>
  <si>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</si>
  <si>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</si>
  <si>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</si>
  <si>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</si>
  <si>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</si>
  <si>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</si>
  <si>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</si>
  <si>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</si>
  <si>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</si>
  <si>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</si>
  <si>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</si>
  <si>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</si>
  <si>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</si>
  <si>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</si>
  <si>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</si>
  <si>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</si>
  <si>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</si>
  <si>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</si>
  <si>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</si>
  <si>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</si>
  <si>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</si>
  <si>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</si>
  <si>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</si>
  <si>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</si>
  <si>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</si>
  <si>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</si>
  <si>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</si>
  <si>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</si>
  <si>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</si>
  <si>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</si>
  <si>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</si>
  <si>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</si>
  <si>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</si>
  <si>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</si>
  <si>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</si>
  <si>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</si>
  <si>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</si>
  <si>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</si>
  <si>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</si>
  <si>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</si>
  <si>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</si>
  <si>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</si>
  <si>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</si>
  <si>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</si>
  <si>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</si>
  <si>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</si>
  <si>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</si>
  <si>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</si>
  <si>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</si>
  <si>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</si>
  <si>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</si>
  <si>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</si>
  <si>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</si>
  <si>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</si>
  <si>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</si>
  <si>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</si>
  <si>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</si>
  <si>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</si>
  <si>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</si>
  <si>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</si>
  <si>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</si>
  <si>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</si>
  <si>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</si>
  <si>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</si>
  <si>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</si>
  <si>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</si>
  <si>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</si>
  <si>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</si>
  <si>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</si>
  <si>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</si>
  <si>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</si>
  <si>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</si>
  <si>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</si>
  <si>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</si>
  <si>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</si>
  <si>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</si>
  <si>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</si>
  <si>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</si>
  <si>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</si>
  <si>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</si>
  <si>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</si>
  <si>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</si>
  <si>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</si>
  <si>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</si>
  <si>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</si>
  <si>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</si>
  <si>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</si>
  <si>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</si>
  <si>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</si>
  <si>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</si>
  <si>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</si>
  <si>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</si>
  <si>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</si>
  <si>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</si>
  <si>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</si>
  <si>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</si>
  <si>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</si>
  <si>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</si>
  <si>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</si>
  <si>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</si>
  <si>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</si>
  <si>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</si>
  <si>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</si>
  <si>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</si>
  <si>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</si>
  <si>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</si>
  <si>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</si>
  <si>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</si>
  <si>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</si>
  <si>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</si>
  <si>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</si>
  <si>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</si>
  <si>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</si>
  <si>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</si>
  <si>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</si>
  <si>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</si>
  <si>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</si>
  <si>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</si>
  <si>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</si>
  <si>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</si>
  <si>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</si>
  <si>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</si>
  <si>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</si>
  <si>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</si>
  <si>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</si>
  <si>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</si>
  <si>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</si>
  <si>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</si>
  <si>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</si>
  <si>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</si>
  <si>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</si>
  <si>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</si>
  <si>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</si>
  <si>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</si>
  <si>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</si>
  <si>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</si>
  <si>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</si>
  <si>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</si>
  <si>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</si>
  <si>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</si>
  <si>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</si>
  <si>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</si>
  <si>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</si>
  <si>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</si>
  <si>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</si>
  <si>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</si>
  <si>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</si>
  <si>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</si>
  <si>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</si>
  <si>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</si>
  <si>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</si>
  <si>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</si>
  <si>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</si>
  <si>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</si>
  <si>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</si>
  <si>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</si>
  <si>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</si>
  <si>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</si>
  <si>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</si>
  <si>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</si>
  <si>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</si>
  <si>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</si>
  <si>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</si>
  <si>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</si>
  <si>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</si>
  <si>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</si>
  <si>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</si>
  <si>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</si>
  <si>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</si>
  <si>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</si>
  <si>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</si>
  <si>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</si>
  <si>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</si>
  <si>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</si>
  <si>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</si>
  <si>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</si>
  <si>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</si>
  <si>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</si>
  <si>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</si>
  <si>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</si>
  <si>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</si>
  <si>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</si>
  <si>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</si>
  <si>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</si>
  <si>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</si>
  <si>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</si>
  <si>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</si>
  <si>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</si>
  <si>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</si>
  <si>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</si>
  <si>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</si>
  <si>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</si>
  <si>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</si>
  <si>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</si>
  <si>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</si>
  <si>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</si>
  <si>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</si>
  <si>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</si>
  <si>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</si>
  <si>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</si>
  <si>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</si>
  <si>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</si>
  <si>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</si>
  <si>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</si>
  <si>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</si>
  <si>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</si>
  <si>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</si>
  <si>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</si>
  <si>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</si>
  <si>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</si>
  <si>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</si>
  <si>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</si>
  <si>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</si>
  <si>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</si>
  <si>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</si>
  <si>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</si>
  <si>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</si>
  <si>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</si>
  <si>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</si>
  <si>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</si>
  <si>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</si>
  <si>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</si>
  <si>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</si>
  <si>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</si>
  <si>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</si>
  <si>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</si>
  <si>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</si>
  <si>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</si>
  <si>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</si>
  <si>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</si>
  <si>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</si>
  <si>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</si>
  <si>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</si>
  <si>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</si>
  <si>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</si>
  <si>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</si>
  <si>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</si>
  <si>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</si>
  <si>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</si>
  <si>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</si>
  <si>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</si>
  <si>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</si>
  <si>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</si>
  <si>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</si>
  <si>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</si>
  <si>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</si>
  <si>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</si>
  <si>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</si>
  <si>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</si>
  <si>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</si>
  <si>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</si>
  <si>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</si>
  <si>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</si>
  <si>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</si>
  <si>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</si>
  <si>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</si>
  <si>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</si>
  <si>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</si>
  <si>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</si>
  <si>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</si>
  <si>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</si>
  <si>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</si>
  <si>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</si>
  <si>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</si>
  <si>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</si>
  <si>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</si>
  <si>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</si>
  <si>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</si>
  <si>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</si>
  <si>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</si>
  <si>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</si>
  <si>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</si>
  <si>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</si>
  <si>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</si>
  <si>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</si>
  <si>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</si>
  <si>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</si>
  <si>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</si>
  <si>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</si>
  <si>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</si>
  <si>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</si>
  <si>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</si>
  <si>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</si>
  <si>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</si>
  <si>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</si>
  <si>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</si>
  <si>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</si>
  <si>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</si>
  <si>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</si>
  <si>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</si>
  <si>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</si>
  <si>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</si>
  <si>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</si>
  <si>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</si>
  <si>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</si>
  <si>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</si>
  <si>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</si>
  <si>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</si>
  <si>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</si>
  <si>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</si>
  <si>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</si>
  <si>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</si>
  <si>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</si>
  <si>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</si>
  <si>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</si>
  <si>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</si>
  <si>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</si>
  <si>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</si>
  <si>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</si>
  <si>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</si>
  <si>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</si>
  <si>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</si>
  <si>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</si>
  <si>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</si>
  <si>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</si>
  <si>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</si>
  <si>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</si>
  <si>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</si>
  <si>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</si>
  <si>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</si>
  <si>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</si>
  <si>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</si>
  <si>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</si>
  <si>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</si>
  <si>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</si>
  <si>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</si>
  <si>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</si>
  <si>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</si>
  <si>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</si>
  <si>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</si>
  <si>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</si>
  <si>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</si>
  <si>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</si>
  <si>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</si>
  <si>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</si>
  <si>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</si>
  <si>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</si>
  <si>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</si>
  <si>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</si>
  <si>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</si>
  <si>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</si>
  <si>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</si>
  <si>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</si>
  <si>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</si>
  <si>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</si>
  <si>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</si>
  <si>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</si>
  <si>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</si>
  <si>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</si>
  <si>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</si>
  <si>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</si>
  <si>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</si>
  <si>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</si>
  <si>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</si>
  <si>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</si>
  <si>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</si>
  <si>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</si>
  <si>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</si>
  <si>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</si>
  <si>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</si>
  <si>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</si>
  <si>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</si>
  <si>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</si>
  <si>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</si>
  <si>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</si>
  <si>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</si>
  <si>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</si>
  <si>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</si>
  <si>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</si>
  <si>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</si>
  <si>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</si>
  <si>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</si>
  <si>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</si>
  <si>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</si>
  <si>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</si>
  <si>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</si>
  <si>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</si>
  <si>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</si>
  <si>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</si>
  <si>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</si>
  <si>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</si>
  <si>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</si>
  <si>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</si>
  <si>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</si>
  <si>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</si>
  <si>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</si>
  <si>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</si>
  <si>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</si>
  <si>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</si>
  <si>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</si>
  <si>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</si>
  <si>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</si>
  <si>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</si>
  <si>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</si>
  <si>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</si>
  <si>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</si>
  <si>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</si>
  <si>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</si>
  <si>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</si>
  <si>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</si>
  <si>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</si>
  <si>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</si>
  <si>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</si>
  <si>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</si>
  <si>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</si>
  <si>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</si>
  <si>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</si>
  <si>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</si>
  <si>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</si>
  <si>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</si>
  <si>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</si>
  <si>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</si>
  <si>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</si>
  <si>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</si>
  <si>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</si>
  <si>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</si>
  <si>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</si>
  <si>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</si>
  <si>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</si>
  <si>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</si>
  <si>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</si>
  <si>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</si>
  <si>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</si>
  <si>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</si>
  <si>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</si>
  <si>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</si>
  <si>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</si>
  <si>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</si>
  <si>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</si>
  <si>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</si>
  <si>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</si>
  <si>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</si>
  <si>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</si>
  <si>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</si>
  <si>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</si>
  <si>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</si>
  <si>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</si>
  <si>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</si>
  <si>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</si>
  <si>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</si>
  <si>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</si>
  <si>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</si>
  <si>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</si>
  <si>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</si>
  <si>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</si>
  <si>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</si>
  <si>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</si>
  <si>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</si>
  <si>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</si>
  <si>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</si>
  <si>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</si>
  <si>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</si>
  <si>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</si>
  <si>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</si>
  <si>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</si>
  <si>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</si>
  <si>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</si>
  <si>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</si>
  <si>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</si>
  <si>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</si>
  <si>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</si>
  <si>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</si>
  <si>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</si>
  <si>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</si>
  <si>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</si>
  <si>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</si>
  <si>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</si>
  <si>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</si>
  <si>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</si>
  <si>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</si>
  <si>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</si>
  <si>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</si>
  <si>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</si>
  <si>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</si>
  <si>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</si>
  <si>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</si>
  <si>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</si>
  <si>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</si>
  <si>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</si>
  <si>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</si>
  <si>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</si>
  <si>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</si>
  <si>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</si>
  <si>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</si>
  <si>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</si>
  <si>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</si>
  <si>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</si>
  <si>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</si>
  <si>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</si>
  <si>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</si>
  <si>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</si>
  <si>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</si>
  <si>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</si>
  <si>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</si>
  <si>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</si>
  <si>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</si>
  <si>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</si>
  <si>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</si>
  <si>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</si>
  <si>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</si>
  <si>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</si>
  <si>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</si>
  <si>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</si>
  <si>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</si>
  <si>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</si>
  <si>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</si>
  <si>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</si>
  <si>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</si>
  <si>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</si>
  <si>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</si>
  <si>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</si>
  <si>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</si>
  <si>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</si>
  <si>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</si>
  <si>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</si>
  <si>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</si>
  <si>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</si>
  <si>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</si>
  <si>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</si>
  <si>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</si>
  <si>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</si>
  <si>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</si>
  <si>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</si>
  <si>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</si>
  <si>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</si>
  <si>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</si>
  <si>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</si>
  <si>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</si>
  <si>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</si>
  <si>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</si>
  <si>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</si>
  <si>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</si>
  <si>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</si>
  <si>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</si>
  <si>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</si>
  <si>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</si>
  <si>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</si>
  <si>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</si>
  <si>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</si>
  <si>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</si>
  <si>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</si>
  <si>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</si>
  <si>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</si>
  <si>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</si>
  <si>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</si>
  <si>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</si>
  <si>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</si>
  <si>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</si>
  <si>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</si>
  <si>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</si>
  <si>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</si>
  <si>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</si>
  <si>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</si>
  <si>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</si>
  <si>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</si>
  <si>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</si>
  <si>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</si>
  <si>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</si>
  <si>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</si>
  <si>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</si>
  <si>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</si>
  <si>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</si>
  <si>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</si>
  <si>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</si>
  <si>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</si>
  <si>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</si>
  <si>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</si>
  <si>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</si>
  <si>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</si>
  <si>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</si>
  <si>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</si>
  <si>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</si>
  <si>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</si>
  <si>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</si>
  <si>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</si>
  <si>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</si>
  <si>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</si>
  <si>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</si>
  <si>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</si>
  <si>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</si>
  <si>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</si>
  <si>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</si>
  <si>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</si>
  <si>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</si>
  <si>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</si>
  <si>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</si>
  <si>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</si>
  <si>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</si>
  <si>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</si>
  <si>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</si>
  <si>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</si>
  <si>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</si>
  <si>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</si>
  <si>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</si>
  <si>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</si>
  <si>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</si>
  <si>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</si>
  <si>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</si>
  <si>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</si>
  <si>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</si>
  <si>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</si>
  <si>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</si>
  <si>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</si>
  <si>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</si>
  <si>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</si>
  <si>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</si>
  <si>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</si>
  <si>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</si>
  <si>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</si>
  <si>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</si>
  <si>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</si>
  <si>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</si>
  <si>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</si>
  <si>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</si>
  <si>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</si>
  <si>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</si>
  <si>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</si>
  <si>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</si>
  <si>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</si>
  <si>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</si>
  <si>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</si>
  <si>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</si>
  <si>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</si>
  <si>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</si>
  <si>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</si>
  <si>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</si>
  <si>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</si>
  <si>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</si>
  <si>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</si>
  <si>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</si>
  <si>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</si>
  <si>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</si>
  <si>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</si>
  <si>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</si>
  <si>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</si>
  <si>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</si>
  <si>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</si>
  <si>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</si>
  <si>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</si>
  <si>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</si>
  <si>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</si>
  <si>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</si>
  <si>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</si>
  <si>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</si>
  <si>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</si>
  <si>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</si>
  <si>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</si>
  <si>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</si>
  <si>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</si>
  <si>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</si>
  <si>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</si>
  <si>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</si>
  <si>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</si>
  <si>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</si>
  <si>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</si>
  <si>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</si>
  <si>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</si>
  <si>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</si>
  <si>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</si>
  <si>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</si>
  <si>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</si>
  <si>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</si>
  <si>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</si>
  <si>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</si>
  <si>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</si>
  <si>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</si>
  <si>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</si>
  <si>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</si>
  <si>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</si>
  <si>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</si>
  <si>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</si>
  <si>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</si>
  <si>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</si>
  <si>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</si>
  <si>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</si>
  <si>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</si>
  <si>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</si>
  <si>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</si>
  <si>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</si>
  <si>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</si>
  <si>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</si>
  <si>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</si>
  <si>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</si>
  <si>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</si>
  <si>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</si>
  <si>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</si>
  <si>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</si>
  <si>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</si>
  <si>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</si>
  <si>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</si>
  <si>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</si>
  <si>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</si>
  <si>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</si>
  <si>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</si>
  <si>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</si>
  <si>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</si>
  <si>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</si>
  <si>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</si>
  <si>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</si>
  <si>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</si>
  <si>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</si>
  <si>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</si>
  <si>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</si>
  <si>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</si>
  <si>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</si>
  <si>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</si>
  <si>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</si>
  <si>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</si>
  <si>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</si>
  <si>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</si>
  <si>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</si>
  <si>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</si>
  <si>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</si>
  <si>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</si>
  <si>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</si>
  <si>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</si>
  <si>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</si>
  <si>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</si>
  <si>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</si>
  <si>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</si>
  <si>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</si>
  <si>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</si>
  <si>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</si>
  <si>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</si>
  <si>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</si>
  <si>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</si>
  <si>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</si>
  <si>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</si>
  <si>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</si>
  <si>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</si>
  <si>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</si>
  <si>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</si>
  <si>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</si>
  <si>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</si>
  <si>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</si>
  <si>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</si>
  <si>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</si>
  <si>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</si>
  <si>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</si>
  <si>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</si>
  <si>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</si>
  <si>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</si>
  <si>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</si>
  <si>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</si>
  <si>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</si>
  <si>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</si>
  <si>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</si>
  <si>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</si>
  <si>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</si>
  <si>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</si>
  <si>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</si>
  <si>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</si>
  <si>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</si>
  <si>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</si>
  <si>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</si>
  <si>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</si>
  <si>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</si>
  <si>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</si>
  <si>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</si>
  <si>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</si>
  <si>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</si>
  <si>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</si>
  <si>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</si>
  <si>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</si>
  <si>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</si>
  <si>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</si>
  <si>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</si>
  <si>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</si>
  <si>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</si>
  <si>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</si>
  <si>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</si>
  <si>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</si>
  <si>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</si>
  <si>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</si>
  <si>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</si>
  <si>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</si>
  <si>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</si>
  <si>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</si>
  <si>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</si>
  <si>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</si>
  <si>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</si>
  <si>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</si>
  <si>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</si>
  <si>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</si>
  <si>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</si>
  <si>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</si>
  <si>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</si>
  <si>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</si>
  <si>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</si>
  <si>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</si>
  <si>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</si>
  <si>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</si>
  <si>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</si>
  <si>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</si>
  <si>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</si>
  <si>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</si>
  <si>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</si>
  <si>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</si>
  <si>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</si>
  <si>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</si>
  <si>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</si>
  <si>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</si>
  <si>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</si>
  <si>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</si>
  <si>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</si>
  <si>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</si>
  <si>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</si>
  <si>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</si>
  <si>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</si>
  <si>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</si>
  <si>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</si>
  <si>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</si>
  <si>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</si>
  <si>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</si>
  <si>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</si>
  <si>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</si>
  <si>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</si>
  <si>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</si>
  <si>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</si>
  <si>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</si>
  <si>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</si>
  <si>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</si>
  <si>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</si>
  <si>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</si>
  <si>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</si>
  <si>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</si>
  <si>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</si>
  <si>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</si>
  <si>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</si>
  <si>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</si>
  <si>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</si>
  <si>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</si>
  <si>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</si>
  <si>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</si>
  <si>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</si>
  <si>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</si>
  <si>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</si>
  <si>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</si>
  <si>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</si>
  <si>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</si>
  <si>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</si>
  <si>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</si>
  <si>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</si>
  <si>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</si>
  <si>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</si>
  <si>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</si>
  <si>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</si>
  <si>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</si>
  <si>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</si>
  <si>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</si>
  <si>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</si>
  <si>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</si>
  <si>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</si>
  <si>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</si>
  <si>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</si>
  <si>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</si>
  <si>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</si>
  <si>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</si>
  <si>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</si>
  <si>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</si>
  <si>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</si>
  <si>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</si>
  <si>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</si>
  <si>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</si>
  <si>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</si>
  <si>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</si>
  <si>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</si>
  <si>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</si>
  <si>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</si>
  <si>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</si>
  <si>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</si>
  <si>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</si>
  <si>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</si>
  <si>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</si>
  <si>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</si>
  <si>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</si>
  <si>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</si>
  <si>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</si>
  <si>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</si>
  <si>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</si>
  <si>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</si>
  <si>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</si>
  <si>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</si>
  <si>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</si>
  <si>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</si>
  <si>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</si>
  <si>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</si>
  <si>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</si>
  <si>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</si>
  <si>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</si>
  <si>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</si>
  <si>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</si>
  <si>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</si>
  <si>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</si>
  <si>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</si>
  <si>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</si>
  <si>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</si>
  <si>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</si>
  <si>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</si>
  <si>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</si>
  <si>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</si>
  <si>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</si>
  <si>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</si>
  <si>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</si>
  <si>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</si>
  <si>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</si>
  <si>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</si>
  <si>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</si>
  <si>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</si>
  <si>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</si>
  <si>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</si>
  <si>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</si>
  <si>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</si>
  <si>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</si>
  <si>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</si>
  <si>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</si>
  <si>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</si>
  <si>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</si>
  <si>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</si>
  <si>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</si>
  <si>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</si>
  <si>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</si>
  <si>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</si>
  <si>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</si>
  <si>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</si>
  <si>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</si>
  <si>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</si>
  <si>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</si>
  <si>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</si>
  <si>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</si>
  <si>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</si>
  <si>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</si>
  <si>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</si>
  <si>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</si>
  <si>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</si>
  <si>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</si>
  <si>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</si>
  <si>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</si>
  <si>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</si>
  <si>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</si>
  <si>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</si>
  <si>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</si>
  <si>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</si>
  <si>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</si>
  <si>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</si>
  <si>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</si>
  <si>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</si>
  <si>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</si>
  <si>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</si>
  <si>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</si>
  <si>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</si>
  <si>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</si>
  <si>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</si>
  <si>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</si>
  <si>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</si>
  <si>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</si>
  <si>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</si>
  <si>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</si>
  <si>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</si>
  <si>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</si>
  <si>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</si>
  <si>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</si>
  <si>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</si>
  <si>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</si>
  <si>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</si>
  <si>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</si>
  <si>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</si>
  <si>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</si>
  <si>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</si>
  <si>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</si>
  <si>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</si>
  <si>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</si>
  <si>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</si>
  <si>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</si>
  <si>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</si>
  <si>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</si>
  <si>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</si>
  <si>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</si>
  <si>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</si>
  <si>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</si>
  <si>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</si>
  <si>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</si>
  <si>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</si>
  <si>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</si>
  <si>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</si>
  <si>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</si>
  <si>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</si>
  <si>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</si>
  <si>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</si>
  <si>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</si>
  <si>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</si>
  <si>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</si>
  <si>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</si>
  <si>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</si>
  <si>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</si>
  <si>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</si>
  <si>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</si>
  <si>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</si>
  <si>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</si>
  <si>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</si>
  <si>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</si>
  <si>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</si>
  <si>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</si>
  <si>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</si>
  <si>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</si>
  <si>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</si>
  <si>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</si>
  <si>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</si>
  <si>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</si>
  <si>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</si>
  <si>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</si>
  <si>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</si>
  <si>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</si>
  <si>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</si>
  <si>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</si>
  <si>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</si>
  <si>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</si>
  <si>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</si>
  <si>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</si>
  <si>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</si>
  <si>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</si>
  <si>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</si>
  <si>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</si>
  <si>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</si>
  <si>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</si>
  <si>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</si>
  <si>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</si>
  <si>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</si>
  <si>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</si>
  <si>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</si>
  <si>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</si>
  <si>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</si>
  <si>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</si>
  <si>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</si>
  <si>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</si>
  <si>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</si>
  <si>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</si>
  <si>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</si>
  <si>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</si>
  <si>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</si>
  <si>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</si>
  <si>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</si>
  <si>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</si>
  <si>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</si>
  <si>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</si>
  <si>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</si>
  <si>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</si>
  <si>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</si>
  <si>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</si>
  <si>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</si>
  <si>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</si>
  <si>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</si>
  <si>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</si>
  <si>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</si>
  <si>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</si>
  <si>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</si>
  <si>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</si>
  <si>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</si>
  <si>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</si>
  <si>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</si>
  <si>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</si>
  <si>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</si>
  <si>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</si>
  <si>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</si>
  <si>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</si>
  <si>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</si>
  <si>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</si>
  <si>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</si>
  <si>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</si>
  <si>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</si>
  <si>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</si>
  <si>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</si>
  <si>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</si>
  <si>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</si>
  <si>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</si>
  <si>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</si>
  <si>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</si>
  <si>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</si>
  <si>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</si>
  <si>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</si>
  <si>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</si>
  <si>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</si>
  <si>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</si>
  <si>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</si>
  <si>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</si>
  <si>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</si>
  <si>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</si>
  <si>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</si>
  <si>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</si>
  <si>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</si>
  <si>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</si>
  <si>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</si>
  <si>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</si>
  <si>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</si>
  <si>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</si>
  <si>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</si>
  <si>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</si>
  <si>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</si>
  <si>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</si>
  <si>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</si>
  <si>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</si>
  <si>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</si>
  <si>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</si>
  <si>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</si>
  <si>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</si>
  <si>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</si>
  <si>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</si>
  <si>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</si>
  <si>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</si>
  <si>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</si>
  <si>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</si>
  <si>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</si>
  <si>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</si>
  <si>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</si>
  <si>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</si>
  <si>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</si>
  <si>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</si>
  <si>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</si>
  <si>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</si>
  <si>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</si>
  <si>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</si>
  <si>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</si>
  <si>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</si>
  <si>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</si>
  <si>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</si>
  <si>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</si>
  <si>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</si>
  <si>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</si>
  <si>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</si>
  <si>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</si>
  <si>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</si>
  <si>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</si>
  <si>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</si>
  <si>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</si>
  <si>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</si>
  <si>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</si>
  <si>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</si>
  <si>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</si>
  <si>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</si>
  <si>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</si>
  <si>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</si>
  <si>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</si>
  <si>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</si>
  <si>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</si>
  <si>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</si>
  <si>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</si>
  <si>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</si>
  <si>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</si>
  <si>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</si>
  <si>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</si>
  <si>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</si>
  <si>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</si>
  <si>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</si>
  <si>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</si>
  <si>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</si>
  <si>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</si>
  <si>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</si>
  <si>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</si>
  <si>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</si>
  <si>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</si>
  <si>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</si>
  <si>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</si>
  <si>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</si>
  <si>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</si>
  <si>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</si>
  <si>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</si>
  <si>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</si>
  <si>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</si>
  <si>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</si>
  <si>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</si>
  <si>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</si>
  <si>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</si>
  <si>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</si>
  <si>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</si>
  <si>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</si>
  <si>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</si>
  <si>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</si>
  <si>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</si>
  <si>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</si>
  <si>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</si>
  <si>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</si>
  <si>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</si>
  <si>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</si>
  <si>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</si>
  <si>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</si>
  <si>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</si>
  <si>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</si>
  <si>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</si>
  <si>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</si>
  <si>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</si>
  <si>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</si>
  <si>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</si>
  <si>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</si>
  <si>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</si>
  <si>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</si>
  <si>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</si>
  <si>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</si>
  <si>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</si>
  <si>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</si>
  <si>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</si>
  <si>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</si>
  <si>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</si>
  <si>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</si>
  <si>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</si>
  <si>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</si>
  <si>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</si>
  <si>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</si>
  <si>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</si>
  <si>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</si>
  <si>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</si>
  <si>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</si>
  <si>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</si>
  <si>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</si>
  <si>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</si>
  <si>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</si>
  <si>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</si>
  <si>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</si>
  <si>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</si>
  <si>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</si>
  <si>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</si>
  <si>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</si>
  <si>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</si>
  <si>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</si>
  <si>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</si>
  <si>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</si>
  <si>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</si>
  <si>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</si>
  <si>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</si>
  <si>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</si>
  <si>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</si>
  <si>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</si>
  <si>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</si>
  <si>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</si>
  <si>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</si>
  <si>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</si>
  <si>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</si>
  <si>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</si>
  <si>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</si>
  <si>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</si>
  <si>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</si>
  <si>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</si>
  <si>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</si>
  <si>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</si>
  <si>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</si>
  <si>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</si>
  <si>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</si>
  <si>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</si>
  <si>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</si>
  <si>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</si>
  <si>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</si>
  <si>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</si>
  <si>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</si>
  <si>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</si>
  <si>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</si>
  <si>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</si>
  <si>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</si>
  <si>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</si>
  <si>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</si>
  <si>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</si>
  <si>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</si>
  <si>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</si>
  <si>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</si>
  <si>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</si>
  <si>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</si>
  <si>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</si>
  <si>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</si>
  <si>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</si>
  <si>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</si>
  <si>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</si>
  <si>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</si>
  <si>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</si>
  <si>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</si>
  <si>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</si>
  <si>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</si>
  <si>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</si>
  <si>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</si>
  <si>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</si>
  <si>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</si>
  <si>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</si>
  <si>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</si>
  <si>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</si>
  <si>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</si>
  <si>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</si>
  <si>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</si>
  <si>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</si>
  <si>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</si>
  <si>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</si>
  <si>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</si>
  <si>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</si>
  <si>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</si>
  <si>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</si>
  <si>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</si>
  <si>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</si>
  <si>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</si>
  <si>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</si>
  <si>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</si>
  <si>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</si>
  <si>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</si>
  <si>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</si>
  <si>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</si>
  <si>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</si>
  <si>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</si>
  <si>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</si>
  <si>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</si>
  <si>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</si>
  <si>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</si>
  <si>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</si>
  <si>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</si>
  <si>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</si>
  <si>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</si>
  <si>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</si>
  <si>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</si>
  <si>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</si>
  <si>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</si>
  <si>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</si>
  <si>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</si>
  <si>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</si>
  <si>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</si>
  <si>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</si>
  <si>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</si>
  <si>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</si>
  <si>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</si>
  <si>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</si>
  <si>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</si>
  <si>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</si>
  <si>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</si>
  <si>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</si>
  <si>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</si>
  <si>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</si>
  <si>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</si>
  <si>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</si>
  <si>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</si>
  <si>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</si>
  <si>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</si>
  <si>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</si>
  <si>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</si>
  <si>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</si>
  <si>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</si>
  <si>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</si>
  <si>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</si>
  <si>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</si>
  <si>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</si>
  <si>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</si>
  <si>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</si>
  <si>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</si>
  <si>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</si>
  <si>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</si>
  <si>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</si>
  <si>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</si>
  <si>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</si>
  <si>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</si>
  <si>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</si>
  <si>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</si>
  <si>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</si>
  <si>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</si>
  <si>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</si>
  <si>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</si>
  <si>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</si>
  <si>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</si>
  <si>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</si>
  <si>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</si>
  <si>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</si>
  <si>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</si>
  <si>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</si>
  <si>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</si>
  <si>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</si>
  <si>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</si>
  <si>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</si>
  <si>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</si>
  <si>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</si>
  <si>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</si>
  <si>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</si>
  <si>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</si>
  <si>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</si>
  <si>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</si>
  <si>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</si>
  <si>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</si>
  <si>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</si>
  <si>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</si>
  <si>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</si>
  <si>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</si>
  <si>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</si>
  <si>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</si>
  <si>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</si>
  <si>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</si>
  <si>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</si>
  <si>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</si>
  <si>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</si>
  <si>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</si>
  <si>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</si>
  <si>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</si>
  <si>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</si>
  <si>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</si>
  <si>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</si>
  <si>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</si>
  <si>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</si>
  <si>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</si>
  <si>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</si>
  <si>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</si>
  <si>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</si>
  <si>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</si>
  <si>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</si>
  <si>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</si>
  <si>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</si>
  <si>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</si>
  <si>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</si>
  <si>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</si>
  <si>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</si>
  <si>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</si>
  <si>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</si>
  <si>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</si>
  <si>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</si>
  <si>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</si>
  <si>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</si>
  <si>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</si>
  <si>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</si>
  <si>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</si>
  <si>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</si>
  <si>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</si>
  <si>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</si>
  <si>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</si>
  <si>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</si>
  <si>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</si>
  <si>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</si>
  <si>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</si>
  <si>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</si>
  <si>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</si>
  <si>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</si>
  <si>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</si>
  <si>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</si>
  <si>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</si>
  <si>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</si>
  <si>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</si>
  <si>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</si>
  <si>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</si>
  <si>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</si>
  <si>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</si>
  <si>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</si>
  <si>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</si>
  <si>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</si>
  <si>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</si>
  <si>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</si>
  <si>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</si>
  <si>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</si>
  <si>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</si>
  <si>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</si>
  <si>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</si>
  <si>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</si>
  <si>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</si>
  <si>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</si>
  <si>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</si>
  <si>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</si>
  <si>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</si>
  <si>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</si>
  <si>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</si>
  <si>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</si>
  <si>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</si>
  <si>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</si>
  <si>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</si>
  <si>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</si>
  <si>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</si>
  <si>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</si>
  <si>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</si>
  <si>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</si>
  <si>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</si>
  <si>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</si>
  <si>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</si>
  <si>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</si>
  <si>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</si>
  <si>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</si>
  <si>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</si>
  <si>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</si>
  <si>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</si>
  <si>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</si>
  <si>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</si>
  <si>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</si>
  <si>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</si>
  <si>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</si>
  <si>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</si>
  <si>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</si>
  <si>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</si>
  <si>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</si>
  <si>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</si>
  <si>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</si>
  <si>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</si>
  <si>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</si>
  <si>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</si>
  <si>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</si>
  <si>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</si>
  <si>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</si>
  <si>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</si>
  <si>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</si>
  <si>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</si>
  <si>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</si>
  <si>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</si>
  <si>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</si>
  <si>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</si>
  <si>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</si>
  <si>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</si>
  <si>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</si>
  <si>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</si>
  <si>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</si>
  <si>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</si>
  <si>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</si>
  <si>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</si>
  <si>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</si>
  <si>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</si>
  <si>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</si>
  <si>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</si>
  <si>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</si>
  <si>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</si>
  <si>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</si>
  <si>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</si>
  <si>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</si>
  <si>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</si>
  <si>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</si>
  <si>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</si>
  <si>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</si>
  <si>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</si>
  <si>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</si>
  <si>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</si>
  <si>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</si>
  <si>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</si>
  <si>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</si>
  <si>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</si>
  <si>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</si>
  <si>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</si>
  <si>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</si>
  <si>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</si>
  <si>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</si>
  <si>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</si>
  <si>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</si>
  <si>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</si>
  <si>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</si>
  <si>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</si>
  <si>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</si>
  <si>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</si>
  <si>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</si>
  <si>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</si>
  <si>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</si>
  <si>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</si>
  <si>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</si>
  <si>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</si>
  <si>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</si>
  <si>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</si>
  <si>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</si>
  <si>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</si>
  <si>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</si>
  <si>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</si>
  <si>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</si>
  <si>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</si>
  <si>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</si>
  <si>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</si>
  <si>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</si>
  <si>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</si>
  <si>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</si>
  <si>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</si>
  <si>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</si>
  <si>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</si>
  <si>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</si>
  <si>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</si>
  <si>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</si>
  <si>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</si>
  <si>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</si>
  <si>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</si>
  <si>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</si>
  <si>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</si>
  <si>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</si>
  <si>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</si>
  <si>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</si>
  <si>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</si>
  <si>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</si>
  <si>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</si>
  <si>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</si>
  <si>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</si>
  <si>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</si>
  <si>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</si>
  <si>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</si>
  <si>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</si>
  <si>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</si>
  <si>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</si>
  <si>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</si>
  <si>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</si>
  <si>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</si>
  <si>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</si>
  <si>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</si>
  <si>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</si>
  <si>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</si>
  <si>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</si>
  <si>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</si>
  <si>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</si>
  <si>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</si>
  <si>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</si>
  <si>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</si>
  <si>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</si>
  <si>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</si>
  <si>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</si>
  <si>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</si>
  <si>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</si>
  <si>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</si>
  <si>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</si>
  <si>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</si>
  <si>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</si>
  <si>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</si>
  <si>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</si>
  <si>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</si>
  <si>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</si>
  <si>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</si>
  <si>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</si>
  <si>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</si>
  <si>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</si>
  <si>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</si>
  <si>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</si>
  <si>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</si>
  <si>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</si>
  <si>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</si>
  <si>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</si>
  <si>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</si>
  <si>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</si>
  <si>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</si>
  <si>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</si>
  <si>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</si>
  <si>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</si>
  <si>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</si>
  <si>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</si>
  <si>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</si>
  <si>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</si>
  <si>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</si>
  <si>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</si>
  <si>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</si>
  <si>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</si>
  <si>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</si>
  <si>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</si>
  <si>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</si>
  <si>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</si>
  <si>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</si>
  <si>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</si>
  <si>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</si>
  <si>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</si>
  <si>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</si>
  <si>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</si>
  <si>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</si>
  <si>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</si>
  <si>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</si>
  <si>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</si>
  <si>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</si>
  <si>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</si>
  <si>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</si>
  <si>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</si>
  <si>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</si>
  <si>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</si>
  <si>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</si>
  <si>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</si>
  <si>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</si>
  <si>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</si>
  <si>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</si>
  <si>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</si>
  <si>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</si>
  <si>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</si>
  <si>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</si>
  <si>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</si>
  <si>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</si>
  <si>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</si>
  <si>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</si>
  <si>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</si>
  <si>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</si>
  <si>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</si>
  <si>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</si>
  <si>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</si>
  <si>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</si>
  <si>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</si>
  <si>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</si>
  <si>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</si>
  <si>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</si>
  <si>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</si>
  <si>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</si>
  <si>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</si>
  <si>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</si>
  <si>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</si>
  <si>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</si>
  <si>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</si>
  <si>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</si>
  <si>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</si>
  <si>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</si>
  <si>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</si>
  <si>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</si>
  <si>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</si>
  <si>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</si>
  <si>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</si>
  <si>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</si>
  <si>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</si>
  <si>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</si>
  <si>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</si>
  <si>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</si>
  <si>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</si>
  <si>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</si>
  <si>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</si>
  <si>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</si>
  <si>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</si>
  <si>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</si>
  <si>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</si>
  <si>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</si>
  <si>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</si>
  <si>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</si>
  <si>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</si>
  <si>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</si>
  <si>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</si>
  <si>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</si>
  <si>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</si>
  <si>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</si>
  <si>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</si>
  <si>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</si>
  <si>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</si>
  <si>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</si>
  <si>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</si>
  <si>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</si>
  <si>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</si>
  <si>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</si>
  <si>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</si>
  <si>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</si>
  <si>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</si>
  <si>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</si>
  <si>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</si>
  <si>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</si>
  <si>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</si>
  <si>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</si>
  <si>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</si>
  <si>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</si>
  <si>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</si>
  <si>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</si>
  <si>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</si>
  <si>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</si>
  <si>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</si>
  <si>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</si>
  <si>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</si>
  <si>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</si>
  <si>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</si>
  <si>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</si>
  <si>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</si>
  <si>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</si>
  <si>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</si>
  <si>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</si>
  <si>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</si>
  <si>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</si>
  <si>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</si>
  <si>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</si>
  <si>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</si>
  <si>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</si>
  <si>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</si>
  <si>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</si>
  <si>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</si>
  <si>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</si>
  <si>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</si>
  <si>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</si>
  <si>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</si>
  <si>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</si>
  <si>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</si>
  <si>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</si>
  <si>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</si>
  <si>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</si>
  <si>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</si>
  <si>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</si>
  <si>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</si>
  <si>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</si>
  <si>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</si>
  <si>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</si>
  <si>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</si>
  <si>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</si>
  <si>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</si>
  <si>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</si>
  <si>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</si>
  <si>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</si>
  <si>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</si>
  <si>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</si>
  <si>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</si>
  <si>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</si>
  <si>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</si>
  <si>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</si>
  <si>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</si>
  <si>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</si>
  <si>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</si>
  <si>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</si>
  <si>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</si>
  <si>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</si>
  <si>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</si>
  <si>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</si>
  <si>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</si>
  <si>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</si>
  <si>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</si>
  <si>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</si>
  <si>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</si>
  <si>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</si>
  <si>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</si>
  <si>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</si>
  <si>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</si>
  <si>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</si>
  <si>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</si>
  <si>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</si>
  <si>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</si>
  <si>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</si>
  <si>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</si>
  <si>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</si>
  <si>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</si>
  <si>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</si>
  <si>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</si>
  <si>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</si>
  <si>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</si>
  <si>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</si>
  <si>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</si>
  <si>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</si>
  <si>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</si>
  <si>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</si>
  <si>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</si>
  <si>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</si>
  <si>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</si>
  <si>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</si>
  <si>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</si>
  <si>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</si>
  <si>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</si>
  <si>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</si>
  <si>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</si>
  <si>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</si>
  <si>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</si>
  <si>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</si>
  <si>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</si>
  <si>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</si>
  <si>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</si>
  <si>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</si>
  <si>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</si>
  <si>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</si>
  <si>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</si>
  <si>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</si>
  <si>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</si>
  <si>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</si>
  <si>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</si>
  <si>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</si>
  <si>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</si>
  <si>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</si>
  <si>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</si>
  <si>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</si>
  <si>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</si>
  <si>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</si>
  <si>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</si>
  <si>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</si>
  <si>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</si>
  <si>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</si>
  <si>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</si>
  <si>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</si>
  <si>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</si>
  <si>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</si>
  <si>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</si>
  <si>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</si>
  <si>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</si>
  <si>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</si>
  <si>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</si>
  <si>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</si>
  <si>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</si>
  <si>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</si>
  <si>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</si>
  <si>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</si>
  <si>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</si>
  <si>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</si>
  <si>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</si>
  <si>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</si>
  <si>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</si>
  <si>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</si>
  <si>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</si>
  <si>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</si>
  <si>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</si>
  <si>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</si>
  <si>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</si>
  <si>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</si>
  <si>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</si>
  <si>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</si>
  <si>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</si>
  <si>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</si>
  <si>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</si>
  <si>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</si>
  <si>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</si>
  <si>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</si>
  <si>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</si>
  <si>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</si>
  <si>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</si>
  <si>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</si>
  <si>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</si>
  <si>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</si>
  <si>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</si>
  <si>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</si>
  <si>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</si>
  <si>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</si>
  <si>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</si>
  <si>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</si>
  <si>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</si>
  <si>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</si>
  <si>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</si>
  <si>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</si>
  <si>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</si>
  <si>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</si>
  <si>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</si>
  <si>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</si>
  <si>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</si>
  <si>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</si>
  <si>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</si>
  <si>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</si>
  <si>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</si>
  <si>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</si>
  <si>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</si>
  <si>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</si>
  <si>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</si>
  <si>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</si>
  <si>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</si>
  <si>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</si>
  <si>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</si>
  <si>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</si>
  <si>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</si>
  <si>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</si>
  <si>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</si>
  <si>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</si>
  <si>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</si>
  <si>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</si>
  <si>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</si>
  <si>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</si>
  <si>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</si>
  <si>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</si>
  <si>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</si>
  <si>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</si>
  <si>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</si>
  <si>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</si>
  <si>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</si>
  <si>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</si>
  <si>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</si>
  <si>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</si>
  <si>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</si>
  <si>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</si>
  <si>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</si>
  <si>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</si>
  <si>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</si>
  <si>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</si>
  <si>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</si>
  <si>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</si>
  <si>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</si>
  <si>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</si>
  <si>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</si>
  <si>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</si>
  <si>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</si>
  <si>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</si>
  <si>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</si>
  <si>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</si>
  <si>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</si>
  <si>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</si>
  <si>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</si>
  <si>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</si>
  <si>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</si>
  <si>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</si>
  <si>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</si>
  <si>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</si>
  <si>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</si>
  <si>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</si>
  <si>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</si>
  <si>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</si>
  <si>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</si>
  <si>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</si>
  <si>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</si>
  <si>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</si>
  <si>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</si>
  <si>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</si>
  <si>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</si>
  <si>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</si>
  <si>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</si>
  <si>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</si>
  <si>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</si>
  <si>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</si>
  <si>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</si>
  <si>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</si>
  <si>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</si>
  <si>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</si>
  <si>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</si>
  <si>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</si>
  <si>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</si>
  <si>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</si>
  <si>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</si>
  <si>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</si>
  <si>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</si>
  <si>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</si>
  <si>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</si>
  <si>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</si>
  <si>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</si>
  <si>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</si>
  <si>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</si>
  <si>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</si>
  <si>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</si>
  <si>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</si>
  <si>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</si>
  <si>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</si>
  <si>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</si>
  <si>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</si>
  <si>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</si>
  <si>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</si>
  <si>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</si>
  <si>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</si>
  <si>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</si>
  <si>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</si>
  <si>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</si>
  <si>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</si>
  <si>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</si>
  <si>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</si>
  <si>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</si>
  <si>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</si>
  <si>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</si>
  <si>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</si>
  <si>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</si>
  <si>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</si>
  <si>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</si>
  <si>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</si>
  <si>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</si>
  <si>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</si>
  <si>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</si>
  <si>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</si>
  <si>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</si>
  <si>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</si>
  <si>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</si>
  <si>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</si>
  <si>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</si>
  <si>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</si>
  <si>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</si>
  <si>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</si>
  <si>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</si>
  <si>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</si>
  <si>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</si>
  <si>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</si>
  <si>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</si>
  <si>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</si>
  <si>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</si>
  <si>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</si>
  <si>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</si>
  <si>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</si>
  <si>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</si>
  <si>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</si>
  <si>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</si>
  <si>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</si>
  <si>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</si>
  <si>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</si>
  <si>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</si>
  <si>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</si>
  <si>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</si>
  <si>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</si>
  <si>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</si>
  <si>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</si>
  <si>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</si>
  <si>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</si>
  <si>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</si>
  <si>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</si>
  <si>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</si>
  <si>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</si>
  <si>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</si>
  <si>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</si>
  <si>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</si>
  <si>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</si>
  <si>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</si>
  <si>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</si>
  <si>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</si>
  <si>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</si>
  <si>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</si>
  <si>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</si>
  <si>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</si>
  <si>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</si>
  <si>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</si>
  <si>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</si>
  <si>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</si>
  <si>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</si>
  <si>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</si>
  <si>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</si>
  <si>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</si>
  <si>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</si>
  <si>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</si>
  <si>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</si>
  <si>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</si>
  <si>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</si>
  <si>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</si>
  <si>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</si>
  <si>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</si>
  <si>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</si>
  <si>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</si>
  <si>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</si>
  <si>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</si>
  <si>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</si>
  <si>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</si>
  <si>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</si>
  <si>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</si>
  <si>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</si>
  <si>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</si>
  <si>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</si>
  <si>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</si>
  <si>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</si>
  <si>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</si>
  <si>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</si>
  <si>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</si>
  <si>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</si>
  <si>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</si>
  <si>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</si>
  <si>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</si>
  <si>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</si>
  <si>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</si>
  <si>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</si>
  <si>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</si>
  <si>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</si>
  <si>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</si>
  <si>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</si>
  <si>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</si>
  <si>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</si>
  <si>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</si>
  <si>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</si>
  <si>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</si>
  <si>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</si>
  <si>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</si>
  <si>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</si>
  <si>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</si>
  <si>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</si>
  <si>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</si>
  <si>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</si>
  <si>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</si>
  <si>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</si>
  <si>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</si>
  <si>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</si>
  <si>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</si>
  <si>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</si>
  <si>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</si>
  <si>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</si>
  <si>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</si>
  <si>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</si>
  <si>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</si>
  <si>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</si>
  <si>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</si>
  <si>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</si>
  <si>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</si>
  <si>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</si>
  <si>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</si>
  <si>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</si>
  <si>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</si>
  <si>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</si>
  <si>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</si>
  <si>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</si>
  <si>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</si>
  <si>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</si>
  <si>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</si>
  <si>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</si>
  <si>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</si>
  <si>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</si>
  <si>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</si>
  <si>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</si>
  <si>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</si>
  <si>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</si>
  <si>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</si>
  <si>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</si>
  <si>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</si>
  <si>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</si>
  <si>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</si>
  <si>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</si>
  <si>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</si>
  <si>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</si>
  <si>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</si>
  <si>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</si>
  <si>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</si>
  <si>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</si>
  <si>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</si>
  <si>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</si>
  <si>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</si>
  <si>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</si>
  <si>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</si>
  <si>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</si>
  <si>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</si>
  <si>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</si>
  <si>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</si>
  <si>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</si>
  <si>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</si>
  <si>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</si>
  <si>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</si>
  <si>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</si>
  <si>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</si>
  <si>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</si>
  <si>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</si>
  <si>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</si>
  <si>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</si>
  <si>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</si>
  <si>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</si>
  <si>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</si>
  <si>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</si>
  <si>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</si>
  <si>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</si>
  <si>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</si>
  <si>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</si>
  <si>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</si>
  <si>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</si>
  <si>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</si>
  <si>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</si>
  <si>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</si>
  <si>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</si>
  <si>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</si>
  <si>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</si>
  <si>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</si>
  <si>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</si>
  <si>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</si>
  <si>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</si>
  <si>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</si>
  <si>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</si>
  <si>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</si>
  <si>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</si>
  <si>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</si>
  <si>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</si>
  <si>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</si>
  <si>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</si>
  <si>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</si>
  <si>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</si>
  <si>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</si>
  <si>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</si>
  <si>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</si>
  <si>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</si>
  <si>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</si>
  <si>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</si>
  <si>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</si>
  <si>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</si>
  <si>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</si>
  <si>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</si>
  <si>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</si>
  <si>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</si>
  <si>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</si>
  <si>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</si>
  <si>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</si>
  <si>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</si>
  <si>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</si>
  <si>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</si>
  <si>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</si>
  <si>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</si>
  <si>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</si>
  <si>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</si>
  <si>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</si>
  <si>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</si>
  <si>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</si>
  <si>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</si>
  <si>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</si>
  <si>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</si>
  <si>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</si>
  <si>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</si>
  <si>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</si>
  <si>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</si>
  <si>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</si>
  <si>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</si>
  <si>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</si>
  <si>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</si>
  <si>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</si>
  <si>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</si>
  <si>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</si>
  <si>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</si>
  <si>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</si>
  <si>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</si>
  <si>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</si>
  <si>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</si>
  <si>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</si>
  <si>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</si>
  <si>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</si>
  <si>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</si>
  <si>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</si>
  <si>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</si>
  <si>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</si>
  <si>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</si>
  <si>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</si>
  <si>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</si>
  <si>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</si>
  <si>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</si>
  <si>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</si>
  <si>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</si>
  <si>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</si>
  <si>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</si>
  <si>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</si>
  <si>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</si>
  <si>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</si>
  <si>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</si>
  <si>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</si>
  <si>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</si>
  <si>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</si>
  <si>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</si>
  <si>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</si>
  <si>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</si>
  <si>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</si>
  <si>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</si>
  <si>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</si>
  <si>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</si>
  <si>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</si>
  <si>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</si>
  <si>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</si>
  <si>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</si>
  <si>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</si>
  <si>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</si>
  <si>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</si>
  <si>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</si>
  <si>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</si>
  <si>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</si>
  <si>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</si>
  <si>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</si>
  <si>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</si>
  <si>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</si>
  <si>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</si>
  <si>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</si>
  <si>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</si>
  <si>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</si>
  <si>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</si>
  <si>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</si>
  <si>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</si>
  <si>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</si>
  <si>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</si>
  <si>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</si>
  <si>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</si>
  <si>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</si>
  <si>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</si>
  <si>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</si>
  <si>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</si>
  <si>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</si>
  <si>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</si>
  <si>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</si>
  <si>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</si>
  <si>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</si>
  <si>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</si>
  <si>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</si>
  <si>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</si>
  <si>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</si>
  <si>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</si>
  <si>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</si>
  <si>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</si>
  <si>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</si>
  <si>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</si>
  <si>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</si>
  <si>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</si>
  <si>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</si>
  <si>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</si>
  <si>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</si>
  <si>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</si>
  <si>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</si>
  <si>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</si>
  <si>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</si>
  <si>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</si>
  <si>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</si>
  <si>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</si>
  <si>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</si>
  <si>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</si>
  <si>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</si>
  <si>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</si>
  <si>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</si>
  <si>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</si>
  <si>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</si>
  <si>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</si>
  <si>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</si>
  <si>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</si>
  <si>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</si>
  <si>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</si>
  <si>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</si>
  <si>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</si>
  <si>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</si>
  <si>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</si>
  <si>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</si>
  <si>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</si>
  <si>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</si>
  <si>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</si>
  <si>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</si>
  <si>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</si>
  <si>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</si>
  <si>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</si>
  <si>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</si>
  <si>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</si>
  <si>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</si>
  <si>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</si>
  <si>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</si>
  <si>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</si>
  <si>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</si>
  <si>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</si>
  <si>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</si>
  <si>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</si>
  <si>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</si>
  <si>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</si>
  <si>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</si>
  <si>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</si>
  <si>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</si>
  <si>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</si>
  <si>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</si>
  <si>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</si>
  <si>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</si>
  <si>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</si>
  <si>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</si>
  <si>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</si>
  <si>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</si>
  <si>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</si>
  <si>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</si>
  <si>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</si>
  <si>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</si>
  <si>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</si>
  <si>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</si>
  <si>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</si>
  <si>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</si>
  <si>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</si>
  <si>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</si>
  <si>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</si>
  <si>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</si>
  <si>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</si>
  <si>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</si>
  <si>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</si>
  <si>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</si>
  <si>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</si>
  <si>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</si>
  <si>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</si>
  <si>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</si>
  <si>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</si>
  <si>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</si>
  <si>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</si>
  <si>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</si>
  <si>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</si>
  <si>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</si>
  <si>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</si>
  <si>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</si>
  <si>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</si>
  <si>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</si>
  <si>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</si>
  <si>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</si>
  <si>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</si>
  <si>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</si>
  <si>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</si>
  <si>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</si>
  <si>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</si>
  <si>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</si>
  <si>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</si>
  <si>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</si>
  <si>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</si>
  <si>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</si>
  <si>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</si>
  <si>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</si>
  <si>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</si>
  <si>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</si>
  <si>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</si>
  <si>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</si>
  <si>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</si>
  <si>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</si>
  <si>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</si>
  <si>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</si>
  <si>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</si>
  <si>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</si>
  <si>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</si>
  <si>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</si>
  <si>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</si>
  <si>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</si>
  <si>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</si>
  <si>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</si>
  <si>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</si>
  <si>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</si>
  <si>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</si>
  <si>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</si>
  <si>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</si>
  <si>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</si>
  <si>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</si>
  <si>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</si>
  <si>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</si>
  <si>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</si>
  <si>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</si>
  <si>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</si>
  <si>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</si>
  <si>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</si>
  <si>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</si>
  <si>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</si>
  <si>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</si>
  <si>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</si>
  <si>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</si>
  <si>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</si>
  <si>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</si>
  <si>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</si>
  <si>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</si>
  <si>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</si>
  <si>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</si>
  <si>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</si>
  <si>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</si>
  <si>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</si>
  <si>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</si>
  <si>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</si>
  <si>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</si>
  <si>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</si>
  <si>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</si>
  <si>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</si>
  <si>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</si>
  <si>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</si>
  <si>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</si>
  <si>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</si>
  <si>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</si>
  <si>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</si>
  <si>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</si>
  <si>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</si>
  <si>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</si>
  <si>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</si>
  <si>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</si>
  <si>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</si>
  <si>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</si>
  <si>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</si>
  <si>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</si>
  <si>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</si>
  <si>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</si>
  <si>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</si>
  <si>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</si>
  <si>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</si>
  <si>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</si>
  <si>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</si>
  <si>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</si>
  <si>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</si>
  <si>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</si>
  <si>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</si>
  <si>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</si>
  <si>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</si>
  <si>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</si>
  <si>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</si>
  <si>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</si>
  <si>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</si>
  <si>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</si>
  <si>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</si>
  <si>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</si>
  <si>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</si>
  <si>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</si>
  <si>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</si>
  <si>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</si>
  <si>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</si>
  <si>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</si>
  <si>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</si>
  <si>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</si>
  <si>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</si>
  <si>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</si>
  <si>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</si>
  <si>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</si>
  <si>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</si>
  <si>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</si>
  <si>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</si>
  <si>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</si>
  <si>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</si>
  <si>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</si>
  <si>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</si>
  <si>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</si>
  <si>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</si>
  <si>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</si>
  <si>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</si>
  <si>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</si>
  <si>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</si>
  <si>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</si>
  <si>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</si>
  <si>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</si>
  <si>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</si>
  <si>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</si>
  <si>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</si>
  <si>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</si>
  <si>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</si>
  <si>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</si>
  <si>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</si>
  <si>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</si>
  <si>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</si>
  <si>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</si>
  <si>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</si>
  <si>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</si>
  <si>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</si>
  <si>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</si>
  <si>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</si>
  <si>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</si>
  <si>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</si>
  <si>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</si>
  <si>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</si>
  <si>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</si>
  <si>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</si>
  <si>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</si>
  <si>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</si>
  <si>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</si>
  <si>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</si>
  <si>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</si>
  <si>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</si>
  <si>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</si>
  <si>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</si>
  <si>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</si>
  <si>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</si>
  <si>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</si>
  <si>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</si>
  <si>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</si>
  <si>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</si>
  <si>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</si>
  <si>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</si>
  <si>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</si>
  <si>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</si>
  <si>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</si>
  <si>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</si>
  <si>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</si>
  <si>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</si>
  <si>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</si>
  <si>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</si>
  <si>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</si>
  <si>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</si>
  <si>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</si>
  <si>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</si>
  <si>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</si>
  <si>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</si>
  <si>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</si>
  <si>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</si>
  <si>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</si>
  <si>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</si>
  <si>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</si>
  <si>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</si>
  <si>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</si>
  <si>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</si>
  <si>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</si>
  <si>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</si>
  <si>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</si>
  <si>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</si>
  <si>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</si>
  <si>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</si>
  <si>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</si>
  <si>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</si>
  <si>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</si>
  <si>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</si>
  <si>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</si>
  <si>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</si>
  <si>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</si>
  <si>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</si>
  <si>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</si>
  <si>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</si>
  <si>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</si>
  <si>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</si>
  <si>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</si>
  <si>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</si>
  <si>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</si>
  <si>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</si>
  <si>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</si>
  <si>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</si>
  <si>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</si>
  <si>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</si>
  <si>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</si>
  <si>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</si>
  <si>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</si>
  <si>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</si>
  <si>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</si>
  <si>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</si>
  <si>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</si>
  <si>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</si>
  <si>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</si>
  <si>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</si>
  <si>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</si>
  <si>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</si>
  <si>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</si>
  <si>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</si>
  <si>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</si>
  <si>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</si>
  <si>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</si>
  <si>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</si>
  <si>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</si>
  <si>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</si>
  <si>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</si>
  <si>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</si>
  <si>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</si>
  <si>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>…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</si>
  <si>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</si>
  <si>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</si>
  <si>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</si>
  <si>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</si>
  <si>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</si>
  <si>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</si>
  <si>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</si>
  <si>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</si>
  <si>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</si>
  <si>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</si>
  <si>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</si>
  <si>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</si>
  <si>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</si>
  <si>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</si>
  <si>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</si>
  <si>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</si>
  <si>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</si>
  <si>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</si>
  <si>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</si>
  <si>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</si>
  <si>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</si>
  <si>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12-Dek-25</t>
  </si>
  <si>
    <t>12-Xe-25</t>
  </si>
  <si>
    <t>11-Idv-25</t>
  </si>
  <si>
    <t>25B1-Nov-25</t>
  </si>
  <si>
    <t>11-Ikv-25</t>
  </si>
  <si>
    <t>12-Del-25</t>
  </si>
  <si>
    <t>11-Hiv-25</t>
  </si>
  <si>
    <t>11-Anv-25</t>
  </si>
  <si>
    <t>12-v-25</t>
  </si>
  <si>
    <t>12-Sk-25</t>
  </si>
  <si>
    <t>12-Aiv-25</t>
  </si>
  <si>
    <t>12-Ntm-25</t>
  </si>
  <si>
    <t>12-Env-25</t>
  </si>
  <si>
    <t>12-Jav-25</t>
  </si>
  <si>
    <t>12-Mim-25</t>
  </si>
  <si>
    <t>121-Nov-25</t>
  </si>
  <si>
    <t>12-Sim-25</t>
  </si>
  <si>
    <t>12-Dem-25</t>
  </si>
  <si>
    <t>12-Sil-25</t>
  </si>
  <si>
    <t>26B1-Nov-26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</si>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</sst>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88" totalsRowShown="0" headerRowDxfId="87" dataDxfId="86">
  <autoFilter ref="A1:R388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91" totalsRowShown="0" headerRowDxfId="42" dataDxfId="41">
  <autoFilter ref="A2:H191" xr:uid="{B21CDF53-EB04-406A-8D52-FCF5CCB609E9}"/>
  <sortState xmlns:xlrd2="http://schemas.microsoft.com/office/spreadsheetml/2017/richdata2" ref="A3:H191">
    <sortCondition ref="D2:D191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2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1"/>
    <tableColumn id="2" xr3:uid="{1E57C5CE-907A-4DF0-BCA2-BBCD2651216C}" name="APPLICATION NO." dataDxfId="30"/>
    <tableColumn id="3" xr3:uid="{F626713A-3C61-423D-BD37-451203C3E29C}" name="CHASSIS" dataDxfId="29"/>
    <tableColumn id="4" xr3:uid="{32C5A048-ADD8-4648-8106-9F20D6757D66}" name="NAME" dataDxfId="28"/>
    <tableColumn id="5" xr3:uid="{BA1FDE8E-99ED-4918-A545-B2E041B306D6}" name="MODEL" dataDxfId="27"/>
    <tableColumn id="6" xr3:uid="{872ECA2D-515D-4EDE-B60A-82A8BDEFEDCC}" name="COLOR" dataDxfId="26"/>
    <tableColumn id="7" xr3:uid="{C729A2AA-8F61-4959-9BE7-9F1BD3A49990}" name="RTO" dataDxfId="25"/>
    <tableColumn id="8" xr3:uid="{49CDED17-8118-4E4F-BBF5-6407D0788647}" name="REG NUM" dataDxfId="24"/>
    <tableColumn id="9" xr3:uid="{6E044422-F791-464A-944A-0668F0C8112F}" name="DATE OF REG" dataDxfId="23"/>
    <tableColumn id="11" xr3:uid="{942D52E6-8B19-4B1A-ADDF-6D959D8E7BE1}" name="DSE" dataDxfId="22"/>
    <tableColumn id="12" xr3:uid="{04B58679-3282-4D6D-BF3E-2233E3C4DC81}" name="RC RECEIVED BY" dataDxfId="2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0" tableBorderDxfId="19" totalsRowBorderDxfId="18">
  <autoFilter ref="B27:E32" xr:uid="{859DCBAE-920B-4469-9E0B-BF5ADC0248E9}"/>
  <tableColumns count="4">
    <tableColumn id="1" xr3:uid="{898528DA-B3AC-435C-B00C-9234887E5F11}" name="REG NUM" dataDxfId="17"/>
    <tableColumn id="2" xr3:uid="{89440296-A536-440E-A74B-186B5A98AE6C}" name="DATE OF REG" dataDxfId="16"/>
    <tableColumn id="3" xr3:uid="{7A04E3EB-93DA-4428-AB0C-3D251E144655}" name="RC RECEIVED BY" dataDxfId="15"/>
    <tableColumn id="4" xr3:uid="{0D350352-EB5F-413B-8CE6-3B46D80C3172}" name="DAT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66"/>
  <sheetViews>
    <sheetView tabSelected="1" topLeftCell="B355" zoomScaleNormal="100" workbookViewId="0">
      <selection activeCell="F381" sqref="F38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7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18","KULGAM",IF(LEFT(I3,4)="JK22","SHOPIAN",IF(LEFT(I3,4)="JK02","JAMMU",IF(LEFT(I3,4)="JK09","KUPWARA",IF(LEFT(I3,4)="JK15","BANDIPORA",IF(LEFT(I3,4)="JK17","KISHTWAR",IF(LEFT(I3,4)="LA01","KARGIL",IF(LEFT(I3,1)="T","TEMP","NEW")))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ref="A8:A71" si="2">ROW()-1</f>
        <v>7</v>
      </c>
      <c r="B8" s="47" t="s">
        <v>177</v>
      </c>
      <c r="C8" s="47" t="s">
        <v>155</v>
      </c>
      <c r="D8" s="47"/>
      <c r="E8" s="47" t="s">
        <v>156</v>
      </c>
      <c r="F8" s="47" t="s">
        <v>51</v>
      </c>
      <c r="G8" s="47" t="s">
        <v>174</v>
      </c>
      <c r="H8" s="47" t="str">
        <f t="shared" si="1"/>
        <v>PULWAMA</v>
      </c>
      <c r="I8" s="47" t="s">
        <v>157</v>
      </c>
      <c r="J8" s="48">
        <v>45966</v>
      </c>
      <c r="K8" s="47"/>
      <c r="L8" s="47" t="s">
        <v>6451</v>
      </c>
      <c r="M8" s="49" t="s">
        <v>7047</v>
      </c>
      <c r="N8" s="48">
        <v>46003</v>
      </c>
      <c r="O8" s="47"/>
      <c r="P8" s="50"/>
      <c r="Q8" s="47"/>
      <c r="R8" s="47"/>
    </row>
    <row r="9" spans="1:18" x14ac:dyDescent="0.25">
      <c r="A9" s="47">
        <f t="shared" si="2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2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2"/>
        <v>10</v>
      </c>
      <c r="B11" s="47" t="s">
        <v>6380</v>
      </c>
      <c r="C11" s="47" t="s">
        <v>94</v>
      </c>
      <c r="D11" s="47"/>
      <c r="E11" s="47" t="s">
        <v>95</v>
      </c>
      <c r="F11" s="47" t="s">
        <v>100</v>
      </c>
      <c r="G11" s="47"/>
      <c r="H11" s="47" t="str">
        <f t="shared" si="1"/>
        <v>PULWAMA</v>
      </c>
      <c r="I11" s="47" t="s">
        <v>103</v>
      </c>
      <c r="J11" s="48">
        <v>45965</v>
      </c>
      <c r="K11" s="47"/>
      <c r="L11" s="47" t="s">
        <v>6451</v>
      </c>
      <c r="M11" s="49" t="s">
        <v>6450</v>
      </c>
      <c r="N11" s="48" t="s">
        <v>8244</v>
      </c>
      <c r="O11" s="47"/>
      <c r="P11" s="50"/>
      <c r="Q11" s="47"/>
      <c r="R11" s="47"/>
    </row>
    <row r="12" spans="1:18" x14ac:dyDescent="0.25">
      <c r="A12" s="47">
        <f t="shared" si="2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2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2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2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2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2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2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2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2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2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2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2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2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2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2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2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2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2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2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2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2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2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2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2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2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2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>
        <v>45965</v>
      </c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2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>
        <v>45965</v>
      </c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2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2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2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2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>
        <v>45965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2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2"/>
        <v>43</v>
      </c>
      <c r="B44" s="47"/>
      <c r="C44" s="47" t="s">
        <v>98</v>
      </c>
      <c r="D44" s="47"/>
      <c r="E44" s="47" t="s">
        <v>99</v>
      </c>
      <c r="F44" s="47" t="s">
        <v>102</v>
      </c>
      <c r="G44" s="47" t="s">
        <v>200</v>
      </c>
      <c r="H44" s="47" t="str">
        <f t="shared" si="1"/>
        <v>SRINAGAR</v>
      </c>
      <c r="I44" s="47" t="s">
        <v>105</v>
      </c>
      <c r="J44" s="48">
        <v>45965</v>
      </c>
      <c r="K44" s="47"/>
      <c r="L44" s="47" t="s">
        <v>6451</v>
      </c>
      <c r="M44" s="49" t="s">
        <v>126</v>
      </c>
      <c r="N44" s="48">
        <v>45976</v>
      </c>
      <c r="O44" s="47"/>
      <c r="P44" s="50"/>
      <c r="Q44" s="47"/>
      <c r="R44" s="47"/>
    </row>
    <row r="45" spans="1:18" x14ac:dyDescent="0.25">
      <c r="A45" s="47">
        <f t="shared" si="2"/>
        <v>44</v>
      </c>
      <c r="B45" s="47"/>
      <c r="C45" s="47" t="s">
        <v>29</v>
      </c>
      <c r="D45" s="47"/>
      <c r="E45" s="47" t="s">
        <v>30</v>
      </c>
      <c r="F45" s="47" t="s">
        <v>31</v>
      </c>
      <c r="G45" s="47"/>
      <c r="H45" s="47" t="str">
        <f t="shared" si="1"/>
        <v>PULWAMA</v>
      </c>
      <c r="I45" s="47" t="s">
        <v>65</v>
      </c>
      <c r="J45" s="48">
        <v>45941</v>
      </c>
      <c r="K45" s="47"/>
      <c r="L45" s="47" t="s">
        <v>6451</v>
      </c>
      <c r="M45" s="49" t="s">
        <v>7458</v>
      </c>
      <c r="N45" s="48">
        <v>45976</v>
      </c>
      <c r="O45" s="47" t="s">
        <v>23</v>
      </c>
      <c r="P45" s="50">
        <v>45962</v>
      </c>
      <c r="Q45" s="47"/>
      <c r="R45" s="47"/>
    </row>
    <row r="46" spans="1:18" x14ac:dyDescent="0.25">
      <c r="A46" s="47">
        <f t="shared" si="2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2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>
        <v>45972</v>
      </c>
      <c r="P47" s="2"/>
      <c r="Q47" s="47"/>
      <c r="R47" s="47"/>
    </row>
    <row r="48" spans="1:18" x14ac:dyDescent="0.25">
      <c r="A48" s="47">
        <f t="shared" si="2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2"/>
        <v>48</v>
      </c>
      <c r="B49" s="47" t="s">
        <v>6900</v>
      </c>
      <c r="C49" s="47" t="s">
        <v>6903</v>
      </c>
      <c r="D49" s="47" t="s">
        <v>6906</v>
      </c>
      <c r="E49" s="47" t="s">
        <v>6901</v>
      </c>
      <c r="F49" s="47" t="s">
        <v>31</v>
      </c>
      <c r="G49" s="47" t="s">
        <v>175</v>
      </c>
      <c r="H49" s="47" t="str">
        <f t="shared" si="1"/>
        <v>PULWAMA</v>
      </c>
      <c r="I49" s="47" t="s">
        <v>6902</v>
      </c>
      <c r="J49" s="48">
        <v>45999</v>
      </c>
      <c r="K49" s="47">
        <v>7006251106</v>
      </c>
      <c r="L49" s="47" t="s">
        <v>6451</v>
      </c>
      <c r="M49" s="49" t="s">
        <v>7807</v>
      </c>
      <c r="N49" s="48">
        <v>46022</v>
      </c>
      <c r="O49" s="47"/>
      <c r="P49" s="50"/>
      <c r="Q49" s="47"/>
      <c r="R49" s="47"/>
    </row>
    <row r="50" spans="1:18" x14ac:dyDescent="0.25">
      <c r="A50" s="47">
        <f t="shared" si="2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2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2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2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2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2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2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>
        <v>45962</v>
      </c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2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2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2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2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 t="s">
        <v>8245</v>
      </c>
      <c r="O60" s="47"/>
      <c r="P60" s="50"/>
      <c r="Q60" s="47"/>
      <c r="R60" s="47"/>
    </row>
    <row r="61" spans="1:18" x14ac:dyDescent="0.25">
      <c r="A61" s="47">
        <f t="shared" si="2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2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2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2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2"/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si="1"/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2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18","KULGAM",IF(LEFT(I67,4)="JK22","SHOPIAN",IF(LEFT(I67,4)="JK02","JAMMU",IF(LEFT(I67,4)="JK09","KUPWARA",IF(LEFT(I67,4)="JK15","BANDIPORA",IF(LEFT(I67,4)="JK17","KISHTWAR",IF(LEFT(I67,4)="LA01","KARGIL",IF(LEFT(I67,1)="T","TEMP","NEW")))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7088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ref="A72:A105" si="4">ROW()-1</f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4"/>
        <v>72</v>
      </c>
      <c r="B73" s="47" t="s">
        <v>6784</v>
      </c>
      <c r="C73" s="47" t="s">
        <v>6785</v>
      </c>
      <c r="D73" s="47" t="s">
        <v>6786</v>
      </c>
      <c r="E73" s="47" t="s">
        <v>6787</v>
      </c>
      <c r="F73" s="47" t="s">
        <v>5</v>
      </c>
      <c r="G73" s="47" t="s">
        <v>226</v>
      </c>
      <c r="H73" s="47" t="str">
        <f t="shared" si="3"/>
        <v>SRINAGAR</v>
      </c>
      <c r="I73" s="47" t="s">
        <v>6793</v>
      </c>
      <c r="J73" s="48">
        <v>45996</v>
      </c>
      <c r="K73" s="47">
        <v>9419032294</v>
      </c>
      <c r="L73" s="47" t="s">
        <v>6451</v>
      </c>
      <c r="M73" s="49" t="s">
        <v>8240</v>
      </c>
      <c r="N73" s="48">
        <v>46032</v>
      </c>
      <c r="O73" s="47"/>
      <c r="P73" s="50"/>
      <c r="Q73" s="47"/>
      <c r="R73" s="47" t="s">
        <v>6856</v>
      </c>
    </row>
    <row r="74" spans="1:18" x14ac:dyDescent="0.25">
      <c r="A74" s="47">
        <f t="shared" si="4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4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4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3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4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3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4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4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4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4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4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4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4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4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>
        <v>45962</v>
      </c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4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3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4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4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>
        <v>45962</v>
      </c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4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>
        <v>45962</v>
      </c>
      <c r="O89" s="47"/>
      <c r="P89" s="50"/>
      <c r="Q89" s="47"/>
      <c r="R89" s="47"/>
    </row>
    <row r="90" spans="1:18" x14ac:dyDescent="0.25">
      <c r="A90" s="47">
        <f t="shared" si="4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3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4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>
        <v>45962</v>
      </c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4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3"/>
        <v>TEMP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4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3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>
        <v>45982</v>
      </c>
      <c r="O93" s="47"/>
      <c r="P93" s="50"/>
      <c r="Q93" s="47"/>
      <c r="R93" s="47"/>
    </row>
    <row r="94" spans="1:18" x14ac:dyDescent="0.25">
      <c r="A94" s="47">
        <f t="shared" si="4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>
        <v>45962</v>
      </c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4"/>
        <v>94</v>
      </c>
      <c r="B95" s="47" t="s">
        <v>6515</v>
      </c>
      <c r="C95" s="47" t="s">
        <v>6516</v>
      </c>
      <c r="D95" s="47" t="s">
        <v>7633</v>
      </c>
      <c r="E95" s="47" t="s">
        <v>6517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4"/>
        <v>95</v>
      </c>
      <c r="B96" s="47" t="s">
        <v>7779</v>
      </c>
      <c r="C96" s="47" t="s">
        <v>7780</v>
      </c>
      <c r="D96" s="47" t="s">
        <v>7781</v>
      </c>
      <c r="E96" s="47" t="s">
        <v>7782</v>
      </c>
      <c r="F96" s="47" t="s">
        <v>119</v>
      </c>
      <c r="G96" s="47" t="s">
        <v>175</v>
      </c>
      <c r="H96" s="47" t="str">
        <f t="shared" si="3"/>
        <v>BARAMULLA</v>
      </c>
      <c r="I96" s="47" t="s">
        <v>7783</v>
      </c>
      <c r="J96" s="48">
        <v>46021</v>
      </c>
      <c r="K96" s="47">
        <v>6006052436</v>
      </c>
      <c r="L96" s="47" t="s">
        <v>6521</v>
      </c>
      <c r="M96" s="49" t="s">
        <v>8218</v>
      </c>
      <c r="N96" s="48">
        <v>46030</v>
      </c>
      <c r="O96" s="47" t="s">
        <v>23</v>
      </c>
      <c r="P96" s="50">
        <v>46030</v>
      </c>
      <c r="Q96" s="47" t="s">
        <v>6460</v>
      </c>
      <c r="R96" s="47" t="s">
        <v>7808</v>
      </c>
    </row>
    <row r="97" spans="1:23" x14ac:dyDescent="0.25">
      <c r="A97" s="47">
        <f t="shared" si="4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8246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4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3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>
        <v>45972</v>
      </c>
      <c r="O98" s="47"/>
      <c r="P98" s="50"/>
      <c r="Q98" s="47"/>
      <c r="R98" s="47"/>
    </row>
    <row r="99" spans="1:23" x14ac:dyDescent="0.25">
      <c r="A99" s="47">
        <f t="shared" si="4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4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7714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4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3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 t="s">
        <v>8247</v>
      </c>
      <c r="O101" s="47"/>
      <c r="P101" s="50"/>
      <c r="Q101" s="47"/>
      <c r="R101" s="47"/>
    </row>
    <row r="102" spans="1:23" x14ac:dyDescent="0.25">
      <c r="A102" s="47">
        <f t="shared" si="4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4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 t="s">
        <v>8248</v>
      </c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4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4"/>
        <v>104</v>
      </c>
      <c r="B105" s="47" t="s">
        <v>6926</v>
      </c>
      <c r="C105" s="47" t="s">
        <v>6924</v>
      </c>
      <c r="D105" s="47" t="s">
        <v>6925</v>
      </c>
      <c r="E105" s="47" t="s">
        <v>3420</v>
      </c>
      <c r="F105" s="47" t="s">
        <v>31</v>
      </c>
      <c r="G105" s="47" t="s">
        <v>174</v>
      </c>
      <c r="H105" s="47" t="str">
        <f t="shared" si="3"/>
        <v>PULWAMA</v>
      </c>
      <c r="I105" s="47" t="s">
        <v>6928</v>
      </c>
      <c r="J105" s="48">
        <v>46000</v>
      </c>
      <c r="K105" s="47">
        <v>9622432608</v>
      </c>
      <c r="L105" s="47" t="s">
        <v>6521</v>
      </c>
      <c r="M105" s="49" t="s">
        <v>7164</v>
      </c>
      <c r="N105" s="48">
        <v>46007</v>
      </c>
      <c r="O105" s="47"/>
      <c r="P105" s="50"/>
      <c r="Q105" s="47"/>
      <c r="R105" s="47"/>
    </row>
    <row r="106" spans="1:23" x14ac:dyDescent="0.25">
      <c r="A106" s="47">
        <f t="shared" ref="A106:A169" si="5">ROW()-1</f>
        <v>105</v>
      </c>
      <c r="B106" s="47" t="s">
        <v>7668</v>
      </c>
      <c r="C106" s="47" t="s">
        <v>7669</v>
      </c>
      <c r="D106" s="47" t="s">
        <v>7670</v>
      </c>
      <c r="E106" s="47" t="s">
        <v>7671</v>
      </c>
      <c r="F106" s="47" t="s">
        <v>125</v>
      </c>
      <c r="G106" s="47" t="s">
        <v>174</v>
      </c>
      <c r="H106" s="47" t="str">
        <f t="shared" si="3"/>
        <v>SRINAGAR</v>
      </c>
      <c r="I106" s="47" t="s">
        <v>7683</v>
      </c>
      <c r="J106" s="48">
        <v>46019</v>
      </c>
      <c r="K106" s="47">
        <v>9622727272</v>
      </c>
      <c r="L106" s="47" t="s">
        <v>6570</v>
      </c>
      <c r="M106" s="49" t="s">
        <v>7775</v>
      </c>
      <c r="N106" s="48">
        <v>46031</v>
      </c>
      <c r="O106" s="47"/>
      <c r="P106" s="50"/>
      <c r="Q106" s="47"/>
      <c r="R106" s="47"/>
    </row>
    <row r="107" spans="1:23" x14ac:dyDescent="0.25">
      <c r="A107" s="47">
        <f t="shared" si="5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 t="s">
        <v>8249</v>
      </c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5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5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5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7715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5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7453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5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>
        <v>45972</v>
      </c>
      <c r="O112" s="47"/>
      <c r="P112" s="50"/>
      <c r="Q112" s="47"/>
      <c r="R112" s="47"/>
    </row>
    <row r="113" spans="1:18" x14ac:dyDescent="0.25">
      <c r="A113" s="47">
        <f t="shared" si="5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3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5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>
        <v>45982</v>
      </c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5"/>
        <v>114</v>
      </c>
      <c r="B115" s="47" t="s">
        <v>7304</v>
      </c>
      <c r="C115" s="47" t="s">
        <v>7301</v>
      </c>
      <c r="D115" s="47" t="s">
        <v>7302</v>
      </c>
      <c r="E115" s="47" t="s">
        <v>7303</v>
      </c>
      <c r="F115" s="47" t="s">
        <v>125</v>
      </c>
      <c r="G115" s="47" t="s">
        <v>200</v>
      </c>
      <c r="H115" s="47" t="str">
        <f t="shared" si="3"/>
        <v>SRINAGAR</v>
      </c>
      <c r="I115" s="47" t="s">
        <v>7300</v>
      </c>
      <c r="J115" s="48">
        <v>46010</v>
      </c>
      <c r="K115" s="47">
        <v>9797271333</v>
      </c>
      <c r="L115" s="47" t="s">
        <v>6451</v>
      </c>
      <c r="M115" s="49" t="s">
        <v>8240</v>
      </c>
      <c r="N115" s="48">
        <v>46032</v>
      </c>
      <c r="O115" s="47"/>
      <c r="P115" s="50"/>
      <c r="Q115" s="47"/>
      <c r="R115" s="47"/>
    </row>
    <row r="116" spans="1:18" x14ac:dyDescent="0.25">
      <c r="A116" s="47">
        <f t="shared" si="5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5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6855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5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5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 t="s">
        <v>8250</v>
      </c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5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>
        <v>45962</v>
      </c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5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5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5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 t="s">
        <v>8251</v>
      </c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5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 t="s">
        <v>8252</v>
      </c>
      <c r="O124" s="47"/>
      <c r="P124" s="50"/>
      <c r="Q124" s="47"/>
      <c r="R124" s="47"/>
    </row>
    <row r="125" spans="1:18" x14ac:dyDescent="0.25">
      <c r="A125" s="47">
        <f t="shared" si="5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5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5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>
        <v>45962</v>
      </c>
      <c r="O127" s="47"/>
      <c r="P127" s="50"/>
      <c r="Q127" s="47"/>
      <c r="R127" s="47"/>
    </row>
    <row r="128" spans="1:18" x14ac:dyDescent="0.25">
      <c r="A128" s="47">
        <f t="shared" si="5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5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5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>
        <v>45962</v>
      </c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5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tr">
        <f t="shared" ref="H131:H194" si="6"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</f>
        <v>KARGIL</v>
      </c>
      <c r="I131" s="47" t="s">
        <v>8281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5"/>
        <v>131</v>
      </c>
      <c r="B132" s="47" t="s">
        <v>7287</v>
      </c>
      <c r="C132" s="47" t="s">
        <v>7288</v>
      </c>
      <c r="D132" s="47" t="s">
        <v>7289</v>
      </c>
      <c r="E132" s="47" t="s">
        <v>7290</v>
      </c>
      <c r="F132" s="47" t="s">
        <v>6546</v>
      </c>
      <c r="G132" s="47" t="s">
        <v>6475</v>
      </c>
      <c r="H132" s="47" t="str">
        <f t="shared" si="6"/>
        <v>SRINAGAR</v>
      </c>
      <c r="I132" s="47" t="s">
        <v>7292</v>
      </c>
      <c r="J132" s="48">
        <v>46010</v>
      </c>
      <c r="K132" s="47">
        <v>9018112121</v>
      </c>
      <c r="L132" s="47" t="s">
        <v>26</v>
      </c>
      <c r="M132" s="49"/>
      <c r="N132" s="48" t="s">
        <v>8253</v>
      </c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5"/>
        <v>132</v>
      </c>
      <c r="B133" s="47" t="s">
        <v>7329</v>
      </c>
      <c r="C133" s="47" t="s">
        <v>7325</v>
      </c>
      <c r="D133" s="47" t="s">
        <v>7326</v>
      </c>
      <c r="E133" s="47" t="s">
        <v>7327</v>
      </c>
      <c r="F133" s="47" t="s">
        <v>31</v>
      </c>
      <c r="G133" s="47" t="s">
        <v>174</v>
      </c>
      <c r="H133" s="47" t="str">
        <f t="shared" si="6"/>
        <v>SRINAGAR</v>
      </c>
      <c r="I133" s="47" t="s">
        <v>7328</v>
      </c>
      <c r="J133" s="48">
        <v>46011</v>
      </c>
      <c r="K133" s="47">
        <v>9622755213</v>
      </c>
      <c r="L133" s="47" t="s">
        <v>26</v>
      </c>
      <c r="M133" s="49" t="s">
        <v>7616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5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>
        <v>45972</v>
      </c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5"/>
        <v>134</v>
      </c>
      <c r="B135" s="47" t="s">
        <v>6748</v>
      </c>
      <c r="C135" s="47" t="s">
        <v>6753</v>
      </c>
      <c r="D135" s="47" t="s">
        <v>6757</v>
      </c>
      <c r="E135" s="47" t="s">
        <v>6754</v>
      </c>
      <c r="F135" s="47" t="s">
        <v>119</v>
      </c>
      <c r="G135" s="47" t="s">
        <v>6758</v>
      </c>
      <c r="H135" s="47" t="str">
        <f t="shared" si="6"/>
        <v>SHOPIAN</v>
      </c>
      <c r="I135" s="47" t="s">
        <v>6763</v>
      </c>
      <c r="J135" s="48">
        <v>45995</v>
      </c>
      <c r="K135" s="47">
        <v>7780824558</v>
      </c>
      <c r="L135" s="47" t="s">
        <v>6761</v>
      </c>
      <c r="M135" s="49" t="s">
        <v>6850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5"/>
        <v>135</v>
      </c>
      <c r="B136" s="47" t="s">
        <v>6749</v>
      </c>
      <c r="C136" s="47" t="s">
        <v>6752</v>
      </c>
      <c r="D136" s="47" t="s">
        <v>6759</v>
      </c>
      <c r="E136" s="47" t="s">
        <v>6755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6762</v>
      </c>
      <c r="J136" s="48">
        <v>45995</v>
      </c>
      <c r="K136" s="47">
        <v>8899778092</v>
      </c>
      <c r="L136" s="47" t="s">
        <v>6434</v>
      </c>
      <c r="M136" s="49"/>
      <c r="N136" s="48" t="s">
        <v>8250</v>
      </c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5"/>
        <v>136</v>
      </c>
      <c r="B137" s="47" t="s">
        <v>6750</v>
      </c>
      <c r="C137" s="47" t="s">
        <v>6751</v>
      </c>
      <c r="D137" s="47" t="s">
        <v>6760</v>
      </c>
      <c r="E137" s="47" t="s">
        <v>6756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6764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5"/>
        <v>137</v>
      </c>
      <c r="B138" s="47" t="s">
        <v>6765</v>
      </c>
      <c r="C138" s="47" t="s">
        <v>6766</v>
      </c>
      <c r="D138" s="47" t="s">
        <v>6767</v>
      </c>
      <c r="E138" s="47" t="s">
        <v>6768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6769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5"/>
        <v>138</v>
      </c>
      <c r="B139" s="47" t="s">
        <v>6773</v>
      </c>
      <c r="C139" s="47" t="s">
        <v>6770</v>
      </c>
      <c r="D139" s="47" t="s">
        <v>6771</v>
      </c>
      <c r="E139" s="47" t="s">
        <v>6772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6774</v>
      </c>
      <c r="J139" s="48">
        <v>45995</v>
      </c>
      <c r="K139" s="47">
        <v>9797015273</v>
      </c>
      <c r="L139" s="47" t="s">
        <v>176</v>
      </c>
      <c r="M139" s="49" t="s">
        <v>6855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5"/>
        <v>139</v>
      </c>
      <c r="B140" s="47" t="s">
        <v>6781</v>
      </c>
      <c r="C140" s="47" t="s">
        <v>6782</v>
      </c>
      <c r="D140" s="47" t="s">
        <v>6783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6788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5"/>
        <v>140</v>
      </c>
      <c r="B141" s="47" t="s">
        <v>7367</v>
      </c>
      <c r="C141" s="47" t="s">
        <v>7368</v>
      </c>
      <c r="D141" s="47" t="s">
        <v>7369</v>
      </c>
      <c r="E141" s="47" t="s">
        <v>7370</v>
      </c>
      <c r="F141" s="47" t="s">
        <v>5</v>
      </c>
      <c r="G141" s="47" t="s">
        <v>200</v>
      </c>
      <c r="H141" s="47" t="str">
        <f t="shared" si="6"/>
        <v>PULWAMA</v>
      </c>
      <c r="I141" s="47" t="s">
        <v>7378</v>
      </c>
      <c r="J141" s="48">
        <v>46012</v>
      </c>
      <c r="K141" s="47">
        <v>7780912337</v>
      </c>
      <c r="L141" s="47" t="s">
        <v>6451</v>
      </c>
      <c r="M141" s="49" t="s">
        <v>8240</v>
      </c>
      <c r="N141" s="48">
        <v>46032</v>
      </c>
      <c r="O141" s="47"/>
      <c r="P141" s="50"/>
      <c r="Q141" s="47"/>
      <c r="R141" s="47" t="s">
        <v>7176</v>
      </c>
    </row>
    <row r="142" spans="1:18" x14ac:dyDescent="0.25">
      <c r="A142" s="47">
        <f t="shared" si="5"/>
        <v>141</v>
      </c>
      <c r="B142" s="47" t="s">
        <v>6792</v>
      </c>
      <c r="C142" s="47" t="s">
        <v>6789</v>
      </c>
      <c r="D142" s="47" t="s">
        <v>6790</v>
      </c>
      <c r="E142" s="47" t="s">
        <v>6791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6794</v>
      </c>
      <c r="J142" s="48">
        <v>45996</v>
      </c>
      <c r="K142" s="47">
        <v>7006748463</v>
      </c>
      <c r="L142" s="47" t="s">
        <v>2172</v>
      </c>
      <c r="M142" s="49"/>
      <c r="N142" s="48">
        <v>45962</v>
      </c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5"/>
        <v>142</v>
      </c>
      <c r="B143" s="47" t="s">
        <v>7970</v>
      </c>
      <c r="C143" s="47" t="s">
        <v>7967</v>
      </c>
      <c r="D143" s="47" t="s">
        <v>7968</v>
      </c>
      <c r="E143" s="47" t="s">
        <v>7969</v>
      </c>
      <c r="F143" s="47" t="s">
        <v>5</v>
      </c>
      <c r="G143" s="47" t="s">
        <v>199</v>
      </c>
      <c r="H143" s="47" t="str">
        <f t="shared" si="6"/>
        <v>SHOPIAN</v>
      </c>
      <c r="I143" s="47" t="s">
        <v>7976</v>
      </c>
      <c r="J143" s="48">
        <v>46025</v>
      </c>
      <c r="K143" s="47">
        <v>9103275011</v>
      </c>
      <c r="L143" s="47" t="s">
        <v>6570</v>
      </c>
      <c r="M143" s="49" t="s">
        <v>7294</v>
      </c>
      <c r="N143" s="48">
        <v>46034</v>
      </c>
      <c r="O143" s="47"/>
      <c r="P143" s="50"/>
      <c r="Q143" s="47"/>
      <c r="R143" s="47"/>
    </row>
    <row r="144" spans="1:18" x14ac:dyDescent="0.25">
      <c r="A144" s="47">
        <f t="shared" si="5"/>
        <v>143</v>
      </c>
      <c r="B144" s="47" t="s">
        <v>6804</v>
      </c>
      <c r="C144" s="47" t="s">
        <v>6801</v>
      </c>
      <c r="D144" s="47" t="s">
        <v>6802</v>
      </c>
      <c r="E144" s="47" t="s">
        <v>6803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6820</v>
      </c>
      <c r="J144" s="48">
        <v>45996</v>
      </c>
      <c r="K144" s="47">
        <v>7006009589</v>
      </c>
      <c r="L144" s="47" t="s">
        <v>1517</v>
      </c>
      <c r="M144" s="49" t="s">
        <v>6922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5"/>
        <v>144</v>
      </c>
      <c r="B145" s="47" t="s">
        <v>6812</v>
      </c>
      <c r="C145" s="47" t="s">
        <v>6805</v>
      </c>
      <c r="D145" s="47" t="s">
        <v>6806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6818</v>
      </c>
      <c r="J145" s="48">
        <v>45996</v>
      </c>
      <c r="K145" s="47">
        <v>6005402097</v>
      </c>
      <c r="L145" s="47" t="s">
        <v>6807</v>
      </c>
      <c r="M145" s="49" t="s">
        <v>7672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5"/>
        <v>145</v>
      </c>
      <c r="B146" s="47" t="s">
        <v>6811</v>
      </c>
      <c r="C146" s="47" t="s">
        <v>6808</v>
      </c>
      <c r="D146" s="47" t="s">
        <v>6809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6817</v>
      </c>
      <c r="J146" s="48">
        <v>45996</v>
      </c>
      <c r="K146" s="47">
        <v>7006699059</v>
      </c>
      <c r="L146" s="47" t="s">
        <v>6810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5"/>
        <v>146</v>
      </c>
      <c r="B147" s="47" t="s">
        <v>6813</v>
      </c>
      <c r="C147" s="47" t="s">
        <v>6814</v>
      </c>
      <c r="D147" s="47" t="s">
        <v>6815</v>
      </c>
      <c r="E147" s="47" t="s">
        <v>6816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6821</v>
      </c>
      <c r="J147" s="48">
        <v>45996</v>
      </c>
      <c r="K147" s="47">
        <v>8493043123</v>
      </c>
      <c r="L147" s="47" t="s">
        <v>194</v>
      </c>
      <c r="M147" s="49" t="s">
        <v>6850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5"/>
        <v>147</v>
      </c>
      <c r="B148" s="47" t="s">
        <v>6825</v>
      </c>
      <c r="C148" s="47" t="s">
        <v>6822</v>
      </c>
      <c r="D148" s="47" t="s">
        <v>6823</v>
      </c>
      <c r="E148" s="47" t="s">
        <v>6824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6842</v>
      </c>
      <c r="J148" s="48">
        <v>45997</v>
      </c>
      <c r="K148" s="47">
        <v>7006819575</v>
      </c>
      <c r="L148" s="47" t="s">
        <v>6761</v>
      </c>
      <c r="M148" s="49" t="s">
        <v>7151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5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6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5"/>
        <v>149</v>
      </c>
      <c r="B150" s="47" t="s">
        <v>6835</v>
      </c>
      <c r="C150" s="47" t="s">
        <v>6833</v>
      </c>
      <c r="D150" s="47" t="s">
        <v>6834</v>
      </c>
      <c r="E150" s="47" t="s">
        <v>6831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6848</v>
      </c>
      <c r="J150" s="48">
        <v>45997</v>
      </c>
      <c r="K150" s="47">
        <v>9797004941</v>
      </c>
      <c r="L150" s="47" t="s">
        <v>6832</v>
      </c>
      <c r="M150" s="49" t="s">
        <v>6890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5"/>
        <v>150</v>
      </c>
      <c r="B151" s="47" t="s">
        <v>6840</v>
      </c>
      <c r="C151" s="47" t="s">
        <v>6837</v>
      </c>
      <c r="D151" s="47" t="s">
        <v>6838</v>
      </c>
      <c r="E151" s="47" t="s">
        <v>6839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6847</v>
      </c>
      <c r="J151" s="48">
        <v>45997</v>
      </c>
      <c r="K151" s="47">
        <v>9682362746</v>
      </c>
      <c r="L151" s="47" t="s">
        <v>26</v>
      </c>
      <c r="M151" s="49" t="s">
        <v>6947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5"/>
        <v>151</v>
      </c>
      <c r="B152" s="47" t="s">
        <v>6846</v>
      </c>
      <c r="C152" s="47" t="s">
        <v>6843</v>
      </c>
      <c r="D152" s="47" t="s">
        <v>6844</v>
      </c>
      <c r="E152" s="47" t="s">
        <v>6845</v>
      </c>
      <c r="F152" s="47" t="s">
        <v>119</v>
      </c>
      <c r="G152" s="47" t="s">
        <v>6758</v>
      </c>
      <c r="H152" s="47" t="str">
        <f t="shared" si="6"/>
        <v>SRINAGAR</v>
      </c>
      <c r="I152" s="47" t="s">
        <v>6849</v>
      </c>
      <c r="J152" s="48">
        <v>45997</v>
      </c>
      <c r="K152" s="47">
        <v>9149767613</v>
      </c>
      <c r="L152" s="47" t="s">
        <v>26</v>
      </c>
      <c r="M152" s="49" t="s">
        <v>6923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5"/>
        <v>152</v>
      </c>
      <c r="B153" s="47" t="s">
        <v>8190</v>
      </c>
      <c r="C153" s="47" t="s">
        <v>8187</v>
      </c>
      <c r="D153" s="47" t="s">
        <v>8188</v>
      </c>
      <c r="E153" s="47" t="s">
        <v>8189</v>
      </c>
      <c r="F153" s="47" t="s">
        <v>6546</v>
      </c>
      <c r="G153" s="47" t="s">
        <v>200</v>
      </c>
      <c r="H153" s="47" t="str">
        <f t="shared" si="6"/>
        <v>KULGAM</v>
      </c>
      <c r="I153" s="47" t="s">
        <v>8197</v>
      </c>
      <c r="J153" s="48">
        <v>46030</v>
      </c>
      <c r="K153" s="47">
        <v>9541822070</v>
      </c>
      <c r="L153" s="47" t="s">
        <v>6570</v>
      </c>
      <c r="M153" s="49" t="s">
        <v>8228</v>
      </c>
      <c r="N153" s="48">
        <v>46034</v>
      </c>
      <c r="O153" s="47"/>
      <c r="P153" s="50"/>
      <c r="Q153" s="47"/>
      <c r="R153" s="47" t="s">
        <v>8211</v>
      </c>
    </row>
    <row r="154" spans="1:18" x14ac:dyDescent="0.25">
      <c r="A154" s="47">
        <f t="shared" si="5"/>
        <v>153</v>
      </c>
      <c r="B154" s="47" t="s">
        <v>6860</v>
      </c>
      <c r="C154" s="47" t="s">
        <v>6858</v>
      </c>
      <c r="D154" s="47" t="s">
        <v>6859</v>
      </c>
      <c r="E154" s="47" t="s">
        <v>6857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6874</v>
      </c>
      <c r="J154" s="48">
        <v>45999</v>
      </c>
      <c r="K154" s="47">
        <v>9906476349</v>
      </c>
      <c r="L154" s="47" t="s">
        <v>48</v>
      </c>
      <c r="M154" s="49"/>
      <c r="N154" s="48">
        <v>45962</v>
      </c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5"/>
        <v>154</v>
      </c>
      <c r="B155" s="47" t="s">
        <v>6862</v>
      </c>
      <c r="C155" s="47" t="s">
        <v>6861</v>
      </c>
      <c r="D155" s="47" t="s">
        <v>6867</v>
      </c>
      <c r="E155" s="47" t="s">
        <v>6433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6875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5"/>
        <v>155</v>
      </c>
      <c r="B156" s="47" t="s">
        <v>6865</v>
      </c>
      <c r="C156" s="47" t="s">
        <v>6863</v>
      </c>
      <c r="D156" s="47" t="s">
        <v>6866</v>
      </c>
      <c r="E156" s="47" t="s">
        <v>6864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6872</v>
      </c>
      <c r="J156" s="48">
        <v>45999</v>
      </c>
      <c r="K156" s="47">
        <v>9596341802</v>
      </c>
      <c r="L156" s="47" t="s">
        <v>48</v>
      </c>
      <c r="M156" s="49" t="s">
        <v>7615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5"/>
        <v>156</v>
      </c>
      <c r="B157" s="47" t="s">
        <v>6871</v>
      </c>
      <c r="C157" s="47" t="s">
        <v>6868</v>
      </c>
      <c r="D157" s="47" t="s">
        <v>6869</v>
      </c>
      <c r="E157" s="47" t="s">
        <v>6870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6904</v>
      </c>
      <c r="J157" s="48">
        <v>45999</v>
      </c>
      <c r="K157" s="47">
        <v>7006401343</v>
      </c>
      <c r="L157" s="47" t="s">
        <v>166</v>
      </c>
      <c r="M157" s="49"/>
      <c r="N157" s="48">
        <v>45962</v>
      </c>
      <c r="O157" s="47"/>
      <c r="P157" s="50"/>
      <c r="Q157" s="47"/>
      <c r="R157" s="47"/>
    </row>
    <row r="158" spans="1:18" x14ac:dyDescent="0.25">
      <c r="A158" s="47">
        <f t="shared" si="5"/>
        <v>157</v>
      </c>
      <c r="B158" s="47" t="s">
        <v>6883</v>
      </c>
      <c r="C158" s="47" t="s">
        <v>6880</v>
      </c>
      <c r="D158" s="47" t="s">
        <v>6881</v>
      </c>
      <c r="E158" s="47" t="s">
        <v>6882</v>
      </c>
      <c r="F158" s="47" t="s">
        <v>3130</v>
      </c>
      <c r="G158" s="47" t="s">
        <v>6475</v>
      </c>
      <c r="H158" s="47" t="str">
        <f t="shared" si="6"/>
        <v>ANANTNAG</v>
      </c>
      <c r="I158" s="47" t="s">
        <v>6885</v>
      </c>
      <c r="J158" s="48">
        <v>45999</v>
      </c>
      <c r="K158" s="47">
        <v>9149853916</v>
      </c>
      <c r="L158" s="47" t="s">
        <v>6884</v>
      </c>
      <c r="M158" s="49"/>
      <c r="N158" s="48" t="s">
        <v>8254</v>
      </c>
      <c r="O158" s="47"/>
      <c r="P158" s="50"/>
      <c r="Q158" s="47"/>
      <c r="R158" s="47"/>
    </row>
    <row r="159" spans="1:18" x14ac:dyDescent="0.25">
      <c r="A159" s="47">
        <f t="shared" si="5"/>
        <v>158</v>
      </c>
      <c r="B159" s="47" t="s">
        <v>7159</v>
      </c>
      <c r="C159" s="47" t="s">
        <v>7156</v>
      </c>
      <c r="D159" s="47" t="s">
        <v>7157</v>
      </c>
      <c r="E159" s="47" t="s">
        <v>7158</v>
      </c>
      <c r="F159" s="47" t="s">
        <v>119</v>
      </c>
      <c r="G159" s="47" t="s">
        <v>175</v>
      </c>
      <c r="H159" s="47" t="str">
        <f t="shared" si="6"/>
        <v>PULWAMA</v>
      </c>
      <c r="I159" s="47" t="s">
        <v>7170</v>
      </c>
      <c r="J159" s="48">
        <v>46007</v>
      </c>
      <c r="K159" s="47">
        <v>7889354231</v>
      </c>
      <c r="L159" s="47" t="s">
        <v>6521</v>
      </c>
      <c r="M159" s="49" t="s">
        <v>7672</v>
      </c>
      <c r="N159" s="48">
        <v>46021</v>
      </c>
      <c r="O159" s="47"/>
      <c r="P159" s="50"/>
      <c r="Q159" s="47"/>
      <c r="R159" s="47" t="s">
        <v>7194</v>
      </c>
    </row>
    <row r="160" spans="1:18" x14ac:dyDescent="0.25">
      <c r="A160" s="47">
        <f t="shared" si="5"/>
        <v>159</v>
      </c>
      <c r="B160" s="47" t="s">
        <v>6899</v>
      </c>
      <c r="C160" s="47" t="s">
        <v>6895</v>
      </c>
      <c r="D160" s="47" t="s">
        <v>6896</v>
      </c>
      <c r="E160" s="47" t="s">
        <v>6897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6898</v>
      </c>
      <c r="J160" s="48">
        <v>45999</v>
      </c>
      <c r="K160" s="47">
        <v>9906488569</v>
      </c>
      <c r="L160" s="47" t="s">
        <v>26</v>
      </c>
      <c r="M160" s="49" t="s">
        <v>6947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5"/>
        <v>160</v>
      </c>
      <c r="B161" s="47" t="s">
        <v>8026</v>
      </c>
      <c r="C161" s="47" t="s">
        <v>8027</v>
      </c>
      <c r="D161" s="47" t="s">
        <v>8028</v>
      </c>
      <c r="E161" s="47" t="s">
        <v>8029</v>
      </c>
      <c r="F161" s="47" t="s">
        <v>1686</v>
      </c>
      <c r="G161" s="47" t="s">
        <v>199</v>
      </c>
      <c r="H161" s="47" t="str">
        <f t="shared" si="6"/>
        <v>SRINAGAR</v>
      </c>
      <c r="I161" s="47" t="s">
        <v>8031</v>
      </c>
      <c r="J161" s="48">
        <v>46025</v>
      </c>
      <c r="K161" s="47">
        <v>7051417712</v>
      </c>
      <c r="L161" s="47" t="s">
        <v>6451</v>
      </c>
      <c r="M161" s="49" t="s">
        <v>8240</v>
      </c>
      <c r="N161" s="48">
        <v>46032</v>
      </c>
      <c r="O161" s="47"/>
      <c r="P161" s="50"/>
      <c r="Q161" s="47"/>
      <c r="R161" s="47"/>
    </row>
    <row r="162" spans="1:18" x14ac:dyDescent="0.25">
      <c r="A162" s="47">
        <f t="shared" si="5"/>
        <v>161</v>
      </c>
      <c r="B162" s="47" t="s">
        <v>6910</v>
      </c>
      <c r="C162" s="47" t="s">
        <v>6907</v>
      </c>
      <c r="D162" s="47" t="s">
        <v>6908</v>
      </c>
      <c r="E162" s="47" t="s">
        <v>6909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6911</v>
      </c>
      <c r="J162" s="48">
        <v>46000</v>
      </c>
      <c r="K162" s="47">
        <v>7006058418</v>
      </c>
      <c r="L162" s="47" t="s">
        <v>138</v>
      </c>
      <c r="M162" s="49" t="s">
        <v>7164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5"/>
        <v>162</v>
      </c>
      <c r="B163" s="47" t="s">
        <v>6913</v>
      </c>
      <c r="C163" s="47" t="s">
        <v>6920</v>
      </c>
      <c r="D163" s="47" t="s">
        <v>6921</v>
      </c>
      <c r="E163" s="47" t="s">
        <v>6914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6912</v>
      </c>
      <c r="J163" s="48">
        <v>46000</v>
      </c>
      <c r="K163" s="47">
        <v>7006824047</v>
      </c>
      <c r="L163" s="47" t="s">
        <v>6580</v>
      </c>
      <c r="M163" s="49" t="s">
        <v>7151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5"/>
        <v>163</v>
      </c>
      <c r="B164" s="47" t="s">
        <v>6915</v>
      </c>
      <c r="C164" s="47" t="s">
        <v>6917</v>
      </c>
      <c r="D164" s="47" t="s">
        <v>6918</v>
      </c>
      <c r="E164" s="47" t="s">
        <v>6916</v>
      </c>
      <c r="F164" s="47" t="s">
        <v>6919</v>
      </c>
      <c r="G164" s="47" t="s">
        <v>200</v>
      </c>
      <c r="H164" s="47" t="str">
        <f t="shared" si="6"/>
        <v>SRINAGAR</v>
      </c>
      <c r="I164" s="47" t="s">
        <v>6985</v>
      </c>
      <c r="J164" s="48">
        <v>46000</v>
      </c>
      <c r="K164" s="47">
        <v>8416000008</v>
      </c>
      <c r="L164" s="47" t="s">
        <v>3739</v>
      </c>
      <c r="M164" s="49" t="s">
        <v>7038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7034</v>
      </c>
    </row>
    <row r="165" spans="1:18" x14ac:dyDescent="0.25">
      <c r="A165" s="47">
        <f t="shared" si="5"/>
        <v>164</v>
      </c>
      <c r="B165" s="47" t="s">
        <v>7282</v>
      </c>
      <c r="C165" s="47" t="s">
        <v>7283</v>
      </c>
      <c r="D165" s="47" t="s">
        <v>7284</v>
      </c>
      <c r="E165" s="47" t="s">
        <v>7285</v>
      </c>
      <c r="F165" s="47" t="s">
        <v>67</v>
      </c>
      <c r="G165" s="47" t="s">
        <v>174</v>
      </c>
      <c r="H165" s="47" t="str">
        <f t="shared" si="6"/>
        <v>PULWAMA</v>
      </c>
      <c r="I165" s="47" t="s">
        <v>7291</v>
      </c>
      <c r="J165" s="48">
        <v>46010</v>
      </c>
      <c r="K165" s="47">
        <v>9419032432</v>
      </c>
      <c r="L165" s="47" t="s">
        <v>6521</v>
      </c>
      <c r="M165" s="49" t="s">
        <v>7672</v>
      </c>
      <c r="N165" s="48">
        <v>46021</v>
      </c>
      <c r="O165" s="47"/>
      <c r="P165" s="50"/>
      <c r="Q165" s="47"/>
      <c r="R165" s="47" t="s">
        <v>7293</v>
      </c>
    </row>
    <row r="166" spans="1:18" x14ac:dyDescent="0.25">
      <c r="A166" s="47">
        <f t="shared" si="5"/>
        <v>165</v>
      </c>
      <c r="B166" s="47" t="s">
        <v>6932</v>
      </c>
      <c r="C166" s="47" t="s">
        <v>6929</v>
      </c>
      <c r="D166" s="47" t="s">
        <v>6930</v>
      </c>
      <c r="E166" s="47" t="s">
        <v>6931</v>
      </c>
      <c r="F166" s="47" t="s">
        <v>3130</v>
      </c>
      <c r="G166" s="47" t="s">
        <v>6475</v>
      </c>
      <c r="H166" s="47" t="str">
        <f t="shared" si="6"/>
        <v>SRINAGAR</v>
      </c>
      <c r="I166" s="47" t="s">
        <v>6936</v>
      </c>
      <c r="J166" s="48">
        <v>46000</v>
      </c>
      <c r="K166" s="47">
        <v>9419052455</v>
      </c>
      <c r="L166" s="47" t="s">
        <v>61</v>
      </c>
      <c r="M166" s="49" t="s">
        <v>6850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5"/>
        <v>166</v>
      </c>
      <c r="B167" s="47" t="s">
        <v>6939</v>
      </c>
      <c r="C167" s="47" t="s">
        <v>6937</v>
      </c>
      <c r="D167" s="47" t="s">
        <v>6938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6940</v>
      </c>
      <c r="J167" s="48">
        <v>46000</v>
      </c>
      <c r="K167" s="47">
        <v>9622687856</v>
      </c>
      <c r="L167" s="47" t="s">
        <v>106</v>
      </c>
      <c r="M167" s="49" t="s">
        <v>6981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5"/>
        <v>167</v>
      </c>
      <c r="B168" s="47" t="s">
        <v>6944</v>
      </c>
      <c r="C168" s="47" t="s">
        <v>6941</v>
      </c>
      <c r="D168" s="47" t="s">
        <v>6942</v>
      </c>
      <c r="E168" s="47" t="s">
        <v>6943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6945</v>
      </c>
      <c r="J168" s="48">
        <v>46000</v>
      </c>
      <c r="K168" s="47">
        <v>7889471670</v>
      </c>
      <c r="L168" s="47" t="s">
        <v>307</v>
      </c>
      <c r="M168" s="49" t="s">
        <v>7455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5"/>
        <v>168</v>
      </c>
      <c r="B169" s="47" t="s">
        <v>6953</v>
      </c>
      <c r="C169" s="47" t="s">
        <v>6950</v>
      </c>
      <c r="D169" s="47" t="s">
        <v>6951</v>
      </c>
      <c r="E169" s="47" t="s">
        <v>6952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6954</v>
      </c>
      <c r="J169" s="48">
        <v>46000</v>
      </c>
      <c r="K169" s="47">
        <v>9596030882</v>
      </c>
      <c r="L169" s="47" t="s">
        <v>6955</v>
      </c>
      <c r="M169" s="49" t="s">
        <v>7164</v>
      </c>
      <c r="N169" s="48">
        <v>46007</v>
      </c>
      <c r="O169" s="47"/>
      <c r="P169" s="50"/>
      <c r="Q169" s="47"/>
      <c r="R169" s="47" t="s">
        <v>6974</v>
      </c>
    </row>
    <row r="170" spans="1:18" x14ac:dyDescent="0.25">
      <c r="A170" s="47">
        <f t="shared" ref="A170:A233" si="7">ROW()-1</f>
        <v>169</v>
      </c>
      <c r="B170" s="47" t="s">
        <v>6962</v>
      </c>
      <c r="C170" s="47" t="s">
        <v>6959</v>
      </c>
      <c r="D170" s="47" t="s">
        <v>6960</v>
      </c>
      <c r="E170" s="47" t="s">
        <v>6961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6971</v>
      </c>
      <c r="J170" s="48">
        <v>46001</v>
      </c>
      <c r="K170" s="47">
        <v>9103172002</v>
      </c>
      <c r="L170" s="47" t="s">
        <v>48</v>
      </c>
      <c r="M170" s="49" t="s">
        <v>7085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7"/>
        <v>170</v>
      </c>
      <c r="B171" s="47" t="s">
        <v>6967</v>
      </c>
      <c r="C171" s="47" t="s">
        <v>6963</v>
      </c>
      <c r="D171" s="47" t="s">
        <v>6964</v>
      </c>
      <c r="E171" s="47" t="s">
        <v>6965</v>
      </c>
      <c r="F171" s="47" t="s">
        <v>6966</v>
      </c>
      <c r="G171" s="47" t="s">
        <v>200</v>
      </c>
      <c r="H171" s="47" t="str">
        <f t="shared" si="6"/>
        <v>SRINAGAR</v>
      </c>
      <c r="I171" s="47" t="s">
        <v>6973</v>
      </c>
      <c r="J171" s="48">
        <v>46001</v>
      </c>
      <c r="K171" s="47">
        <v>7889467793</v>
      </c>
      <c r="L171" s="47" t="s">
        <v>2248</v>
      </c>
      <c r="M171" s="49" t="s">
        <v>7113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7"/>
        <v>171</v>
      </c>
      <c r="B172" s="47" t="s">
        <v>6970</v>
      </c>
      <c r="C172" s="47" t="s">
        <v>6968</v>
      </c>
      <c r="D172" s="47" t="s">
        <v>6969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6972</v>
      </c>
      <c r="J172" s="48">
        <v>46001</v>
      </c>
      <c r="K172" s="47">
        <v>9419381680</v>
      </c>
      <c r="L172" s="47" t="s">
        <v>75</v>
      </c>
      <c r="M172" s="49" t="s">
        <v>8243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7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7"/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 t="shared" si="6"/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7"/>
        <v>174</v>
      </c>
      <c r="B175" s="47" t="s">
        <v>7265</v>
      </c>
      <c r="C175" s="47" t="s">
        <v>7266</v>
      </c>
      <c r="D175" s="47" t="s">
        <v>7267</v>
      </c>
      <c r="E175" s="47" t="s">
        <v>7268</v>
      </c>
      <c r="F175" s="47" t="s">
        <v>119</v>
      </c>
      <c r="G175" s="47" t="s">
        <v>175</v>
      </c>
      <c r="H175" s="47" t="str">
        <f t="shared" si="6"/>
        <v>SHOPIAN</v>
      </c>
      <c r="I175" s="47" t="s">
        <v>7269</v>
      </c>
      <c r="J175" s="48">
        <v>46009</v>
      </c>
      <c r="K175" s="47">
        <v>9103369022</v>
      </c>
      <c r="L175" s="47" t="s">
        <v>6570</v>
      </c>
      <c r="M175" s="49" t="s">
        <v>7294</v>
      </c>
      <c r="N175" s="48">
        <v>46010</v>
      </c>
      <c r="O175" s="47"/>
      <c r="P175" s="50"/>
      <c r="Q175" s="47"/>
      <c r="R175" s="47"/>
    </row>
    <row r="176" spans="1:18" x14ac:dyDescent="0.25">
      <c r="A176" s="47">
        <f t="shared" si="7"/>
        <v>175</v>
      </c>
      <c r="B176" s="47" t="s">
        <v>6999</v>
      </c>
      <c r="C176" s="47" t="s">
        <v>6996</v>
      </c>
      <c r="D176" s="47" t="s">
        <v>6997</v>
      </c>
      <c r="E176" s="47" t="s">
        <v>4399</v>
      </c>
      <c r="F176" s="47" t="s">
        <v>6998</v>
      </c>
      <c r="G176" s="47" t="s">
        <v>200</v>
      </c>
      <c r="H176" s="47" t="str">
        <f t="shared" si="6"/>
        <v>BUDGAM</v>
      </c>
      <c r="I176" s="47" t="s">
        <v>7025</v>
      </c>
      <c r="J176" s="48">
        <v>46002</v>
      </c>
      <c r="K176" s="47">
        <v>6006763182</v>
      </c>
      <c r="L176" s="47" t="s">
        <v>70</v>
      </c>
      <c r="M176" s="49" t="s">
        <v>7954</v>
      </c>
      <c r="N176" s="48">
        <v>46032</v>
      </c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7"/>
        <v>176</v>
      </c>
      <c r="B177" s="47" t="s">
        <v>7000</v>
      </c>
      <c r="C177" s="47" t="s">
        <v>7001</v>
      </c>
      <c r="D177" s="47" t="s">
        <v>7002</v>
      </c>
      <c r="E177" s="47" t="s">
        <v>7003</v>
      </c>
      <c r="F177" s="47" t="s">
        <v>6998</v>
      </c>
      <c r="G177" s="47" t="s">
        <v>175</v>
      </c>
      <c r="H177" s="47" t="str">
        <f t="shared" si="6"/>
        <v>BUDGAM</v>
      </c>
      <c r="I177" s="47" t="s">
        <v>7026</v>
      </c>
      <c r="J177" s="48">
        <v>46002</v>
      </c>
      <c r="K177" s="47">
        <v>9149852485</v>
      </c>
      <c r="L177" s="47" t="s">
        <v>70</v>
      </c>
      <c r="M177" s="49" t="s">
        <v>7114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7"/>
        <v>177</v>
      </c>
      <c r="B178" s="47" t="s">
        <v>7007</v>
      </c>
      <c r="C178" s="47" t="s">
        <v>7004</v>
      </c>
      <c r="D178" s="47" t="s">
        <v>7005</v>
      </c>
      <c r="E178" s="47" t="s">
        <v>7006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7008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7"/>
        <v>178</v>
      </c>
      <c r="B179" s="47" t="s">
        <v>7009</v>
      </c>
      <c r="C179" s="47" t="s">
        <v>7010</v>
      </c>
      <c r="D179" s="47" t="s">
        <v>7011</v>
      </c>
      <c r="E179" s="47" t="s">
        <v>7012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7013</v>
      </c>
      <c r="J179" s="48">
        <v>46002</v>
      </c>
      <c r="K179" s="47">
        <v>7006743019</v>
      </c>
      <c r="L179" s="47" t="s">
        <v>7014</v>
      </c>
      <c r="M179" s="49" t="s">
        <v>7164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7"/>
        <v>179</v>
      </c>
      <c r="B180" s="47" t="s">
        <v>6797</v>
      </c>
      <c r="C180" s="47" t="s">
        <v>6798</v>
      </c>
      <c r="D180" s="47" t="s">
        <v>6799</v>
      </c>
      <c r="E180" s="47" t="s">
        <v>6800</v>
      </c>
      <c r="F180" s="47" t="s">
        <v>31</v>
      </c>
      <c r="G180" s="47" t="s">
        <v>200</v>
      </c>
      <c r="H180" s="47" t="str">
        <f t="shared" si="6"/>
        <v>SHOPIAN</v>
      </c>
      <c r="I180" s="47" t="s">
        <v>6819</v>
      </c>
      <c r="J180" s="48">
        <v>45996</v>
      </c>
      <c r="K180" s="47">
        <v>9596254341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7"/>
        <v>180</v>
      </c>
      <c r="B181" s="47" t="s">
        <v>7021</v>
      </c>
      <c r="C181" s="47" t="s">
        <v>7022</v>
      </c>
      <c r="D181" s="47" t="s">
        <v>7023</v>
      </c>
      <c r="E181" s="47" t="s">
        <v>7024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7027</v>
      </c>
      <c r="J181" s="48">
        <v>46002</v>
      </c>
      <c r="K181" s="47">
        <v>8082636745</v>
      </c>
      <c r="L181" s="47" t="s">
        <v>43</v>
      </c>
      <c r="M181" s="49" t="s">
        <v>7152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7"/>
        <v>181</v>
      </c>
      <c r="B182" s="47" t="s">
        <v>7042</v>
      </c>
      <c r="C182" s="47" t="s">
        <v>7039</v>
      </c>
      <c r="D182" s="47" t="s">
        <v>7040</v>
      </c>
      <c r="E182" s="47" t="s">
        <v>7041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7062</v>
      </c>
      <c r="J182" s="48">
        <v>46003</v>
      </c>
      <c r="K182" s="47">
        <v>9419015767</v>
      </c>
      <c r="L182" s="47" t="s">
        <v>48</v>
      </c>
      <c r="M182" s="49"/>
      <c r="N182" s="48" t="s">
        <v>8253</v>
      </c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7"/>
        <v>182</v>
      </c>
      <c r="B183" s="47" t="s">
        <v>7578</v>
      </c>
      <c r="C183" s="47" t="s">
        <v>7579</v>
      </c>
      <c r="D183" s="47" t="s">
        <v>7580</v>
      </c>
      <c r="E183" s="47" t="s">
        <v>7581</v>
      </c>
      <c r="F183" s="47" t="s">
        <v>290</v>
      </c>
      <c r="G183" s="47" t="s">
        <v>175</v>
      </c>
      <c r="H183" s="47" t="str">
        <f t="shared" si="6"/>
        <v>SRINAGAR</v>
      </c>
      <c r="I183" s="47" t="s">
        <v>7592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7"/>
        <v>183</v>
      </c>
      <c r="B184" s="47" t="s">
        <v>7587</v>
      </c>
      <c r="C184" s="47" t="s">
        <v>7587</v>
      </c>
      <c r="D184" s="47" t="s">
        <v>7588</v>
      </c>
      <c r="E184" s="47" t="s">
        <v>7589</v>
      </c>
      <c r="F184" s="47" t="s">
        <v>31</v>
      </c>
      <c r="G184" s="47" t="s">
        <v>200</v>
      </c>
      <c r="H184" s="47" t="str">
        <f t="shared" si="6"/>
        <v>PULWAMA</v>
      </c>
      <c r="I184" s="47" t="s">
        <v>7594</v>
      </c>
      <c r="J184" s="48">
        <v>46017</v>
      </c>
      <c r="K184" s="47">
        <v>8491093722</v>
      </c>
      <c r="L184" s="47" t="s">
        <v>6521</v>
      </c>
      <c r="M184" s="49" t="s">
        <v>7672</v>
      </c>
      <c r="N184" s="48">
        <v>46021</v>
      </c>
      <c r="O184" s="47"/>
      <c r="P184" s="50"/>
      <c r="Q184" s="47"/>
      <c r="R184" s="47"/>
    </row>
    <row r="185" spans="1:18" x14ac:dyDescent="0.25">
      <c r="A185" s="47">
        <f t="shared" si="7"/>
        <v>184</v>
      </c>
      <c r="B185" s="47" t="s">
        <v>7052</v>
      </c>
      <c r="C185" s="47" t="s">
        <v>7053</v>
      </c>
      <c r="D185" s="47" t="s">
        <v>7054</v>
      </c>
      <c r="E185" s="47" t="s">
        <v>7055</v>
      </c>
      <c r="F185" s="47" t="s">
        <v>3130</v>
      </c>
      <c r="G185" s="47" t="s">
        <v>6475</v>
      </c>
      <c r="H185" s="47" t="str">
        <f t="shared" si="6"/>
        <v>SRINAGAR</v>
      </c>
      <c r="I185" s="47" t="s">
        <v>7063</v>
      </c>
      <c r="J185" s="48">
        <v>46003</v>
      </c>
      <c r="K185" s="47">
        <v>6006485825</v>
      </c>
      <c r="L185" s="47" t="s">
        <v>7056</v>
      </c>
      <c r="M185" s="49" t="s">
        <v>8075</v>
      </c>
      <c r="N185" s="48">
        <v>46027</v>
      </c>
      <c r="O185" s="54" t="s">
        <v>7083</v>
      </c>
      <c r="P185" s="50"/>
      <c r="Q185" s="47"/>
      <c r="R185" s="47"/>
    </row>
    <row r="186" spans="1:18" x14ac:dyDescent="0.25">
      <c r="A186" s="47">
        <f t="shared" si="7"/>
        <v>185</v>
      </c>
      <c r="B186" s="47" t="s">
        <v>7057</v>
      </c>
      <c r="C186" s="47" t="s">
        <v>7058</v>
      </c>
      <c r="D186" s="47" t="s">
        <v>7059</v>
      </c>
      <c r="E186" s="47" t="s">
        <v>7060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7075</v>
      </c>
      <c r="J186" s="48">
        <v>46003</v>
      </c>
      <c r="K186" s="47">
        <v>9682101195</v>
      </c>
      <c r="L186" s="47" t="s">
        <v>70</v>
      </c>
      <c r="M186" s="49" t="s">
        <v>7114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7"/>
        <v>186</v>
      </c>
      <c r="B187" s="47" t="s">
        <v>7276</v>
      </c>
      <c r="C187" s="47" t="s">
        <v>7273</v>
      </c>
      <c r="D187" s="47" t="s">
        <v>7274</v>
      </c>
      <c r="E187" s="47" t="s">
        <v>7275</v>
      </c>
      <c r="F187" s="47" t="s">
        <v>31</v>
      </c>
      <c r="G187" s="47" t="s">
        <v>200</v>
      </c>
      <c r="H187" s="47" t="str">
        <f t="shared" si="6"/>
        <v>SHOPIAN</v>
      </c>
      <c r="I187" s="47" t="s">
        <v>7277</v>
      </c>
      <c r="J187" s="48">
        <v>46009</v>
      </c>
      <c r="K187" s="47">
        <v>7006865316</v>
      </c>
      <c r="L187" s="47" t="s">
        <v>6521</v>
      </c>
      <c r="M187" s="49" t="s">
        <v>7672</v>
      </c>
      <c r="N187" s="48">
        <v>46021</v>
      </c>
      <c r="O187" s="47"/>
      <c r="P187" s="50"/>
      <c r="Q187" s="47"/>
      <c r="R187" s="47"/>
    </row>
    <row r="188" spans="1:18" x14ac:dyDescent="0.25">
      <c r="A188" s="47">
        <f t="shared" si="7"/>
        <v>187</v>
      </c>
      <c r="B188" s="47" t="s">
        <v>7070</v>
      </c>
      <c r="C188" s="47" t="s">
        <v>7071</v>
      </c>
      <c r="D188" s="47" t="s">
        <v>7072</v>
      </c>
      <c r="E188" s="47" t="s">
        <v>7073</v>
      </c>
      <c r="F188" s="47" t="s">
        <v>3130</v>
      </c>
      <c r="G188" s="47" t="s">
        <v>6475</v>
      </c>
      <c r="H188" s="47" t="str">
        <f t="shared" si="6"/>
        <v>SRINAGAR</v>
      </c>
      <c r="I188" s="47" t="s">
        <v>7074</v>
      </c>
      <c r="J188" s="48">
        <v>46003</v>
      </c>
      <c r="K188" s="47">
        <v>9419705595</v>
      </c>
      <c r="L188" s="47" t="s">
        <v>70</v>
      </c>
      <c r="M188" s="49"/>
      <c r="N188" s="48" t="s">
        <v>8255</v>
      </c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7"/>
        <v>188</v>
      </c>
      <c r="B189" s="47" t="s">
        <v>7089</v>
      </c>
      <c r="C189" s="47" t="s">
        <v>7090</v>
      </c>
      <c r="D189" s="47" t="s">
        <v>7091</v>
      </c>
      <c r="E189" s="47" t="s">
        <v>7092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7093</v>
      </c>
      <c r="J189" s="48">
        <v>46004</v>
      </c>
      <c r="K189" s="47">
        <v>7006296665</v>
      </c>
      <c r="L189" s="47" t="s">
        <v>43</v>
      </c>
      <c r="M189" s="49" t="s">
        <v>7152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7"/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 t="shared" si="6"/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7"/>
        <v>190</v>
      </c>
      <c r="B191" s="47" t="s">
        <v>7097</v>
      </c>
      <c r="C191" s="47" t="s">
        <v>7102</v>
      </c>
      <c r="D191" s="47" t="s">
        <v>7103</v>
      </c>
      <c r="E191" s="47" t="s">
        <v>7104</v>
      </c>
      <c r="F191" s="47" t="s">
        <v>290</v>
      </c>
      <c r="G191" s="47" t="s">
        <v>175</v>
      </c>
      <c r="H191" s="47" t="str">
        <f t="shared" si="6"/>
        <v>SHOPIAN</v>
      </c>
      <c r="I191" s="47" t="s">
        <v>7105</v>
      </c>
      <c r="J191" s="48">
        <v>46004</v>
      </c>
      <c r="K191" s="47">
        <v>7006885644</v>
      </c>
      <c r="L191" s="47" t="s">
        <v>6580</v>
      </c>
      <c r="M191" s="49" t="s">
        <v>7151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7"/>
        <v>191</v>
      </c>
      <c r="B192" s="47" t="s">
        <v>7098</v>
      </c>
      <c r="C192" s="47" t="s">
        <v>7099</v>
      </c>
      <c r="D192" s="47" t="s">
        <v>7100</v>
      </c>
      <c r="E192" s="47" t="s">
        <v>7101</v>
      </c>
      <c r="F192" s="47" t="s">
        <v>6829</v>
      </c>
      <c r="G192" s="47" t="s">
        <v>6440</v>
      </c>
      <c r="H192" s="47" t="str">
        <f t="shared" si="6"/>
        <v>SRINAGAR</v>
      </c>
      <c r="I192" s="47" t="s">
        <v>7108</v>
      </c>
      <c r="J192" s="48">
        <v>46004</v>
      </c>
      <c r="K192" s="47">
        <v>7006224132</v>
      </c>
      <c r="L192" s="47" t="s">
        <v>7111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7"/>
        <v>192</v>
      </c>
      <c r="B193" s="47" t="s">
        <v>7119</v>
      </c>
      <c r="C193" s="47" t="s">
        <v>7116</v>
      </c>
      <c r="D193" s="47" t="s">
        <v>7117</v>
      </c>
      <c r="E193" s="47" t="s">
        <v>7118</v>
      </c>
      <c r="F193" s="47" t="s">
        <v>119</v>
      </c>
      <c r="G193" s="47" t="s">
        <v>221</v>
      </c>
      <c r="H193" s="47" t="str">
        <f t="shared" si="6"/>
        <v>BUDGAM</v>
      </c>
      <c r="I193" s="47" t="s">
        <v>7120</v>
      </c>
      <c r="J193" s="48">
        <v>46006</v>
      </c>
      <c r="K193" s="47">
        <v>7006159140</v>
      </c>
      <c r="L193" s="47" t="s">
        <v>70</v>
      </c>
      <c r="M193" s="49" t="s">
        <v>7114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7"/>
        <v>193</v>
      </c>
      <c r="B194" s="47" t="s">
        <v>7121</v>
      </c>
      <c r="C194" s="47" t="s">
        <v>7122</v>
      </c>
      <c r="D194" s="47" t="s">
        <v>7123</v>
      </c>
      <c r="E194" s="47" t="s">
        <v>7124</v>
      </c>
      <c r="F194" s="47" t="s">
        <v>290</v>
      </c>
      <c r="G194" s="47" t="s">
        <v>174</v>
      </c>
      <c r="H194" s="47" t="str">
        <f t="shared" si="6"/>
        <v>SRINAGAR</v>
      </c>
      <c r="I194" s="47" t="s">
        <v>7126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7"/>
        <v>194</v>
      </c>
      <c r="B195" s="47" t="s">
        <v>7125</v>
      </c>
      <c r="C195" s="47" t="s">
        <v>7131</v>
      </c>
      <c r="D195" s="47" t="s">
        <v>7132</v>
      </c>
      <c r="E195" s="47" t="s">
        <v>7133</v>
      </c>
      <c r="F195" s="47" t="s">
        <v>31</v>
      </c>
      <c r="G195" s="47" t="s">
        <v>199</v>
      </c>
      <c r="H195" s="47" t="str">
        <f t="shared" ref="H195:H258" si="8"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</f>
        <v>BUDGAM</v>
      </c>
      <c r="I195" s="47" t="s">
        <v>7134</v>
      </c>
      <c r="J195" s="48">
        <v>46006</v>
      </c>
      <c r="K195" s="47">
        <v>9419007332</v>
      </c>
      <c r="L195" s="47" t="s">
        <v>1126</v>
      </c>
      <c r="M195" s="49" t="s">
        <v>6876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7"/>
        <v>195</v>
      </c>
      <c r="B196" s="47" t="s">
        <v>7130</v>
      </c>
      <c r="C196" s="47" t="s">
        <v>7127</v>
      </c>
      <c r="D196" s="47" t="s">
        <v>7128</v>
      </c>
      <c r="E196" s="47" t="s">
        <v>7129</v>
      </c>
      <c r="F196" s="47" t="s">
        <v>119</v>
      </c>
      <c r="G196" s="47" t="s">
        <v>200</v>
      </c>
      <c r="H196" s="47" t="str">
        <f t="shared" si="8"/>
        <v>BUDGAM</v>
      </c>
      <c r="I196" s="47" t="s">
        <v>7135</v>
      </c>
      <c r="J196" s="48">
        <v>46006</v>
      </c>
      <c r="K196" s="47">
        <v>6006807265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7"/>
        <v>196</v>
      </c>
      <c r="B197" s="47" t="s">
        <v>6894</v>
      </c>
      <c r="C197" s="47" t="s">
        <v>6891</v>
      </c>
      <c r="D197" s="47" t="s">
        <v>6892</v>
      </c>
      <c r="E197" s="47" t="s">
        <v>6893</v>
      </c>
      <c r="F197" s="47" t="s">
        <v>31</v>
      </c>
      <c r="G197" s="47" t="s">
        <v>200</v>
      </c>
      <c r="H197" s="47" t="str">
        <f t="shared" si="8"/>
        <v>PULWAMA</v>
      </c>
      <c r="I197" s="47" t="s">
        <v>6905</v>
      </c>
      <c r="J197" s="48">
        <v>45999</v>
      </c>
      <c r="K197" s="47">
        <v>9797244437</v>
      </c>
      <c r="L197" s="47" t="s">
        <v>6521</v>
      </c>
      <c r="M197" s="49" t="s">
        <v>7672</v>
      </c>
      <c r="N197" s="48">
        <v>46030</v>
      </c>
      <c r="O197" s="47"/>
      <c r="P197" s="50"/>
      <c r="Q197" s="47"/>
      <c r="R197" s="47"/>
    </row>
    <row r="198" spans="1:18" x14ac:dyDescent="0.25">
      <c r="A198" s="47">
        <f t="shared" si="7"/>
        <v>197</v>
      </c>
      <c r="B198" s="47" t="s">
        <v>7144</v>
      </c>
      <c r="C198" s="47" t="s">
        <v>7145</v>
      </c>
      <c r="D198" s="47" t="s">
        <v>7146</v>
      </c>
      <c r="E198" s="47" t="s">
        <v>7147</v>
      </c>
      <c r="F198" s="47" t="s">
        <v>119</v>
      </c>
      <c r="G198" s="47" t="s">
        <v>175</v>
      </c>
      <c r="H198" s="47" t="str">
        <f t="shared" si="8"/>
        <v>BARAMULLA</v>
      </c>
      <c r="I198" s="47" t="s">
        <v>7172</v>
      </c>
      <c r="J198" s="48">
        <v>46007</v>
      </c>
      <c r="K198" s="47">
        <v>7889821425</v>
      </c>
      <c r="L198" s="47" t="s">
        <v>6832</v>
      </c>
      <c r="M198" s="49" t="s">
        <v>6890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7"/>
        <v>198</v>
      </c>
      <c r="B199" s="47" t="s">
        <v>7148</v>
      </c>
      <c r="C199" s="47" t="s">
        <v>7149</v>
      </c>
      <c r="D199" s="47" t="s">
        <v>7150</v>
      </c>
      <c r="E199" s="47" t="s">
        <v>4727</v>
      </c>
      <c r="F199" s="47" t="s">
        <v>119</v>
      </c>
      <c r="G199" s="47" t="s">
        <v>175</v>
      </c>
      <c r="H199" s="47" t="str">
        <f t="shared" si="8"/>
        <v>SRINAGAR</v>
      </c>
      <c r="I199" s="47" t="s">
        <v>7187</v>
      </c>
      <c r="J199" s="48">
        <v>46007</v>
      </c>
      <c r="K199" s="47">
        <v>9622347307</v>
      </c>
      <c r="L199" s="47" t="s">
        <v>106</v>
      </c>
      <c r="M199" s="49" t="s">
        <v>7601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7"/>
        <v>199</v>
      </c>
      <c r="B200" s="47" t="s">
        <v>8111</v>
      </c>
      <c r="C200" s="47" t="s">
        <v>8112</v>
      </c>
      <c r="D200" s="47" t="s">
        <v>8113</v>
      </c>
      <c r="E200" s="47" t="s">
        <v>8114</v>
      </c>
      <c r="F200" s="47" t="s">
        <v>102</v>
      </c>
      <c r="G200" s="47" t="s">
        <v>199</v>
      </c>
      <c r="H200" s="47" t="str">
        <f t="shared" si="8"/>
        <v>PULWAMA</v>
      </c>
      <c r="I200" s="47" t="s">
        <v>8115</v>
      </c>
      <c r="J200" s="48">
        <v>46028</v>
      </c>
      <c r="K200" s="47">
        <v>7889385453</v>
      </c>
      <c r="L200" s="47" t="s">
        <v>6451</v>
      </c>
      <c r="M200" s="49" t="s">
        <v>8240</v>
      </c>
      <c r="N200" s="48">
        <v>46032</v>
      </c>
      <c r="O200" s="47"/>
      <c r="P200" s="50"/>
      <c r="Q200" s="47"/>
      <c r="R200" s="47"/>
    </row>
    <row r="201" spans="1:18" x14ac:dyDescent="0.25">
      <c r="A201" s="47">
        <f t="shared" si="7"/>
        <v>200</v>
      </c>
      <c r="B201" s="47" t="s">
        <v>7965</v>
      </c>
      <c r="C201" s="47" t="s">
        <v>7962</v>
      </c>
      <c r="D201" s="47" t="s">
        <v>7963</v>
      </c>
      <c r="E201" s="47" t="s">
        <v>7964</v>
      </c>
      <c r="F201" s="47" t="s">
        <v>119</v>
      </c>
      <c r="G201" s="47" t="s">
        <v>200</v>
      </c>
      <c r="H201" s="47" t="str">
        <f t="shared" si="8"/>
        <v>PULWAMA</v>
      </c>
      <c r="I201" s="47" t="s">
        <v>7966</v>
      </c>
      <c r="J201" s="48">
        <v>46025</v>
      </c>
      <c r="K201" s="47">
        <v>7006861153</v>
      </c>
      <c r="L201" s="47" t="s">
        <v>6521</v>
      </c>
      <c r="M201" s="49" t="s">
        <v>7672</v>
      </c>
      <c r="N201" s="48">
        <v>46030</v>
      </c>
      <c r="O201" s="47"/>
      <c r="P201" s="50"/>
      <c r="Q201" s="47"/>
      <c r="R201" s="47"/>
    </row>
    <row r="202" spans="1:18" x14ac:dyDescent="0.25">
      <c r="A202" s="47">
        <f t="shared" si="7"/>
        <v>201</v>
      </c>
      <c r="B202" s="47" t="s">
        <v>7163</v>
      </c>
      <c r="C202" s="47" t="s">
        <v>7160</v>
      </c>
      <c r="D202" s="47" t="s">
        <v>7161</v>
      </c>
      <c r="E202" s="47" t="s">
        <v>7162</v>
      </c>
      <c r="F202" s="47" t="s">
        <v>119</v>
      </c>
      <c r="G202" s="47" t="s">
        <v>200</v>
      </c>
      <c r="H202" s="47" t="str">
        <f t="shared" si="8"/>
        <v>BUDGAM</v>
      </c>
      <c r="I202" s="47" t="s">
        <v>7169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7"/>
        <v>202</v>
      </c>
      <c r="B203" s="47" t="s">
        <v>7165</v>
      </c>
      <c r="C203" s="47" t="s">
        <v>7166</v>
      </c>
      <c r="D203" s="47" t="s">
        <v>7167</v>
      </c>
      <c r="E203" s="47" t="s">
        <v>7168</v>
      </c>
      <c r="F203" s="47" t="s">
        <v>250</v>
      </c>
      <c r="G203" s="47" t="s">
        <v>200</v>
      </c>
      <c r="H203" s="47" t="str">
        <f t="shared" si="8"/>
        <v>SRINAGAR</v>
      </c>
      <c r="I203" s="47" t="s">
        <v>7186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7"/>
        <v>203</v>
      </c>
      <c r="B204" s="47" t="s">
        <v>7180</v>
      </c>
      <c r="C204" s="47" t="s">
        <v>7177</v>
      </c>
      <c r="D204" s="47" t="s">
        <v>7178</v>
      </c>
      <c r="E204" s="47" t="s">
        <v>7179</v>
      </c>
      <c r="F204" s="47" t="s">
        <v>6420</v>
      </c>
      <c r="G204" s="47" t="s">
        <v>200</v>
      </c>
      <c r="H204" s="47" t="str">
        <f t="shared" si="8"/>
        <v>SRINAGAR</v>
      </c>
      <c r="I204" s="47" t="s">
        <v>7188</v>
      </c>
      <c r="J204" s="48">
        <v>46007</v>
      </c>
      <c r="K204" s="47">
        <v>8825095120</v>
      </c>
      <c r="L204" s="47" t="s">
        <v>43</v>
      </c>
      <c r="M204" s="49" t="s">
        <v>7152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7"/>
        <v>204</v>
      </c>
      <c r="B205" s="47" t="s">
        <v>7181</v>
      </c>
      <c r="C205" s="47" t="s">
        <v>7182</v>
      </c>
      <c r="D205" s="47" t="s">
        <v>7183</v>
      </c>
      <c r="E205" s="47" t="s">
        <v>7184</v>
      </c>
      <c r="F205" s="47" t="s">
        <v>31</v>
      </c>
      <c r="G205" s="47" t="s">
        <v>199</v>
      </c>
      <c r="H205" s="47" t="str">
        <f t="shared" si="8"/>
        <v>POONCH</v>
      </c>
      <c r="I205" s="47" t="s">
        <v>7185</v>
      </c>
      <c r="J205" s="48">
        <v>46007</v>
      </c>
      <c r="K205" s="47">
        <v>6005890836</v>
      </c>
      <c r="L205" s="47" t="s">
        <v>7195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7"/>
        <v>205</v>
      </c>
      <c r="B206" s="47" t="s">
        <v>7199</v>
      </c>
      <c r="C206" s="47" t="s">
        <v>7196</v>
      </c>
      <c r="D206" s="47" t="s">
        <v>7197</v>
      </c>
      <c r="E206" s="47" t="s">
        <v>7198</v>
      </c>
      <c r="F206" s="47" t="s">
        <v>3130</v>
      </c>
      <c r="G206" s="47" t="s">
        <v>6475</v>
      </c>
      <c r="H206" s="47" t="str">
        <f t="shared" si="8"/>
        <v>SRINAGAR</v>
      </c>
      <c r="I206" s="47" t="s">
        <v>7230</v>
      </c>
      <c r="J206" s="48">
        <v>46008</v>
      </c>
      <c r="K206" s="47">
        <v>9906946331</v>
      </c>
      <c r="L206" s="47" t="s">
        <v>2248</v>
      </c>
      <c r="M206" s="49" t="s">
        <v>7270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7"/>
        <v>206</v>
      </c>
      <c r="B207" s="47" t="s">
        <v>7207</v>
      </c>
      <c r="C207" s="47" t="s">
        <v>7200</v>
      </c>
      <c r="D207" s="47" t="s">
        <v>7201</v>
      </c>
      <c r="E207" s="47" t="s">
        <v>7202</v>
      </c>
      <c r="F207" s="47" t="s">
        <v>119</v>
      </c>
      <c r="G207" s="47" t="s">
        <v>174</v>
      </c>
      <c r="H207" s="47" t="str">
        <f t="shared" si="8"/>
        <v>BUDGAM</v>
      </c>
      <c r="I207" s="47" t="s">
        <v>7208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7"/>
        <v>207</v>
      </c>
      <c r="B208" s="47" t="s">
        <v>7206</v>
      </c>
      <c r="C208" s="47" t="s">
        <v>7204</v>
      </c>
      <c r="D208" s="47" t="s">
        <v>7205</v>
      </c>
      <c r="E208" s="47" t="s">
        <v>7203</v>
      </c>
      <c r="F208" s="47" t="s">
        <v>3130</v>
      </c>
      <c r="G208" s="47" t="s">
        <v>6475</v>
      </c>
      <c r="H208" s="47" t="str">
        <f t="shared" si="8"/>
        <v>BUDGAM</v>
      </c>
      <c r="I208" s="47" t="s">
        <v>7209</v>
      </c>
      <c r="J208" s="48">
        <v>46008</v>
      </c>
      <c r="K208" s="47">
        <v>7006565352</v>
      </c>
      <c r="L208" s="47" t="s">
        <v>70</v>
      </c>
      <c r="M208" s="49" t="s">
        <v>6850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7"/>
        <v>208</v>
      </c>
      <c r="B209" s="47" t="s">
        <v>7212</v>
      </c>
      <c r="C209" s="47" t="s">
        <v>7210</v>
      </c>
      <c r="D209" s="47" t="s">
        <v>7211</v>
      </c>
      <c r="E209" s="47" t="s">
        <v>5115</v>
      </c>
      <c r="F209" s="47" t="s">
        <v>119</v>
      </c>
      <c r="G209" s="47" t="s">
        <v>221</v>
      </c>
      <c r="H209" s="47" t="str">
        <f t="shared" si="8"/>
        <v>SRINAGAR</v>
      </c>
      <c r="I209" s="47" t="s">
        <v>7234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7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8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7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8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7"/>
        <v>211</v>
      </c>
      <c r="B212" s="47" t="s">
        <v>7221</v>
      </c>
      <c r="C212" s="47" t="s">
        <v>7222</v>
      </c>
      <c r="D212" s="47" t="s">
        <v>7223</v>
      </c>
      <c r="E212" s="47" t="s">
        <v>7224</v>
      </c>
      <c r="F212" s="47" t="s">
        <v>31</v>
      </c>
      <c r="G212" s="47" t="s">
        <v>200</v>
      </c>
      <c r="H212" s="47" t="str">
        <f t="shared" si="8"/>
        <v>SRINAGAR</v>
      </c>
      <c r="I212" s="47" t="s">
        <v>7232</v>
      </c>
      <c r="J212" s="48">
        <v>46008</v>
      </c>
      <c r="K212" s="47">
        <v>9419084883</v>
      </c>
      <c r="L212" s="47" t="s">
        <v>43</v>
      </c>
      <c r="M212" s="49" t="s">
        <v>7152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7"/>
        <v>212</v>
      </c>
      <c r="B213" s="47" t="s">
        <v>7225</v>
      </c>
      <c r="C213" s="47" t="s">
        <v>7226</v>
      </c>
      <c r="D213" s="47" t="s">
        <v>7227</v>
      </c>
      <c r="E213" s="47" t="s">
        <v>7228</v>
      </c>
      <c r="F213" s="47" t="s">
        <v>102</v>
      </c>
      <c r="G213" s="47" t="s">
        <v>181</v>
      </c>
      <c r="H213" s="47" t="str">
        <f t="shared" si="8"/>
        <v>SRINAGAR</v>
      </c>
      <c r="I213" s="47" t="s">
        <v>7233</v>
      </c>
      <c r="J213" s="48">
        <v>46008</v>
      </c>
      <c r="K213" s="47">
        <v>8825002572</v>
      </c>
      <c r="L213" s="47" t="s">
        <v>70</v>
      </c>
      <c r="M213" s="49" t="s">
        <v>7113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7"/>
        <v>213</v>
      </c>
      <c r="B214" s="47" t="s">
        <v>7235</v>
      </c>
      <c r="C214" s="47" t="s">
        <v>7236</v>
      </c>
      <c r="D214" s="47" t="s">
        <v>7237</v>
      </c>
      <c r="E214" s="47" t="s">
        <v>6772</v>
      </c>
      <c r="F214" s="47" t="s">
        <v>31</v>
      </c>
      <c r="G214" s="47" t="s">
        <v>200</v>
      </c>
      <c r="H214" s="47" t="str">
        <f t="shared" si="8"/>
        <v>PULWAMA</v>
      </c>
      <c r="I214" s="47" t="s">
        <v>7258</v>
      </c>
      <c r="J214" s="48">
        <v>46009</v>
      </c>
      <c r="K214" s="47">
        <v>9906698557</v>
      </c>
      <c r="L214" s="47" t="s">
        <v>7238</v>
      </c>
      <c r="M214" s="49" t="s">
        <v>7672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7"/>
        <v>214</v>
      </c>
      <c r="B215" s="47" t="s">
        <v>6854</v>
      </c>
      <c r="C215" s="47" t="s">
        <v>6851</v>
      </c>
      <c r="D215" s="47" t="s">
        <v>6852</v>
      </c>
      <c r="E215" s="47" t="s">
        <v>6853</v>
      </c>
      <c r="F215" s="47" t="s">
        <v>5</v>
      </c>
      <c r="G215" s="47" t="s">
        <v>200</v>
      </c>
      <c r="H215" s="47" t="str">
        <f t="shared" si="8"/>
        <v>SHOPIAN</v>
      </c>
      <c r="I215" s="47" t="s">
        <v>6873</v>
      </c>
      <c r="J215" s="48">
        <v>45999</v>
      </c>
      <c r="K215" s="47">
        <v>9858319554</v>
      </c>
      <c r="L215" s="47" t="s">
        <v>6570</v>
      </c>
      <c r="M215" s="49" t="s">
        <v>7151</v>
      </c>
      <c r="N215" s="48">
        <v>46007</v>
      </c>
      <c r="O215" s="47"/>
      <c r="P215" s="50"/>
      <c r="Q215" s="47"/>
      <c r="R215" s="47"/>
    </row>
    <row r="216" spans="1:18" x14ac:dyDescent="0.25">
      <c r="A216" s="47">
        <f t="shared" si="7"/>
        <v>215</v>
      </c>
      <c r="B216" s="47" t="s">
        <v>6992</v>
      </c>
      <c r="C216" s="47" t="s">
        <v>6993</v>
      </c>
      <c r="D216" s="47" t="s">
        <v>6995</v>
      </c>
      <c r="E216" s="47" t="s">
        <v>6994</v>
      </c>
      <c r="F216" s="47" t="s">
        <v>5</v>
      </c>
      <c r="G216" s="47" t="s">
        <v>200</v>
      </c>
      <c r="H216" s="47" t="str">
        <f t="shared" si="8"/>
        <v>SHOPIAN</v>
      </c>
      <c r="I216" s="47" t="s">
        <v>7019</v>
      </c>
      <c r="J216" s="48">
        <v>46002</v>
      </c>
      <c r="K216" s="47">
        <v>9906277021</v>
      </c>
      <c r="L216" s="47" t="s">
        <v>6570</v>
      </c>
      <c r="M216" s="49" t="s">
        <v>7151</v>
      </c>
      <c r="N216" s="48">
        <v>46007</v>
      </c>
      <c r="O216" s="47"/>
      <c r="P216" s="50"/>
      <c r="Q216" s="47"/>
      <c r="R216" s="47"/>
    </row>
    <row r="217" spans="1:18" x14ac:dyDescent="0.25">
      <c r="A217" s="47">
        <f t="shared" si="7"/>
        <v>216</v>
      </c>
      <c r="B217" s="47" t="s">
        <v>7247</v>
      </c>
      <c r="C217" s="47" t="s">
        <v>7248</v>
      </c>
      <c r="D217" s="47" t="s">
        <v>7249</v>
      </c>
      <c r="E217" s="47" t="s">
        <v>687</v>
      </c>
      <c r="F217" s="47" t="s">
        <v>119</v>
      </c>
      <c r="G217" s="47" t="s">
        <v>175</v>
      </c>
      <c r="H217" s="47" t="str">
        <f t="shared" si="8"/>
        <v>BARAMULLA</v>
      </c>
      <c r="I217" s="47" t="s">
        <v>7257</v>
      </c>
      <c r="J217" s="48">
        <v>46009</v>
      </c>
      <c r="K217" s="47">
        <v>9906859364</v>
      </c>
      <c r="L217" s="47" t="s">
        <v>7250</v>
      </c>
      <c r="M217" s="49" t="s">
        <v>7305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7"/>
        <v>217</v>
      </c>
      <c r="B218" s="47" t="s">
        <v>7018</v>
      </c>
      <c r="C218" s="47" t="s">
        <v>7015</v>
      </c>
      <c r="D218" s="47" t="s">
        <v>7016</v>
      </c>
      <c r="E218" s="47" t="s">
        <v>7017</v>
      </c>
      <c r="F218" s="47" t="s">
        <v>31</v>
      </c>
      <c r="G218" s="47" t="s">
        <v>221</v>
      </c>
      <c r="H218" s="47" t="str">
        <f t="shared" si="8"/>
        <v>PULWAMA</v>
      </c>
      <c r="I218" s="47" t="s">
        <v>7020</v>
      </c>
      <c r="J218" s="48">
        <v>46002</v>
      </c>
      <c r="K218" s="47">
        <v>7889910978</v>
      </c>
      <c r="L218" s="47" t="s">
        <v>6570</v>
      </c>
      <c r="M218" s="49" t="s">
        <v>7151</v>
      </c>
      <c r="N218" s="48">
        <v>46007</v>
      </c>
      <c r="O218" s="47"/>
      <c r="P218" s="50"/>
      <c r="Q218" s="47"/>
      <c r="R218" s="47"/>
    </row>
    <row r="219" spans="1:18" x14ac:dyDescent="0.25">
      <c r="A219" s="47">
        <f t="shared" si="7"/>
        <v>218</v>
      </c>
      <c r="B219" s="47" t="s">
        <v>7143</v>
      </c>
      <c r="C219" s="47" t="s">
        <v>7140</v>
      </c>
      <c r="D219" s="47" t="s">
        <v>7141</v>
      </c>
      <c r="E219" s="47" t="s">
        <v>7142</v>
      </c>
      <c r="F219" s="47" t="s">
        <v>119</v>
      </c>
      <c r="G219" s="47" t="s">
        <v>200</v>
      </c>
      <c r="H219" s="47" t="str">
        <f t="shared" si="8"/>
        <v>BUDGAM</v>
      </c>
      <c r="I219" s="47" t="s">
        <v>7173</v>
      </c>
      <c r="J219" s="48">
        <v>46007</v>
      </c>
      <c r="K219" s="47">
        <v>9622878211</v>
      </c>
      <c r="L219" s="47" t="s">
        <v>6521</v>
      </c>
      <c r="M219" s="49" t="s">
        <v>7776</v>
      </c>
      <c r="N219" s="48">
        <v>46021</v>
      </c>
      <c r="O219" s="47"/>
      <c r="P219" s="50"/>
      <c r="Q219" s="47"/>
      <c r="R219" s="47" t="s">
        <v>7194</v>
      </c>
    </row>
    <row r="220" spans="1:18" x14ac:dyDescent="0.25">
      <c r="A220" s="47">
        <f t="shared" si="7"/>
        <v>219</v>
      </c>
      <c r="B220" s="47" t="s">
        <v>7279</v>
      </c>
      <c r="C220" s="47" t="s">
        <v>7280</v>
      </c>
      <c r="D220" s="47" t="s">
        <v>7281</v>
      </c>
      <c r="E220" s="47" t="s">
        <v>7129</v>
      </c>
      <c r="F220" s="47" t="s">
        <v>6829</v>
      </c>
      <c r="G220" s="47" t="s">
        <v>199</v>
      </c>
      <c r="H220" s="47" t="str">
        <f t="shared" si="8"/>
        <v>SRINAGAR</v>
      </c>
      <c r="I220" s="47" t="s">
        <v>7286</v>
      </c>
      <c r="J220" s="48">
        <v>46010</v>
      </c>
      <c r="K220" s="47">
        <v>7006797277</v>
      </c>
      <c r="L220" s="47" t="s">
        <v>3926</v>
      </c>
      <c r="M220" s="49" t="s">
        <v>7454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7"/>
        <v>220</v>
      </c>
      <c r="B221" s="47" t="s">
        <v>7798</v>
      </c>
      <c r="C221" s="47" t="s">
        <v>7795</v>
      </c>
      <c r="D221" s="47" t="s">
        <v>7796</v>
      </c>
      <c r="E221" s="47" t="s">
        <v>7797</v>
      </c>
      <c r="F221" s="47" t="s">
        <v>67</v>
      </c>
      <c r="G221" s="47" t="s">
        <v>200</v>
      </c>
      <c r="H221" s="47" t="str">
        <f t="shared" si="8"/>
        <v>PULWAMA</v>
      </c>
      <c r="I221" s="47" t="s">
        <v>7809</v>
      </c>
      <c r="J221" s="48">
        <v>46022</v>
      </c>
      <c r="K221" s="47">
        <v>8899294356</v>
      </c>
      <c r="L221" s="47" t="s">
        <v>6521</v>
      </c>
      <c r="M221" s="49" t="s">
        <v>7715</v>
      </c>
      <c r="N221" s="48">
        <v>46028</v>
      </c>
      <c r="O221" s="47"/>
      <c r="P221" s="50"/>
      <c r="Q221" s="47"/>
      <c r="R221" s="47"/>
    </row>
    <row r="222" spans="1:18" x14ac:dyDescent="0.25">
      <c r="A222" s="47">
        <f t="shared" si="7"/>
        <v>221</v>
      </c>
      <c r="B222" s="47" t="s">
        <v>7645</v>
      </c>
      <c r="C222" s="47" t="s">
        <v>7642</v>
      </c>
      <c r="D222" s="47" t="s">
        <v>7643</v>
      </c>
      <c r="E222" s="47" t="s">
        <v>7644</v>
      </c>
      <c r="F222" s="47" t="s">
        <v>12</v>
      </c>
      <c r="G222" s="47" t="s">
        <v>200</v>
      </c>
      <c r="H222" s="47" t="str">
        <f t="shared" si="8"/>
        <v>SRINAGAR</v>
      </c>
      <c r="I222" s="47" t="s">
        <v>7650</v>
      </c>
      <c r="J222" s="48">
        <v>46018</v>
      </c>
      <c r="K222" s="47">
        <v>7006181232</v>
      </c>
      <c r="L222" s="47" t="s">
        <v>26</v>
      </c>
      <c r="M222" s="49"/>
      <c r="N222" s="48">
        <v>45962</v>
      </c>
      <c r="O222" s="47"/>
      <c r="P222" s="50"/>
      <c r="Q222" s="47"/>
      <c r="R222" s="47"/>
    </row>
    <row r="223" spans="1:18" x14ac:dyDescent="0.25">
      <c r="A223" s="47">
        <f t="shared" si="7"/>
        <v>222</v>
      </c>
      <c r="B223" s="47" t="s">
        <v>7299</v>
      </c>
      <c r="C223" s="47" t="s">
        <v>7295</v>
      </c>
      <c r="D223" s="47" t="s">
        <v>7296</v>
      </c>
      <c r="E223" s="47" t="s">
        <v>7297</v>
      </c>
      <c r="F223" s="47" t="s">
        <v>31</v>
      </c>
      <c r="G223" s="47" t="s">
        <v>200</v>
      </c>
      <c r="H223" s="47" t="str">
        <f t="shared" si="8"/>
        <v>SRINAGAR</v>
      </c>
      <c r="I223" s="47" t="s">
        <v>7298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7"/>
        <v>223</v>
      </c>
      <c r="B224" s="47" t="s">
        <v>8191</v>
      </c>
      <c r="C224" s="47" t="s">
        <v>8194</v>
      </c>
      <c r="D224" s="47" t="s">
        <v>8195</v>
      </c>
      <c r="E224" s="47" t="s">
        <v>8196</v>
      </c>
      <c r="F224" s="47" t="s">
        <v>5</v>
      </c>
      <c r="G224" s="47" t="s">
        <v>181</v>
      </c>
      <c r="H224" s="47" t="str">
        <f t="shared" si="8"/>
        <v>SHOPIAN</v>
      </c>
      <c r="I224" s="47" t="s">
        <v>8206</v>
      </c>
      <c r="J224" s="48">
        <v>46030</v>
      </c>
      <c r="K224" s="47">
        <v>9906656754</v>
      </c>
      <c r="L224" s="47" t="s">
        <v>6451</v>
      </c>
      <c r="M224" s="49" t="s">
        <v>8240</v>
      </c>
      <c r="N224" s="48">
        <v>46032</v>
      </c>
      <c r="O224" s="47"/>
      <c r="P224" s="50"/>
      <c r="Q224" s="47"/>
      <c r="R224" s="47" t="s">
        <v>7176</v>
      </c>
    </row>
    <row r="225" spans="1:18" x14ac:dyDescent="0.25">
      <c r="A225" s="47">
        <f t="shared" si="7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8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7"/>
        <v>225</v>
      </c>
      <c r="B226" s="47" t="s">
        <v>7043</v>
      </c>
      <c r="C226" s="47" t="s">
        <v>7044</v>
      </c>
      <c r="D226" s="47" t="s">
        <v>7045</v>
      </c>
      <c r="E226" s="47" t="s">
        <v>7046</v>
      </c>
      <c r="F226" s="47" t="s">
        <v>119</v>
      </c>
      <c r="G226" s="47" t="s">
        <v>200</v>
      </c>
      <c r="H226" s="47" t="str">
        <f t="shared" si="8"/>
        <v>BUDGAM</v>
      </c>
      <c r="I226" s="47" t="s">
        <v>7064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7"/>
        <v>226</v>
      </c>
      <c r="B227" s="47" t="s">
        <v>6559</v>
      </c>
      <c r="C227" s="47" t="s">
        <v>6562</v>
      </c>
      <c r="D227" s="47"/>
      <c r="E227" s="47" t="s">
        <v>6563</v>
      </c>
      <c r="F227" s="47" t="s">
        <v>100</v>
      </c>
      <c r="G227" s="47" t="s">
        <v>200</v>
      </c>
      <c r="H227" s="47" t="str">
        <f t="shared" si="8"/>
        <v>SHOPIAN</v>
      </c>
      <c r="I227" s="47" t="s">
        <v>6566</v>
      </c>
      <c r="J227" s="48">
        <v>45981</v>
      </c>
      <c r="K227" s="47">
        <v>9906463872</v>
      </c>
      <c r="L227" s="47" t="s">
        <v>6570</v>
      </c>
      <c r="M227" s="49"/>
      <c r="N227" s="48"/>
      <c r="O227" s="47" t="s">
        <v>23</v>
      </c>
      <c r="P227" s="50">
        <v>45990</v>
      </c>
      <c r="Q227" s="47" t="s">
        <v>6460</v>
      </c>
      <c r="R227" s="47"/>
    </row>
    <row r="228" spans="1:18" x14ac:dyDescent="0.25">
      <c r="A228" s="47">
        <f t="shared" si="7"/>
        <v>227</v>
      </c>
      <c r="B228" s="47" t="s">
        <v>7322</v>
      </c>
      <c r="C228" s="47" t="s">
        <v>7323</v>
      </c>
      <c r="D228" s="47" t="s">
        <v>7324</v>
      </c>
      <c r="E228" s="47" t="s">
        <v>7330</v>
      </c>
      <c r="F228" s="47" t="s">
        <v>193</v>
      </c>
      <c r="G228" s="47" t="s">
        <v>200</v>
      </c>
      <c r="H228" s="47" t="str">
        <f t="shared" si="8"/>
        <v>NEW</v>
      </c>
      <c r="I228" s="47" t="s">
        <v>7331</v>
      </c>
      <c r="J228" s="48">
        <v>46011</v>
      </c>
      <c r="K228" s="47">
        <v>9596209114</v>
      </c>
      <c r="L228" s="47" t="s">
        <v>2172</v>
      </c>
      <c r="M228" s="49" t="s">
        <v>7617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7"/>
        <v>228</v>
      </c>
      <c r="B229" s="47" t="s">
        <v>7306</v>
      </c>
      <c r="C229" s="47" t="s">
        <v>7307</v>
      </c>
      <c r="D229" s="47" t="s">
        <v>7308</v>
      </c>
      <c r="E229" s="47" t="s">
        <v>7309</v>
      </c>
      <c r="F229" s="47" t="s">
        <v>1264</v>
      </c>
      <c r="G229" s="47" t="s">
        <v>174</v>
      </c>
      <c r="H229" s="47" t="str">
        <f t="shared" si="8"/>
        <v>BUDGAM</v>
      </c>
      <c r="I229" s="47" t="s">
        <v>7321</v>
      </c>
      <c r="J229" s="48">
        <v>46011</v>
      </c>
      <c r="K229" s="47">
        <v>9797913220</v>
      </c>
      <c r="L229" s="47" t="s">
        <v>26</v>
      </c>
      <c r="M229" s="49" t="s">
        <v>7616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7"/>
        <v>229</v>
      </c>
      <c r="B230" s="47" t="s">
        <v>7338</v>
      </c>
      <c r="C230" s="47" t="s">
        <v>7339</v>
      </c>
      <c r="D230" s="47" t="s">
        <v>7340</v>
      </c>
      <c r="E230" s="47" t="s">
        <v>7341</v>
      </c>
      <c r="F230" s="47" t="s">
        <v>31</v>
      </c>
      <c r="G230" s="47" t="s">
        <v>174</v>
      </c>
      <c r="H230" s="47" t="str">
        <f t="shared" si="8"/>
        <v>BARAMULLA</v>
      </c>
      <c r="I230" s="47" t="s">
        <v>7346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7"/>
        <v>230</v>
      </c>
      <c r="B231" s="47" t="s">
        <v>7342</v>
      </c>
      <c r="C231" s="47" t="s">
        <v>7343</v>
      </c>
      <c r="D231" s="47" t="s">
        <v>7344</v>
      </c>
      <c r="E231" s="47" t="s">
        <v>7345</v>
      </c>
      <c r="F231" s="47" t="s">
        <v>101</v>
      </c>
      <c r="G231" s="47" t="s">
        <v>200</v>
      </c>
      <c r="H231" s="47" t="str">
        <f t="shared" si="8"/>
        <v>SRINAGAR</v>
      </c>
      <c r="I231" s="47" t="s">
        <v>7347</v>
      </c>
      <c r="J231" s="48">
        <v>46011</v>
      </c>
      <c r="K231" s="47">
        <v>7006565342</v>
      </c>
      <c r="L231" s="47" t="s">
        <v>110</v>
      </c>
      <c r="M231" s="49"/>
      <c r="N231" s="48" t="s">
        <v>8256</v>
      </c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7"/>
        <v>231</v>
      </c>
      <c r="B232" s="47" t="s">
        <v>7350</v>
      </c>
      <c r="C232" s="47" t="s">
        <v>7351</v>
      </c>
      <c r="D232" s="47" t="s">
        <v>7352</v>
      </c>
      <c r="E232" s="47" t="s">
        <v>7353</v>
      </c>
      <c r="F232" s="47" t="s">
        <v>119</v>
      </c>
      <c r="G232" s="47" t="s">
        <v>200</v>
      </c>
      <c r="H232" s="47" t="str">
        <f t="shared" si="8"/>
        <v>KUPWARA</v>
      </c>
      <c r="I232" s="47" t="s">
        <v>7374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7"/>
        <v>232</v>
      </c>
      <c r="B233" s="47" t="s">
        <v>7357</v>
      </c>
      <c r="C233" s="47" t="s">
        <v>7354</v>
      </c>
      <c r="D233" s="47" t="s">
        <v>7355</v>
      </c>
      <c r="E233" s="47" t="s">
        <v>7356</v>
      </c>
      <c r="F233" s="47" t="s">
        <v>6546</v>
      </c>
      <c r="G233" s="47" t="s">
        <v>6475</v>
      </c>
      <c r="H233" s="47" t="str">
        <f t="shared" si="8"/>
        <v>SRINAGAR</v>
      </c>
      <c r="I233" s="47" t="s">
        <v>7375</v>
      </c>
      <c r="J233" s="48">
        <v>46012</v>
      </c>
      <c r="K233" s="47">
        <v>8491929306</v>
      </c>
      <c r="L233" s="47" t="s">
        <v>166</v>
      </c>
      <c r="M233" s="49"/>
      <c r="N233" s="48" t="s">
        <v>8257</v>
      </c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ref="A234:A297" si="9">ROW()-1</f>
        <v>233</v>
      </c>
      <c r="B234" s="47" t="s">
        <v>7358</v>
      </c>
      <c r="C234" s="47" t="s">
        <v>7359</v>
      </c>
      <c r="D234" s="47" t="s">
        <v>7360</v>
      </c>
      <c r="E234" s="47" t="s">
        <v>7361</v>
      </c>
      <c r="F234" s="47" t="s">
        <v>238</v>
      </c>
      <c r="G234" s="47" t="s">
        <v>200</v>
      </c>
      <c r="H234" s="47" t="str">
        <f t="shared" si="8"/>
        <v>PULWAMA</v>
      </c>
      <c r="I234" s="47" t="s">
        <v>7379</v>
      </c>
      <c r="J234" s="48">
        <v>46012</v>
      </c>
      <c r="K234" s="47">
        <v>6005579912</v>
      </c>
      <c r="L234" s="47" t="s">
        <v>7238</v>
      </c>
      <c r="M234" s="49"/>
      <c r="N234" s="48" t="s">
        <v>8258</v>
      </c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9"/>
        <v>234</v>
      </c>
      <c r="B235" s="47" t="s">
        <v>7362</v>
      </c>
      <c r="C235" s="47" t="s">
        <v>7363</v>
      </c>
      <c r="D235" s="47" t="s">
        <v>7364</v>
      </c>
      <c r="E235" s="47" t="s">
        <v>7365</v>
      </c>
      <c r="F235" s="47" t="s">
        <v>7366</v>
      </c>
      <c r="G235" s="47" t="s">
        <v>199</v>
      </c>
      <c r="H235" s="47" t="str">
        <f t="shared" si="8"/>
        <v>SRINAGAR</v>
      </c>
      <c r="I235" s="47" t="s">
        <v>7376</v>
      </c>
      <c r="J235" s="48">
        <v>46012</v>
      </c>
      <c r="K235" s="47">
        <v>7780927793</v>
      </c>
      <c r="L235" s="47" t="s">
        <v>551</v>
      </c>
      <c r="M235" s="49" t="s">
        <v>7455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9"/>
        <v>235</v>
      </c>
      <c r="B236" s="47" t="s">
        <v>6606</v>
      </c>
      <c r="C236" s="47" t="s">
        <v>6604</v>
      </c>
      <c r="D236" s="47"/>
      <c r="E236" s="47" t="s">
        <v>6603</v>
      </c>
      <c r="F236" s="47" t="s">
        <v>6605</v>
      </c>
      <c r="G236" s="47" t="s">
        <v>226</v>
      </c>
      <c r="H236" s="47" t="str">
        <f t="shared" si="8"/>
        <v>SRINAGAR</v>
      </c>
      <c r="I236" s="47" t="s">
        <v>6607</v>
      </c>
      <c r="J236" s="48">
        <v>45983</v>
      </c>
      <c r="K236" s="47">
        <v>7006736251</v>
      </c>
      <c r="L236" s="47" t="s">
        <v>6451</v>
      </c>
      <c r="M236" s="49" t="s">
        <v>6927</v>
      </c>
      <c r="N236" s="48">
        <v>45997</v>
      </c>
      <c r="O236" s="47"/>
      <c r="P236" s="50"/>
      <c r="Q236" s="47"/>
      <c r="R236" s="47" t="s">
        <v>6609</v>
      </c>
    </row>
    <row r="237" spans="1:18" x14ac:dyDescent="0.25">
      <c r="A237" s="47">
        <f t="shared" si="9"/>
        <v>236</v>
      </c>
      <c r="B237" s="47" t="s">
        <v>7371</v>
      </c>
      <c r="C237" s="47" t="s">
        <v>7372</v>
      </c>
      <c r="D237" s="47" t="s">
        <v>7373</v>
      </c>
      <c r="E237" s="47" t="s">
        <v>5598</v>
      </c>
      <c r="F237" s="47" t="s">
        <v>3130</v>
      </c>
      <c r="G237" s="47" t="s">
        <v>6475</v>
      </c>
      <c r="H237" s="47" t="str">
        <f t="shared" si="8"/>
        <v>PULWAMA</v>
      </c>
      <c r="I237" s="47" t="s">
        <v>7377</v>
      </c>
      <c r="J237" s="48">
        <v>46012</v>
      </c>
      <c r="K237" s="47">
        <v>6006619660</v>
      </c>
      <c r="L237" s="47" t="s">
        <v>6807</v>
      </c>
      <c r="M237" s="49" t="s">
        <v>8224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9"/>
        <v>237</v>
      </c>
      <c r="B238" s="47" t="s">
        <v>308</v>
      </c>
      <c r="C238" s="47" t="s">
        <v>309</v>
      </c>
      <c r="D238" s="47"/>
      <c r="E238" s="47" t="s">
        <v>310</v>
      </c>
      <c r="F238" s="47" t="s">
        <v>31</v>
      </c>
      <c r="G238" s="47" t="s">
        <v>175</v>
      </c>
      <c r="H238" s="47" t="str">
        <f t="shared" si="8"/>
        <v>SRINAGAR</v>
      </c>
      <c r="I238" s="47" t="s">
        <v>316</v>
      </c>
      <c r="J238" s="48">
        <v>45972</v>
      </c>
      <c r="K238" s="47">
        <v>9906506594</v>
      </c>
      <c r="L238" s="47" t="s">
        <v>6451</v>
      </c>
      <c r="M238" s="49" t="s">
        <v>6548</v>
      </c>
      <c r="N238" s="48">
        <v>45981</v>
      </c>
      <c r="O238" s="47"/>
      <c r="P238" s="50"/>
      <c r="Q238" s="47"/>
      <c r="R238" s="47"/>
    </row>
    <row r="239" spans="1:18" x14ac:dyDescent="0.25">
      <c r="A239" s="47">
        <f t="shared" si="9"/>
        <v>238</v>
      </c>
      <c r="B239" s="47" t="s">
        <v>7389</v>
      </c>
      <c r="C239" s="47" t="s">
        <v>7390</v>
      </c>
      <c r="D239" s="47" t="s">
        <v>7391</v>
      </c>
      <c r="E239" s="47" t="s">
        <v>7392</v>
      </c>
      <c r="F239" s="47" t="s">
        <v>12</v>
      </c>
      <c r="G239" s="47" t="s">
        <v>181</v>
      </c>
      <c r="H239" s="47" t="str">
        <f t="shared" si="8"/>
        <v>BUDGAM</v>
      </c>
      <c r="I239" s="47" t="s">
        <v>7403</v>
      </c>
      <c r="J239" s="48">
        <v>46013</v>
      </c>
      <c r="K239" s="47">
        <v>9622737390</v>
      </c>
      <c r="L239" s="47" t="s">
        <v>48</v>
      </c>
      <c r="M239" s="49"/>
      <c r="N239" s="48">
        <v>45962</v>
      </c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9"/>
        <v>239</v>
      </c>
      <c r="B240" s="47" t="s">
        <v>7397</v>
      </c>
      <c r="C240" s="47" t="s">
        <v>7393</v>
      </c>
      <c r="D240" s="47" t="s">
        <v>7394</v>
      </c>
      <c r="E240" s="47" t="s">
        <v>7395</v>
      </c>
      <c r="F240" s="47" t="s">
        <v>12</v>
      </c>
      <c r="G240" s="47" t="s">
        <v>200</v>
      </c>
      <c r="H240" s="47" t="str">
        <f t="shared" si="8"/>
        <v>JAMMU</v>
      </c>
      <c r="I240" s="47" t="s">
        <v>7396</v>
      </c>
      <c r="J240" s="48">
        <v>46013</v>
      </c>
      <c r="K240" s="47">
        <v>7006740143</v>
      </c>
      <c r="L240" s="47" t="s">
        <v>1517</v>
      </c>
      <c r="M240" s="49"/>
      <c r="N240" s="48">
        <v>45962</v>
      </c>
      <c r="O240" s="47"/>
      <c r="P240" s="50"/>
      <c r="Q240" s="47"/>
      <c r="R240" s="47"/>
    </row>
    <row r="241" spans="1:18" x14ac:dyDescent="0.25">
      <c r="A241" s="47">
        <f t="shared" si="9"/>
        <v>240</v>
      </c>
      <c r="B241" s="47" t="s">
        <v>7402</v>
      </c>
      <c r="C241" s="47" t="s">
        <v>7398</v>
      </c>
      <c r="D241" s="47" t="s">
        <v>7399</v>
      </c>
      <c r="E241" s="47" t="s">
        <v>7400</v>
      </c>
      <c r="F241" s="47" t="s">
        <v>7401</v>
      </c>
      <c r="G241" s="47" t="s">
        <v>200</v>
      </c>
      <c r="H241" s="47" t="str">
        <f t="shared" si="8"/>
        <v>SRINAGAR</v>
      </c>
      <c r="I241" s="47" t="s">
        <v>7404</v>
      </c>
      <c r="J241" s="48">
        <v>46013</v>
      </c>
      <c r="K241" s="47">
        <v>9906387311</v>
      </c>
      <c r="L241" s="47" t="s">
        <v>1517</v>
      </c>
      <c r="M241" s="49"/>
      <c r="N241" s="48" t="s">
        <v>8253</v>
      </c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9"/>
        <v>241</v>
      </c>
      <c r="B242" s="47" t="s">
        <v>7405</v>
      </c>
      <c r="C242" s="47" t="s">
        <v>7406</v>
      </c>
      <c r="D242" s="47" t="s">
        <v>7407</v>
      </c>
      <c r="E242" s="47" t="s">
        <v>357</v>
      </c>
      <c r="F242" s="47" t="s">
        <v>31</v>
      </c>
      <c r="G242" s="47" t="s">
        <v>200</v>
      </c>
      <c r="H242" s="47" t="str">
        <f t="shared" si="8"/>
        <v>SRINAGAR</v>
      </c>
      <c r="I242" s="47" t="s">
        <v>7418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9"/>
        <v>242</v>
      </c>
      <c r="B243" s="47" t="s">
        <v>7411</v>
      </c>
      <c r="C243" s="47" t="s">
        <v>7408</v>
      </c>
      <c r="D243" s="47" t="s">
        <v>7409</v>
      </c>
      <c r="E243" s="47" t="s">
        <v>7410</v>
      </c>
      <c r="F243" s="47" t="s">
        <v>12</v>
      </c>
      <c r="G243" s="47" t="s">
        <v>200</v>
      </c>
      <c r="H243" s="47" t="str">
        <f t="shared" si="8"/>
        <v>KUPWARA</v>
      </c>
      <c r="I243" s="47" t="s">
        <v>7419</v>
      </c>
      <c r="J243" s="48">
        <v>46013</v>
      </c>
      <c r="K243" s="47">
        <v>8899080830</v>
      </c>
      <c r="L243" s="47" t="s">
        <v>307</v>
      </c>
      <c r="M243" s="49"/>
      <c r="N243" s="48">
        <v>45962</v>
      </c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9"/>
        <v>243</v>
      </c>
      <c r="B244" s="47" t="s">
        <v>7415</v>
      </c>
      <c r="C244" s="47" t="s">
        <v>7412</v>
      </c>
      <c r="D244" s="47" t="s">
        <v>7413</v>
      </c>
      <c r="E244" s="47" t="s">
        <v>7414</v>
      </c>
      <c r="F244" s="47" t="s">
        <v>101</v>
      </c>
      <c r="G244" s="47" t="s">
        <v>199</v>
      </c>
      <c r="H244" s="47" t="str">
        <f t="shared" si="8"/>
        <v>SRINAGAR</v>
      </c>
      <c r="I244" s="47" t="s">
        <v>7420</v>
      </c>
      <c r="J244" s="48">
        <v>46013</v>
      </c>
      <c r="K244" s="47">
        <v>7780857793</v>
      </c>
      <c r="L244" s="47" t="s">
        <v>110</v>
      </c>
      <c r="M244" s="49"/>
      <c r="N244" s="48" t="s">
        <v>8259</v>
      </c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9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8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9"/>
        <v>245</v>
      </c>
      <c r="B246" s="47" t="s">
        <v>7432</v>
      </c>
      <c r="C246" s="47" t="s">
        <v>7429</v>
      </c>
      <c r="D246" s="47" t="s">
        <v>7430</v>
      </c>
      <c r="E246" s="47" t="s">
        <v>7431</v>
      </c>
      <c r="F246" s="47" t="s">
        <v>12</v>
      </c>
      <c r="G246" s="47" t="s">
        <v>181</v>
      </c>
      <c r="H246" s="47" t="str">
        <f t="shared" si="8"/>
        <v>BUDGAM</v>
      </c>
      <c r="I246" s="47" t="s">
        <v>7437</v>
      </c>
      <c r="J246" s="48">
        <v>46014</v>
      </c>
      <c r="K246" s="47">
        <v>7889474847</v>
      </c>
      <c r="L246" s="47" t="s">
        <v>106</v>
      </c>
      <c r="M246" s="49"/>
      <c r="N246" s="48">
        <v>45962</v>
      </c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9"/>
        <v>246</v>
      </c>
      <c r="B247" s="47" t="s">
        <v>7433</v>
      </c>
      <c r="C247" s="47" t="s">
        <v>7434</v>
      </c>
      <c r="D247" s="47" t="s">
        <v>7435</v>
      </c>
      <c r="E247" s="47" t="s">
        <v>7436</v>
      </c>
      <c r="F247" s="47" t="s">
        <v>12</v>
      </c>
      <c r="G247" s="47" t="s">
        <v>226</v>
      </c>
      <c r="H247" s="47" t="str">
        <f t="shared" si="8"/>
        <v>SRINAGAR</v>
      </c>
      <c r="I247" s="47" t="s">
        <v>7440</v>
      </c>
      <c r="J247" s="48">
        <v>46014</v>
      </c>
      <c r="K247" s="47">
        <v>9906998728</v>
      </c>
      <c r="L247" s="47" t="s">
        <v>194</v>
      </c>
      <c r="M247" s="49"/>
      <c r="N247" s="48">
        <v>45962</v>
      </c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9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8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9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8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9"/>
        <v>249</v>
      </c>
      <c r="B250" s="47" t="s">
        <v>7476</v>
      </c>
      <c r="C250" s="47" t="s">
        <v>7468</v>
      </c>
      <c r="D250" s="47" t="s">
        <v>7515</v>
      </c>
      <c r="E250" s="47" t="s">
        <v>7460</v>
      </c>
      <c r="F250" s="47" t="s">
        <v>67</v>
      </c>
      <c r="G250" s="47" t="s">
        <v>200</v>
      </c>
      <c r="H250" s="47" t="str">
        <f t="shared" si="8"/>
        <v>BARAMULLA</v>
      </c>
      <c r="I250" s="47" t="s">
        <v>7486</v>
      </c>
      <c r="J250" s="48">
        <v>46015</v>
      </c>
      <c r="K250" s="47">
        <v>9596022327</v>
      </c>
      <c r="L250" s="47" t="s">
        <v>6683</v>
      </c>
      <c r="M250" s="49" t="s">
        <v>8017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9"/>
        <v>250</v>
      </c>
      <c r="B251" s="47" t="s">
        <v>7477</v>
      </c>
      <c r="C251" s="47" t="s">
        <v>7469</v>
      </c>
      <c r="D251" s="47" t="s">
        <v>7495</v>
      </c>
      <c r="E251" s="47" t="s">
        <v>7461</v>
      </c>
      <c r="F251" s="47" t="s">
        <v>7484</v>
      </c>
      <c r="G251" s="47" t="s">
        <v>199</v>
      </c>
      <c r="H251" s="47" t="str">
        <f t="shared" si="8"/>
        <v>BARAMULLA</v>
      </c>
      <c r="I251" s="47" t="s">
        <v>7487</v>
      </c>
      <c r="J251" s="48">
        <v>46015</v>
      </c>
      <c r="K251" s="47">
        <v>9906539681</v>
      </c>
      <c r="L251" s="47" t="s">
        <v>106</v>
      </c>
      <c r="M251" s="49" t="s">
        <v>8094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9"/>
        <v>251</v>
      </c>
      <c r="B252" s="47" t="s">
        <v>7478</v>
      </c>
      <c r="C252" s="47" t="s">
        <v>7470</v>
      </c>
      <c r="D252" s="47" t="s">
        <v>7520</v>
      </c>
      <c r="E252" s="47" t="s">
        <v>7462</v>
      </c>
      <c r="F252" s="47" t="s">
        <v>125</v>
      </c>
      <c r="G252" s="47" t="s">
        <v>175</v>
      </c>
      <c r="H252" s="47" t="str">
        <f t="shared" si="8"/>
        <v>BUDGAM</v>
      </c>
      <c r="I252" s="47" t="s">
        <v>7488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9"/>
        <v>252</v>
      </c>
      <c r="B253" s="47" t="s">
        <v>7443</v>
      </c>
      <c r="C253" s="47" t="s">
        <v>7444</v>
      </c>
      <c r="D253" s="47" t="s">
        <v>7445</v>
      </c>
      <c r="E253" s="47" t="s">
        <v>7446</v>
      </c>
      <c r="F253" s="47" t="s">
        <v>100</v>
      </c>
      <c r="G253" s="44" t="s">
        <v>174</v>
      </c>
      <c r="H253" s="47" t="str">
        <f t="shared" si="8"/>
        <v>BUDGAM</v>
      </c>
      <c r="I253" s="47" t="s">
        <v>7456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9"/>
        <v>253</v>
      </c>
      <c r="B254" s="47" t="s">
        <v>7479</v>
      </c>
      <c r="C254" s="47" t="s">
        <v>7471</v>
      </c>
      <c r="D254" s="47" t="s">
        <v>7498</v>
      </c>
      <c r="E254" s="47" t="s">
        <v>7463</v>
      </c>
      <c r="F254" s="47" t="s">
        <v>100</v>
      </c>
      <c r="G254" s="47" t="s">
        <v>200</v>
      </c>
      <c r="H254" s="47" t="str">
        <f t="shared" si="8"/>
        <v>BUDGAM</v>
      </c>
      <c r="I254" s="47" t="s">
        <v>7489</v>
      </c>
      <c r="J254" s="48">
        <v>46015</v>
      </c>
      <c r="K254" s="47">
        <v>7889383674</v>
      </c>
      <c r="L254" s="47" t="s">
        <v>48</v>
      </c>
      <c r="M254" s="49" t="s">
        <v>7775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9"/>
        <v>254</v>
      </c>
      <c r="B255" s="47" t="s">
        <v>7242</v>
      </c>
      <c r="C255" s="47" t="s">
        <v>7239</v>
      </c>
      <c r="D255" s="47" t="s">
        <v>7240</v>
      </c>
      <c r="E255" s="47" t="s">
        <v>7241</v>
      </c>
      <c r="F255" s="47" t="s">
        <v>119</v>
      </c>
      <c r="G255" s="47" t="s">
        <v>200</v>
      </c>
      <c r="H255" s="47" t="str">
        <f t="shared" si="8"/>
        <v>PULWAMA</v>
      </c>
      <c r="I255" s="47" t="s">
        <v>7259</v>
      </c>
      <c r="J255" s="48">
        <v>46009</v>
      </c>
      <c r="K255" s="47">
        <v>7006889943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9"/>
        <v>255</v>
      </c>
      <c r="B256" s="47"/>
      <c r="C256" s="47" t="s">
        <v>87</v>
      </c>
      <c r="D256" s="47"/>
      <c r="E256" s="47" t="s">
        <v>88</v>
      </c>
      <c r="F256" s="47" t="s">
        <v>31</v>
      </c>
      <c r="G256" s="47"/>
      <c r="H256" s="47" t="str">
        <f t="shared" si="8"/>
        <v>SRINAGAR</v>
      </c>
      <c r="I256" s="47" t="s">
        <v>86</v>
      </c>
      <c r="J256" s="48">
        <v>45938</v>
      </c>
      <c r="K256" s="47"/>
      <c r="L256" s="47" t="s">
        <v>6451</v>
      </c>
      <c r="M256" s="49" t="s">
        <v>89</v>
      </c>
      <c r="N256" s="48">
        <v>45965</v>
      </c>
      <c r="O256" s="47"/>
      <c r="P256" s="50"/>
      <c r="Q256" s="47"/>
      <c r="R256" s="47"/>
    </row>
    <row r="257" spans="1:18" x14ac:dyDescent="0.25">
      <c r="A257" s="47">
        <f t="shared" si="9"/>
        <v>256</v>
      </c>
      <c r="B257" s="47" t="s">
        <v>7482</v>
      </c>
      <c r="C257" s="47" t="s">
        <v>7474</v>
      </c>
      <c r="D257" s="47" t="s">
        <v>7494</v>
      </c>
      <c r="E257" s="47" t="s">
        <v>7466</v>
      </c>
      <c r="F257" s="47" t="s">
        <v>849</v>
      </c>
      <c r="G257" s="47" t="s">
        <v>181</v>
      </c>
      <c r="H257" s="47" t="str">
        <f t="shared" si="8"/>
        <v>SRINAGAR</v>
      </c>
      <c r="I257" s="47" t="s">
        <v>7492</v>
      </c>
      <c r="J257" s="48">
        <v>46015</v>
      </c>
      <c r="K257" s="47">
        <v>9205000009</v>
      </c>
      <c r="L257" s="47" t="s">
        <v>18</v>
      </c>
      <c r="M257" s="49" t="s">
        <v>7614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9"/>
        <v>257</v>
      </c>
      <c r="B258" s="47" t="s">
        <v>7483</v>
      </c>
      <c r="C258" s="47" t="s">
        <v>7475</v>
      </c>
      <c r="D258" s="47" t="s">
        <v>7497</v>
      </c>
      <c r="E258" s="47" t="s">
        <v>7467</v>
      </c>
      <c r="F258" s="47" t="s">
        <v>5</v>
      </c>
      <c r="G258" s="47" t="s">
        <v>200</v>
      </c>
      <c r="H258" s="47" t="str">
        <f t="shared" si="8"/>
        <v>SRINAGAR</v>
      </c>
      <c r="I258" s="47" t="s">
        <v>7493</v>
      </c>
      <c r="J258" s="48">
        <v>46015</v>
      </c>
      <c r="K258" s="47">
        <v>9541622336</v>
      </c>
      <c r="L258" s="47" t="s">
        <v>18</v>
      </c>
      <c r="M258" s="49" t="s">
        <v>7614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9"/>
        <v>258</v>
      </c>
      <c r="B259" s="47" t="s">
        <v>7556</v>
      </c>
      <c r="C259" s="47" t="s">
        <v>7557</v>
      </c>
      <c r="D259" s="47" t="s">
        <v>7558</v>
      </c>
      <c r="E259" s="47" t="s">
        <v>7559</v>
      </c>
      <c r="F259" s="47" t="s">
        <v>5</v>
      </c>
      <c r="G259" s="47" t="s">
        <v>200</v>
      </c>
      <c r="H259" s="47" t="str">
        <f t="shared" ref="H259:H322" si="10"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</f>
        <v>TEMP</v>
      </c>
      <c r="I259" s="47" t="s">
        <v>7560</v>
      </c>
      <c r="J259" s="48">
        <v>46015</v>
      </c>
      <c r="K259" s="47"/>
      <c r="L259" s="47" t="s">
        <v>2248</v>
      </c>
      <c r="M259" s="49"/>
      <c r="N259" s="48" t="s">
        <v>8260</v>
      </c>
      <c r="O259" s="47"/>
      <c r="P259" s="50"/>
      <c r="Q259" s="47"/>
      <c r="R259" s="47"/>
    </row>
    <row r="260" spans="1:18" x14ac:dyDescent="0.25">
      <c r="A260" s="47">
        <f t="shared" si="9"/>
        <v>259</v>
      </c>
      <c r="B260" s="47" t="s">
        <v>7499</v>
      </c>
      <c r="C260" s="47" t="s">
        <v>7500</v>
      </c>
      <c r="D260" s="47" t="s">
        <v>7501</v>
      </c>
      <c r="E260" s="47" t="s">
        <v>7502</v>
      </c>
      <c r="F260" s="47" t="s">
        <v>119</v>
      </c>
      <c r="G260" s="47" t="s">
        <v>174</v>
      </c>
      <c r="H260" s="47" t="str">
        <f t="shared" si="10"/>
        <v>BUDGAM</v>
      </c>
      <c r="I260" s="47" t="s">
        <v>7516</v>
      </c>
      <c r="J260" s="48">
        <v>46016</v>
      </c>
      <c r="K260" s="47">
        <v>6005068829</v>
      </c>
      <c r="L260" s="47" t="s">
        <v>194</v>
      </c>
      <c r="M260" s="49" t="s">
        <v>7595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9"/>
        <v>260</v>
      </c>
      <c r="B261" s="47" t="s">
        <v>7503</v>
      </c>
      <c r="C261" s="47" t="s">
        <v>7504</v>
      </c>
      <c r="D261" s="47" t="s">
        <v>7505</v>
      </c>
      <c r="E261" s="47" t="s">
        <v>7506</v>
      </c>
      <c r="F261" s="47" t="s">
        <v>5</v>
      </c>
      <c r="G261" s="47" t="s">
        <v>200</v>
      </c>
      <c r="H261" s="47" t="str">
        <f t="shared" si="10"/>
        <v>BUDGAM</v>
      </c>
      <c r="I261" s="47" t="s">
        <v>7517</v>
      </c>
      <c r="J261" s="48">
        <v>46016</v>
      </c>
      <c r="K261" s="47">
        <v>9858727429</v>
      </c>
      <c r="L261" s="47" t="s">
        <v>176</v>
      </c>
      <c r="M261" s="49"/>
      <c r="N261" s="48">
        <v>45962</v>
      </c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9"/>
        <v>261</v>
      </c>
      <c r="B262" s="47" t="s">
        <v>7153</v>
      </c>
      <c r="C262" s="47" t="s">
        <v>7154</v>
      </c>
      <c r="D262" s="47" t="s">
        <v>7155</v>
      </c>
      <c r="E262" s="47" t="s">
        <v>3493</v>
      </c>
      <c r="F262" s="47" t="s">
        <v>119</v>
      </c>
      <c r="G262" s="47" t="s">
        <v>174</v>
      </c>
      <c r="H262" s="47" t="str">
        <f t="shared" si="10"/>
        <v>PULWAMA</v>
      </c>
      <c r="I262" s="47" t="s">
        <v>7171</v>
      </c>
      <c r="J262" s="48">
        <v>46007</v>
      </c>
      <c r="K262" s="47">
        <v>8492997838</v>
      </c>
      <c r="L262" s="47" t="s">
        <v>6451</v>
      </c>
      <c r="M262" s="49"/>
      <c r="N262" s="48" t="s">
        <v>8261</v>
      </c>
      <c r="O262" s="47"/>
      <c r="P262" s="50"/>
      <c r="Q262" s="47"/>
      <c r="R262" s="47" t="s">
        <v>7176</v>
      </c>
    </row>
    <row r="263" spans="1:18" x14ac:dyDescent="0.25">
      <c r="A263" s="47">
        <f t="shared" si="9"/>
        <v>262</v>
      </c>
      <c r="B263" s="47" t="s">
        <v>7048</v>
      </c>
      <c r="C263" s="47" t="s">
        <v>7049</v>
      </c>
      <c r="D263" s="47" t="s">
        <v>7050</v>
      </c>
      <c r="E263" s="47" t="s">
        <v>7051</v>
      </c>
      <c r="F263" s="47" t="s">
        <v>31</v>
      </c>
      <c r="G263" s="47" t="s">
        <v>221</v>
      </c>
      <c r="H263" s="47" t="str">
        <f t="shared" si="10"/>
        <v>SRINAGAR</v>
      </c>
      <c r="I263" s="47" t="s">
        <v>7061</v>
      </c>
      <c r="J263" s="48">
        <v>46003</v>
      </c>
      <c r="K263" s="47">
        <v>7006646319</v>
      </c>
      <c r="L263" s="47" t="s">
        <v>6521</v>
      </c>
      <c r="M263" s="49" t="s">
        <v>7262</v>
      </c>
      <c r="N263" s="48">
        <v>46009</v>
      </c>
      <c r="O263" s="47" t="s">
        <v>23</v>
      </c>
      <c r="P263" s="50">
        <v>46009</v>
      </c>
      <c r="Q263" s="47" t="s">
        <v>6460</v>
      </c>
      <c r="R263" s="47"/>
    </row>
    <row r="264" spans="1:18" x14ac:dyDescent="0.25">
      <c r="A264" s="47">
        <f t="shared" si="9"/>
        <v>263</v>
      </c>
      <c r="B264" s="47" t="s">
        <v>7527</v>
      </c>
      <c r="C264" s="47" t="s">
        <v>7523</v>
      </c>
      <c r="D264" s="47" t="s">
        <v>7524</v>
      </c>
      <c r="E264" s="47" t="s">
        <v>7525</v>
      </c>
      <c r="F264" s="47" t="s">
        <v>67</v>
      </c>
      <c r="G264" s="47" t="s">
        <v>199</v>
      </c>
      <c r="H264" s="47" t="str">
        <f t="shared" si="10"/>
        <v>SRINAGAR</v>
      </c>
      <c r="I264" s="47" t="s">
        <v>7526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9"/>
        <v>264</v>
      </c>
      <c r="B265" s="47" t="s">
        <v>7313</v>
      </c>
      <c r="C265" s="47" t="s">
        <v>7310</v>
      </c>
      <c r="D265" s="47" t="s">
        <v>7311</v>
      </c>
      <c r="E265" s="47" t="s">
        <v>7312</v>
      </c>
      <c r="F265" s="47" t="s">
        <v>238</v>
      </c>
      <c r="G265" s="47" t="s">
        <v>200</v>
      </c>
      <c r="H265" s="47" t="str">
        <f t="shared" si="10"/>
        <v>PULWAMA</v>
      </c>
      <c r="I265" s="47" t="s">
        <v>7320</v>
      </c>
      <c r="J265" s="48">
        <v>46011</v>
      </c>
      <c r="K265" s="47">
        <v>7006878734</v>
      </c>
      <c r="L265" s="47" t="s">
        <v>26</v>
      </c>
      <c r="M265" s="49"/>
      <c r="N265" s="48" t="s">
        <v>8253</v>
      </c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9"/>
        <v>265</v>
      </c>
      <c r="B266" s="47" t="s">
        <v>7532</v>
      </c>
      <c r="C266" s="47" t="s">
        <v>7533</v>
      </c>
      <c r="D266" s="47" t="s">
        <v>7534</v>
      </c>
      <c r="E266" s="47" t="s">
        <v>6433</v>
      </c>
      <c r="F266" s="47" t="s">
        <v>31</v>
      </c>
      <c r="G266" s="47" t="s">
        <v>175</v>
      </c>
      <c r="H266" s="47" t="str">
        <f t="shared" si="10"/>
        <v>BUDGAM</v>
      </c>
      <c r="I266" s="47" t="s">
        <v>7554</v>
      </c>
      <c r="J266" s="48">
        <v>46016</v>
      </c>
      <c r="K266" s="47">
        <v>9858321757</v>
      </c>
      <c r="L266" s="47" t="s">
        <v>43</v>
      </c>
      <c r="M266" s="49" t="s">
        <v>7596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9"/>
        <v>266</v>
      </c>
      <c r="B267" s="47" t="s">
        <v>7535</v>
      </c>
      <c r="C267" s="47" t="s">
        <v>7536</v>
      </c>
      <c r="D267" s="47" t="s">
        <v>7537</v>
      </c>
      <c r="E267" s="47" t="s">
        <v>7538</v>
      </c>
      <c r="F267" s="47" t="s">
        <v>100</v>
      </c>
      <c r="G267" s="47" t="s">
        <v>200</v>
      </c>
      <c r="H267" s="47" t="str">
        <f t="shared" si="10"/>
        <v>BANDIPORA</v>
      </c>
      <c r="I267" s="47" t="s">
        <v>7553</v>
      </c>
      <c r="J267" s="48">
        <v>46016</v>
      </c>
      <c r="K267" s="47">
        <v>7889559968</v>
      </c>
      <c r="L267" s="47" t="s">
        <v>6832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9"/>
        <v>267</v>
      </c>
      <c r="B268" s="47" t="s">
        <v>7540</v>
      </c>
      <c r="C268" s="47" t="s">
        <v>7541</v>
      </c>
      <c r="D268" s="47" t="s">
        <v>7542</v>
      </c>
      <c r="E268" s="47" t="s">
        <v>7543</v>
      </c>
      <c r="F268" s="47" t="s">
        <v>119</v>
      </c>
      <c r="G268" s="47" t="s">
        <v>174</v>
      </c>
      <c r="H268" s="47" t="str">
        <f t="shared" si="10"/>
        <v>PULWAMA</v>
      </c>
      <c r="I268" s="47" t="s">
        <v>7555</v>
      </c>
      <c r="J268" s="48">
        <v>46016</v>
      </c>
      <c r="K268" s="47">
        <v>8825061187</v>
      </c>
      <c r="L268" s="47" t="s">
        <v>7544</v>
      </c>
      <c r="M268" s="49" t="s">
        <v>7694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9"/>
        <v>268</v>
      </c>
      <c r="B269" s="47" t="s">
        <v>7561</v>
      </c>
      <c r="C269" s="47" t="s">
        <v>7562</v>
      </c>
      <c r="D269" s="47" t="s">
        <v>7563</v>
      </c>
      <c r="E269" s="47" t="s">
        <v>7564</v>
      </c>
      <c r="F269" s="47" t="s">
        <v>31</v>
      </c>
      <c r="G269" s="47" t="s">
        <v>174</v>
      </c>
      <c r="H269" s="47" t="str">
        <f t="shared" si="10"/>
        <v>BARAMULLA</v>
      </c>
      <c r="I269" s="47" t="s">
        <v>7590</v>
      </c>
      <c r="J269" s="48">
        <v>46017</v>
      </c>
      <c r="K269" s="47">
        <v>9906918176</v>
      </c>
      <c r="L269" s="47" t="s">
        <v>26</v>
      </c>
      <c r="M269" s="49" t="s">
        <v>7616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9"/>
        <v>269</v>
      </c>
      <c r="B270" s="47" t="s">
        <v>7573</v>
      </c>
      <c r="C270" s="47" t="s">
        <v>7575</v>
      </c>
      <c r="D270" s="47" t="s">
        <v>7576</v>
      </c>
      <c r="E270" s="47" t="s">
        <v>7574</v>
      </c>
      <c r="F270" s="47" t="s">
        <v>7577</v>
      </c>
      <c r="G270" s="47" t="s">
        <v>6475</v>
      </c>
      <c r="H270" s="47" t="str">
        <f t="shared" si="10"/>
        <v>SRINAGAR</v>
      </c>
      <c r="I270" s="47" t="s">
        <v>7591</v>
      </c>
      <c r="J270" s="48">
        <v>46017</v>
      </c>
      <c r="K270" s="47">
        <v>9419002237</v>
      </c>
      <c r="L270" s="47" t="s">
        <v>106</v>
      </c>
      <c r="M270" s="49" t="s">
        <v>7601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9"/>
        <v>270</v>
      </c>
      <c r="B271" s="47" t="s">
        <v>7667</v>
      </c>
      <c r="C271" s="47" t="s">
        <v>7658</v>
      </c>
      <c r="D271" s="47" t="s">
        <v>7659</v>
      </c>
      <c r="E271" s="47" t="s">
        <v>7660</v>
      </c>
      <c r="F271" s="47" t="s">
        <v>31</v>
      </c>
      <c r="G271" s="47" t="s">
        <v>200</v>
      </c>
      <c r="H271" s="47" t="str">
        <f t="shared" si="10"/>
        <v>PULWAMA</v>
      </c>
      <c r="I271" s="47" t="s">
        <v>7661</v>
      </c>
      <c r="J271" s="48">
        <v>46018</v>
      </c>
      <c r="K271" s="47">
        <v>9622531795</v>
      </c>
      <c r="L271" s="47" t="s">
        <v>26</v>
      </c>
      <c r="M271" s="49" t="s">
        <v>7616</v>
      </c>
      <c r="N271" s="48">
        <v>46032</v>
      </c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9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10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9"/>
        <v>272</v>
      </c>
      <c r="B273" s="47" t="s">
        <v>6557</v>
      </c>
      <c r="C273" s="47" t="s">
        <v>6560</v>
      </c>
      <c r="D273" s="47"/>
      <c r="E273" s="47" t="s">
        <v>6561</v>
      </c>
      <c r="F273" s="47" t="s">
        <v>125</v>
      </c>
      <c r="G273" s="47" t="s">
        <v>175</v>
      </c>
      <c r="H273" s="47" t="str">
        <f t="shared" si="10"/>
        <v>PULWAMA</v>
      </c>
      <c r="I273" s="47" t="s">
        <v>6564</v>
      </c>
      <c r="J273" s="48">
        <v>45981</v>
      </c>
      <c r="K273" s="47">
        <v>9906121652</v>
      </c>
      <c r="L273" s="47" t="s">
        <v>6521</v>
      </c>
      <c r="M273" s="49" t="s">
        <v>6629</v>
      </c>
      <c r="N273" s="48">
        <v>45986</v>
      </c>
      <c r="O273" s="47" t="s">
        <v>23</v>
      </c>
      <c r="P273" s="50">
        <v>45986</v>
      </c>
      <c r="Q273" s="47" t="s">
        <v>6460</v>
      </c>
      <c r="R273" s="47"/>
    </row>
    <row r="274" spans="1:18" x14ac:dyDescent="0.25">
      <c r="A274" s="47">
        <f t="shared" si="9"/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 t="shared" si="10"/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9"/>
        <v>274</v>
      </c>
      <c r="B275" s="47" t="s">
        <v>6518</v>
      </c>
      <c r="C275" s="47" t="s">
        <v>6519</v>
      </c>
      <c r="D275" s="47"/>
      <c r="E275" s="47" t="s">
        <v>6520</v>
      </c>
      <c r="F275" s="47" t="s">
        <v>37</v>
      </c>
      <c r="G275" s="47" t="s">
        <v>181</v>
      </c>
      <c r="H275" s="47" t="str">
        <f t="shared" si="10"/>
        <v>PULWAMA</v>
      </c>
      <c r="I275" s="47" t="s">
        <v>6523</v>
      </c>
      <c r="J275" s="48">
        <v>45979</v>
      </c>
      <c r="K275" s="47">
        <v>9541759422</v>
      </c>
      <c r="L275" s="47" t="s">
        <v>6521</v>
      </c>
      <c r="M275" s="49"/>
      <c r="N275" s="48">
        <v>45972</v>
      </c>
      <c r="O275" s="47"/>
      <c r="P275" s="50"/>
      <c r="Q275" s="47"/>
      <c r="R275" s="47"/>
    </row>
    <row r="276" spans="1:18" x14ac:dyDescent="0.25">
      <c r="A276" s="47">
        <f t="shared" si="9"/>
        <v>275</v>
      </c>
      <c r="B276" s="47" t="s">
        <v>7612</v>
      </c>
      <c r="C276" s="47" t="s">
        <v>7606</v>
      </c>
      <c r="D276" s="47" t="s">
        <v>7607</v>
      </c>
      <c r="E276" s="47" t="s">
        <v>7608</v>
      </c>
      <c r="F276" s="47" t="s">
        <v>31</v>
      </c>
      <c r="G276" s="47" t="s">
        <v>200</v>
      </c>
      <c r="H276" s="47" t="str">
        <f t="shared" si="10"/>
        <v>SRINAGAR</v>
      </c>
      <c r="I276" s="47" t="s">
        <v>7609</v>
      </c>
      <c r="J276" s="48">
        <v>46017</v>
      </c>
      <c r="K276" s="47">
        <v>9149416177</v>
      </c>
      <c r="L276" s="47" t="s">
        <v>1126</v>
      </c>
      <c r="M276" s="49"/>
      <c r="N276" s="48" t="s">
        <v>8262</v>
      </c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9"/>
        <v>276</v>
      </c>
      <c r="B277" s="47" t="s">
        <v>7624</v>
      </c>
      <c r="C277" s="47" t="s">
        <v>7625</v>
      </c>
      <c r="D277" s="47" t="s">
        <v>7626</v>
      </c>
      <c r="E277" s="47" t="s">
        <v>7627</v>
      </c>
      <c r="F277" s="47" t="s">
        <v>250</v>
      </c>
      <c r="G277" s="47" t="s">
        <v>221</v>
      </c>
      <c r="H277" s="47" t="str">
        <f t="shared" si="10"/>
        <v>SRINAGAR</v>
      </c>
      <c r="I277" s="47" t="s">
        <v>7635</v>
      </c>
      <c r="J277" s="48">
        <v>46018</v>
      </c>
      <c r="K277" s="47">
        <v>9596366782</v>
      </c>
      <c r="L277" s="47" t="s">
        <v>2172</v>
      </c>
      <c r="M277" s="49" t="s">
        <v>7716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9"/>
        <v>277</v>
      </c>
      <c r="B278" s="47" t="s">
        <v>7628</v>
      </c>
      <c r="C278" s="47" t="s">
        <v>7629</v>
      </c>
      <c r="D278" s="47" t="s">
        <v>7630</v>
      </c>
      <c r="E278" s="47" t="s">
        <v>7631</v>
      </c>
      <c r="F278" s="47" t="s">
        <v>67</v>
      </c>
      <c r="G278" s="47" t="s">
        <v>181</v>
      </c>
      <c r="H278" s="47" t="str">
        <f t="shared" si="10"/>
        <v>PULWAMA</v>
      </c>
      <c r="I278" s="47" t="s">
        <v>7636</v>
      </c>
      <c r="J278" s="48">
        <v>46018</v>
      </c>
      <c r="K278" s="47">
        <v>9906687592</v>
      </c>
      <c r="L278" s="47" t="s">
        <v>26</v>
      </c>
      <c r="M278" s="49" t="s">
        <v>7616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9"/>
        <v>278</v>
      </c>
      <c r="B279" s="47" t="s">
        <v>7638</v>
      </c>
      <c r="C279" s="47" t="s">
        <v>7639</v>
      </c>
      <c r="D279" s="47" t="s">
        <v>7640</v>
      </c>
      <c r="E279" s="47" t="s">
        <v>7641</v>
      </c>
      <c r="F279" s="47" t="s">
        <v>5104</v>
      </c>
      <c r="G279" s="47" t="s">
        <v>174</v>
      </c>
      <c r="H279" s="47" t="str">
        <f t="shared" si="10"/>
        <v>SRINAGAR</v>
      </c>
      <c r="I279" s="47" t="s">
        <v>7651</v>
      </c>
      <c r="J279" s="48">
        <v>46018</v>
      </c>
      <c r="K279" s="47">
        <v>7006141977</v>
      </c>
      <c r="L279" s="47" t="s">
        <v>1126</v>
      </c>
      <c r="M279" s="49" t="s">
        <v>7700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9"/>
        <v>279</v>
      </c>
      <c r="B280" s="47" t="s">
        <v>7528</v>
      </c>
      <c r="C280" s="47" t="s">
        <v>7529</v>
      </c>
      <c r="D280" s="47" t="s">
        <v>7530</v>
      </c>
      <c r="E280" s="47" t="s">
        <v>7531</v>
      </c>
      <c r="F280" s="47" t="s">
        <v>100</v>
      </c>
      <c r="G280" s="47" t="s">
        <v>200</v>
      </c>
      <c r="H280" s="47" t="str">
        <f t="shared" si="10"/>
        <v>PULWAMA</v>
      </c>
      <c r="I280" s="47" t="s">
        <v>7539</v>
      </c>
      <c r="J280" s="48">
        <v>46016</v>
      </c>
      <c r="K280" s="47">
        <v>9697972995</v>
      </c>
      <c r="L280" s="47" t="s">
        <v>26</v>
      </c>
      <c r="M280" s="49" t="s">
        <v>7616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9"/>
        <v>280</v>
      </c>
      <c r="B281" s="47" t="s">
        <v>7646</v>
      </c>
      <c r="C281" s="47" t="s">
        <v>7647</v>
      </c>
      <c r="D281" s="47" t="s">
        <v>7648</v>
      </c>
      <c r="E281" s="47" t="s">
        <v>7649</v>
      </c>
      <c r="F281" s="47" t="s">
        <v>12</v>
      </c>
      <c r="G281" s="47" t="s">
        <v>200</v>
      </c>
      <c r="H281" s="47" t="str">
        <f t="shared" si="10"/>
        <v>BUDGAM</v>
      </c>
      <c r="I281" s="47" t="s">
        <v>7652</v>
      </c>
      <c r="J281" s="48">
        <v>46018</v>
      </c>
      <c r="K281" s="47">
        <v>9622678196</v>
      </c>
      <c r="L281" s="47" t="s">
        <v>3926</v>
      </c>
      <c r="M281" s="49" t="s">
        <v>7454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9"/>
        <v>281</v>
      </c>
      <c r="B282" s="47" t="s">
        <v>7656</v>
      </c>
      <c r="C282" s="47" t="s">
        <v>7653</v>
      </c>
      <c r="D282" s="47" t="s">
        <v>7654</v>
      </c>
      <c r="E282" s="47" t="s">
        <v>7655</v>
      </c>
      <c r="F282" s="47" t="s">
        <v>119</v>
      </c>
      <c r="G282" s="47" t="s">
        <v>175</v>
      </c>
      <c r="H282" s="47" t="str">
        <f t="shared" si="10"/>
        <v>BARAMULLA</v>
      </c>
      <c r="I282" s="47" t="s">
        <v>7657</v>
      </c>
      <c r="J282" s="48">
        <v>46018</v>
      </c>
      <c r="K282" s="47">
        <v>8715929114</v>
      </c>
      <c r="L282" s="47" t="s">
        <v>7250</v>
      </c>
      <c r="M282" s="49" t="s">
        <v>7615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9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0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7821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9"/>
        <v>283</v>
      </c>
      <c r="B284" s="47" t="s">
        <v>7383</v>
      </c>
      <c r="C284" s="47" t="s">
        <v>7380</v>
      </c>
      <c r="D284" s="47" t="s">
        <v>7381</v>
      </c>
      <c r="E284" s="47" t="s">
        <v>7382</v>
      </c>
      <c r="F284" s="47" t="s">
        <v>12</v>
      </c>
      <c r="G284" s="47" t="s">
        <v>181</v>
      </c>
      <c r="H284" s="47" t="str">
        <f t="shared" si="10"/>
        <v>PULWAMA</v>
      </c>
      <c r="I284" s="47" t="s">
        <v>7384</v>
      </c>
      <c r="J284" s="48">
        <v>46012</v>
      </c>
      <c r="K284" s="47">
        <v>9622838656</v>
      </c>
      <c r="L284" s="47" t="s">
        <v>6451</v>
      </c>
      <c r="M284" s="49"/>
      <c r="N284" s="48" t="s">
        <v>8263</v>
      </c>
      <c r="O284" s="47"/>
      <c r="P284" s="50"/>
      <c r="Q284" s="47"/>
      <c r="R284" s="47" t="s">
        <v>7176</v>
      </c>
    </row>
    <row r="285" spans="1:18" x14ac:dyDescent="0.25">
      <c r="A285" s="47">
        <f t="shared" si="9"/>
        <v>284</v>
      </c>
      <c r="B285" s="47" t="s">
        <v>7243</v>
      </c>
      <c r="C285" s="47" t="s">
        <v>7244</v>
      </c>
      <c r="D285" s="47" t="s">
        <v>7245</v>
      </c>
      <c r="E285" s="47" t="s">
        <v>7246</v>
      </c>
      <c r="F285" s="47" t="s">
        <v>31</v>
      </c>
      <c r="G285" s="47" t="s">
        <v>175</v>
      </c>
      <c r="H285" s="47" t="str">
        <f t="shared" si="10"/>
        <v>SHOPIAN</v>
      </c>
      <c r="I285" s="47" t="s">
        <v>7260</v>
      </c>
      <c r="J285" s="48">
        <v>46009</v>
      </c>
      <c r="K285" s="47">
        <v>8484070924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9"/>
        <v>285</v>
      </c>
      <c r="B286" s="47" t="s">
        <v>7686</v>
      </c>
      <c r="C286" s="47" t="s">
        <v>7687</v>
      </c>
      <c r="D286" s="47" t="s">
        <v>7688</v>
      </c>
      <c r="E286" s="47" t="s">
        <v>7689</v>
      </c>
      <c r="F286" s="47" t="s">
        <v>119</v>
      </c>
      <c r="G286" s="47" t="s">
        <v>175</v>
      </c>
      <c r="H286" s="47" t="str">
        <f t="shared" si="10"/>
        <v>BARAMULLA</v>
      </c>
      <c r="I286" s="47" t="s">
        <v>7702</v>
      </c>
      <c r="J286" s="48">
        <v>46020</v>
      </c>
      <c r="K286" s="47">
        <v>9682558110</v>
      </c>
      <c r="L286" s="47" t="s">
        <v>1517</v>
      </c>
      <c r="M286" s="49" t="s">
        <v>7778</v>
      </c>
      <c r="N286" s="48">
        <v>46021</v>
      </c>
      <c r="O286" s="47" t="s">
        <v>7704</v>
      </c>
      <c r="P286" s="50">
        <v>46020</v>
      </c>
      <c r="Q286" s="47" t="s">
        <v>7705</v>
      </c>
      <c r="R286" s="47"/>
    </row>
    <row r="287" spans="1:18" x14ac:dyDescent="0.25">
      <c r="A287" s="47">
        <f t="shared" si="9"/>
        <v>286</v>
      </c>
      <c r="B287" s="47" t="s">
        <v>7693</v>
      </c>
      <c r="C287" s="47" t="s">
        <v>7690</v>
      </c>
      <c r="D287" s="47" t="s">
        <v>7691</v>
      </c>
      <c r="E287" s="47" t="s">
        <v>7692</v>
      </c>
      <c r="F287" s="47" t="s">
        <v>119</v>
      </c>
      <c r="G287" s="47" t="s">
        <v>175</v>
      </c>
      <c r="H287" s="47" t="str">
        <f t="shared" si="10"/>
        <v>PULWAMA</v>
      </c>
      <c r="I287" s="47" t="s">
        <v>7703</v>
      </c>
      <c r="J287" s="48">
        <v>46020</v>
      </c>
      <c r="K287" s="47">
        <v>9622716592</v>
      </c>
      <c r="L287" s="47" t="s">
        <v>48</v>
      </c>
      <c r="M287" s="49" t="s">
        <v>7773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9"/>
        <v>287</v>
      </c>
      <c r="B288" s="47" t="s">
        <v>7695</v>
      </c>
      <c r="C288" s="47" t="s">
        <v>7696</v>
      </c>
      <c r="D288" s="47" t="s">
        <v>7697</v>
      </c>
      <c r="E288" s="47" t="s">
        <v>7698</v>
      </c>
      <c r="F288" s="47" t="s">
        <v>486</v>
      </c>
      <c r="G288" s="47" t="s">
        <v>199</v>
      </c>
      <c r="H288" s="47" t="str">
        <f t="shared" si="10"/>
        <v>SHOPIAN</v>
      </c>
      <c r="I288" s="47" t="s">
        <v>7701</v>
      </c>
      <c r="J288" s="48">
        <v>46020</v>
      </c>
      <c r="K288" s="47">
        <v>7006540570</v>
      </c>
      <c r="L288" s="47" t="s">
        <v>7699</v>
      </c>
      <c r="M288" s="49" t="s">
        <v>7294</v>
      </c>
      <c r="N288" s="48">
        <v>46035</v>
      </c>
      <c r="O288" s="47"/>
      <c r="P288" s="50"/>
      <c r="Q288" s="47"/>
      <c r="R288" s="47" t="s">
        <v>7731</v>
      </c>
    </row>
    <row r="289" spans="1:18" x14ac:dyDescent="0.25">
      <c r="A289" s="47">
        <f t="shared" si="9"/>
        <v>288</v>
      </c>
      <c r="B289" s="47" t="s">
        <v>7762</v>
      </c>
      <c r="C289" s="47" t="s">
        <v>7763</v>
      </c>
      <c r="D289" s="47" t="s">
        <v>7764</v>
      </c>
      <c r="E289" s="47" t="s">
        <v>7765</v>
      </c>
      <c r="F289" s="47" t="s">
        <v>3130</v>
      </c>
      <c r="G289" s="47" t="s">
        <v>6475</v>
      </c>
      <c r="H289" s="47" t="str">
        <f t="shared" si="10"/>
        <v>KULGAM</v>
      </c>
      <c r="I289" s="47" t="s">
        <v>7767</v>
      </c>
      <c r="J289" s="48">
        <v>46021</v>
      </c>
      <c r="K289" s="47">
        <v>9622775800</v>
      </c>
      <c r="L289" s="47" t="s">
        <v>26</v>
      </c>
      <c r="M289" s="49" t="s">
        <v>7616</v>
      </c>
      <c r="N289" s="48">
        <v>46032</v>
      </c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9"/>
        <v>289</v>
      </c>
      <c r="B290" s="47" t="s">
        <v>7717</v>
      </c>
      <c r="C290" s="47" t="s">
        <v>7718</v>
      </c>
      <c r="D290" s="47" t="s">
        <v>7719</v>
      </c>
      <c r="E290" s="47" t="s">
        <v>7720</v>
      </c>
      <c r="F290" s="47" t="s">
        <v>31</v>
      </c>
      <c r="G290" s="47" t="s">
        <v>174</v>
      </c>
      <c r="H290" s="47" t="str">
        <f t="shared" si="10"/>
        <v>TEMP</v>
      </c>
      <c r="I290" s="47" t="s">
        <v>7730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9"/>
        <v>290</v>
      </c>
      <c r="B291" s="47" t="s">
        <v>7722</v>
      </c>
      <c r="C291" s="47" t="s">
        <v>7723</v>
      </c>
      <c r="D291" s="47" t="s">
        <v>7724</v>
      </c>
      <c r="E291" s="47" t="s">
        <v>6772</v>
      </c>
      <c r="F291" s="47" t="s">
        <v>119</v>
      </c>
      <c r="G291" s="47" t="s">
        <v>200</v>
      </c>
      <c r="H291" s="47" t="str">
        <f t="shared" si="10"/>
        <v>SRINAGAR</v>
      </c>
      <c r="I291" s="47" t="s">
        <v>7729</v>
      </c>
      <c r="J291" s="48">
        <v>46020</v>
      </c>
      <c r="K291" s="47">
        <v>7006274587</v>
      </c>
      <c r="L291" s="47" t="s">
        <v>6807</v>
      </c>
      <c r="M291" s="49" t="s">
        <v>8173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8123</v>
      </c>
    </row>
    <row r="292" spans="1:18" x14ac:dyDescent="0.25">
      <c r="A292" s="47">
        <f t="shared" si="9"/>
        <v>291</v>
      </c>
      <c r="B292" s="47" t="s">
        <v>7725</v>
      </c>
      <c r="C292" s="47" t="s">
        <v>7726</v>
      </c>
      <c r="D292" s="47" t="s">
        <v>7727</v>
      </c>
      <c r="E292" s="47" t="s">
        <v>7728</v>
      </c>
      <c r="F292" s="47" t="s">
        <v>12</v>
      </c>
      <c r="G292" s="47" t="s">
        <v>200</v>
      </c>
      <c r="H292" s="47" t="str">
        <f t="shared" si="10"/>
        <v>BUDGAM</v>
      </c>
      <c r="I292" s="47" t="s">
        <v>7747</v>
      </c>
      <c r="J292" s="48">
        <v>46021</v>
      </c>
      <c r="K292" s="47">
        <v>9541083744</v>
      </c>
      <c r="L292" s="47" t="s">
        <v>194</v>
      </c>
      <c r="M292" s="49" t="s">
        <v>7775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9"/>
        <v>292</v>
      </c>
      <c r="B293" s="47" t="s">
        <v>7734</v>
      </c>
      <c r="C293" s="47" t="s">
        <v>7732</v>
      </c>
      <c r="D293" s="47" t="s">
        <v>7733</v>
      </c>
      <c r="E293" s="47" t="s">
        <v>2915</v>
      </c>
      <c r="F293" s="47" t="s">
        <v>238</v>
      </c>
      <c r="G293" s="47" t="s">
        <v>6475</v>
      </c>
      <c r="H293" s="47" t="str">
        <f t="shared" si="10"/>
        <v>PULWAMA</v>
      </c>
      <c r="I293" s="47" t="s">
        <v>7748</v>
      </c>
      <c r="J293" s="48">
        <v>46021</v>
      </c>
      <c r="K293" s="47">
        <v>9906625047</v>
      </c>
      <c r="L293" s="47" t="s">
        <v>26</v>
      </c>
      <c r="M293" s="49" t="s">
        <v>7616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9"/>
        <v>293</v>
      </c>
      <c r="B294" s="47" t="s">
        <v>7738</v>
      </c>
      <c r="C294" s="47" t="s">
        <v>7735</v>
      </c>
      <c r="D294" s="47" t="s">
        <v>7736</v>
      </c>
      <c r="E294" s="47" t="s">
        <v>7737</v>
      </c>
      <c r="F294" s="47" t="s">
        <v>31</v>
      </c>
      <c r="G294" s="47" t="s">
        <v>200</v>
      </c>
      <c r="H294" s="47" t="str">
        <f t="shared" si="10"/>
        <v>PULWAMA</v>
      </c>
      <c r="I294" s="47" t="s">
        <v>7749</v>
      </c>
      <c r="J294" s="48">
        <v>46021</v>
      </c>
      <c r="K294" s="47">
        <v>7006928931</v>
      </c>
      <c r="L294" s="47" t="s">
        <v>48</v>
      </c>
      <c r="M294" s="49" t="s">
        <v>7773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 t="shared" si="9"/>
        <v>294</v>
      </c>
      <c r="B295" s="47" t="s">
        <v>7739</v>
      </c>
      <c r="C295" s="47" t="s">
        <v>7740</v>
      </c>
      <c r="D295" s="47" t="s">
        <v>7741</v>
      </c>
      <c r="E295" s="47" t="s">
        <v>7742</v>
      </c>
      <c r="F295" s="47" t="s">
        <v>119</v>
      </c>
      <c r="G295" s="47" t="s">
        <v>200</v>
      </c>
      <c r="H295" s="47" t="str">
        <f t="shared" si="10"/>
        <v>BUDGAM</v>
      </c>
      <c r="I295" s="47" t="s">
        <v>7750</v>
      </c>
      <c r="J295" s="48">
        <v>46021</v>
      </c>
      <c r="K295" s="47">
        <v>7006409005</v>
      </c>
      <c r="L295" s="47" t="s">
        <v>70</v>
      </c>
      <c r="M295" s="49" t="s">
        <v>7954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 t="shared" si="9"/>
        <v>295</v>
      </c>
      <c r="B296" s="47" t="s">
        <v>7065</v>
      </c>
      <c r="C296" s="47" t="s">
        <v>7066</v>
      </c>
      <c r="D296" s="47" t="s">
        <v>7067</v>
      </c>
      <c r="E296" s="47" t="s">
        <v>7068</v>
      </c>
      <c r="F296" s="47" t="s">
        <v>193</v>
      </c>
      <c r="G296" s="47" t="s">
        <v>200</v>
      </c>
      <c r="H296" s="47" t="str">
        <f t="shared" si="10"/>
        <v>PULWAMA</v>
      </c>
      <c r="I296" s="47" t="s">
        <v>7076</v>
      </c>
      <c r="J296" s="48">
        <v>46003</v>
      </c>
      <c r="K296" s="47">
        <v>9797499942</v>
      </c>
      <c r="L296" s="47" t="s">
        <v>7069</v>
      </c>
      <c r="M296" s="49"/>
      <c r="N296" s="48" t="s">
        <v>8245</v>
      </c>
      <c r="O296" s="47"/>
      <c r="P296" s="50"/>
      <c r="Q296" s="47"/>
      <c r="R296" s="47"/>
    </row>
    <row r="297" spans="1:18" x14ac:dyDescent="0.25">
      <c r="A297" s="47">
        <f t="shared" si="9"/>
        <v>296</v>
      </c>
      <c r="B297" s="47" t="s">
        <v>7752</v>
      </c>
      <c r="C297" s="47" t="s">
        <v>7753</v>
      </c>
      <c r="D297" s="47" t="s">
        <v>7754</v>
      </c>
      <c r="E297" s="47" t="s">
        <v>7755</v>
      </c>
      <c r="F297" s="47" t="s">
        <v>100</v>
      </c>
      <c r="G297" s="47" t="s">
        <v>181</v>
      </c>
      <c r="H297" s="47" t="str">
        <f t="shared" si="10"/>
        <v>BARAMULLA</v>
      </c>
      <c r="I297" s="47" t="s">
        <v>7756</v>
      </c>
      <c r="J297" s="48">
        <v>46021</v>
      </c>
      <c r="K297" s="47">
        <v>9149570567</v>
      </c>
      <c r="L297" s="47" t="s">
        <v>6683</v>
      </c>
      <c r="M297" s="49" t="s">
        <v>7775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ref="A298:A361" si="11">ROW()-1</f>
        <v>297</v>
      </c>
      <c r="B298" s="47" t="s">
        <v>7761</v>
      </c>
      <c r="C298" s="47" t="s">
        <v>7757</v>
      </c>
      <c r="D298" s="47" t="s">
        <v>7758</v>
      </c>
      <c r="E298" s="47" t="s">
        <v>7759</v>
      </c>
      <c r="F298" s="47" t="s">
        <v>125</v>
      </c>
      <c r="G298" s="47" t="s">
        <v>7760</v>
      </c>
      <c r="H298" s="47" t="str">
        <f t="shared" si="10"/>
        <v>PULWAMA</v>
      </c>
      <c r="I298" s="47" t="s">
        <v>7766</v>
      </c>
      <c r="J298" s="48">
        <v>46021</v>
      </c>
      <c r="K298" s="47">
        <v>8082041918</v>
      </c>
      <c r="L298" s="47" t="s">
        <v>176</v>
      </c>
      <c r="M298" s="49" t="s">
        <v>7617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1"/>
        <v>298</v>
      </c>
      <c r="B299" s="47" t="s">
        <v>7713</v>
      </c>
      <c r="C299" s="47" t="s">
        <v>7708</v>
      </c>
      <c r="D299" s="47" t="s">
        <v>7709</v>
      </c>
      <c r="E299" s="47" t="s">
        <v>7710</v>
      </c>
      <c r="F299" s="47" t="s">
        <v>7711</v>
      </c>
      <c r="G299" s="47" t="s">
        <v>200</v>
      </c>
      <c r="H299" s="47" t="str">
        <f t="shared" si="10"/>
        <v>NEW</v>
      </c>
      <c r="I299" s="47" t="s">
        <v>8016</v>
      </c>
      <c r="J299" s="48">
        <v>46020</v>
      </c>
      <c r="K299" s="47">
        <v>9622020576</v>
      </c>
      <c r="L299" s="47" t="s">
        <v>7712</v>
      </c>
      <c r="M299" s="49" t="s">
        <v>8124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 t="shared" si="11"/>
        <v>299</v>
      </c>
      <c r="B300" s="47" t="s">
        <v>7772</v>
      </c>
      <c r="C300" s="47" t="s">
        <v>7769</v>
      </c>
      <c r="D300" s="47" t="s">
        <v>7770</v>
      </c>
      <c r="E300" s="47" t="s">
        <v>7771</v>
      </c>
      <c r="F300" s="47" t="s">
        <v>633</v>
      </c>
      <c r="G300" s="47" t="s">
        <v>226</v>
      </c>
      <c r="H300" s="47" t="str">
        <f t="shared" si="10"/>
        <v>BARAMULLA</v>
      </c>
      <c r="I300" s="47" t="s">
        <v>7774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8167</v>
      </c>
      <c r="R300" s="47"/>
    </row>
    <row r="301" spans="1:18" x14ac:dyDescent="0.25">
      <c r="A301" s="47">
        <f t="shared" si="11"/>
        <v>300</v>
      </c>
      <c r="B301" s="47" t="s">
        <v>7511</v>
      </c>
      <c r="C301" s="47" t="s">
        <v>7512</v>
      </c>
      <c r="D301" s="47" t="s">
        <v>7513</v>
      </c>
      <c r="E301" s="47" t="s">
        <v>7514</v>
      </c>
      <c r="F301" s="47" t="s">
        <v>12</v>
      </c>
      <c r="G301" s="47" t="s">
        <v>181</v>
      </c>
      <c r="H301" s="47" t="str">
        <f t="shared" si="10"/>
        <v>PULWAMA</v>
      </c>
      <c r="I301" s="47" t="s">
        <v>7519</v>
      </c>
      <c r="J301" s="48">
        <v>46016</v>
      </c>
      <c r="K301" s="47">
        <v>8825024324</v>
      </c>
      <c r="L301" s="47" t="s">
        <v>6521</v>
      </c>
      <c r="M301" s="49" t="s">
        <v>8223</v>
      </c>
      <c r="N301" s="48">
        <v>45972</v>
      </c>
      <c r="O301" s="47"/>
      <c r="P301" s="50"/>
      <c r="Q301" s="47"/>
      <c r="R301" s="47" t="s">
        <v>7521</v>
      </c>
    </row>
    <row r="302" spans="1:18" x14ac:dyDescent="0.25">
      <c r="A302" s="47">
        <f t="shared" si="11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10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1"/>
        <v>302</v>
      </c>
      <c r="B303" s="47" t="s">
        <v>7793</v>
      </c>
      <c r="C303" s="47" t="s">
        <v>7790</v>
      </c>
      <c r="D303" s="47" t="s">
        <v>7791</v>
      </c>
      <c r="E303" s="47" t="s">
        <v>7792</v>
      </c>
      <c r="F303" s="47" t="s">
        <v>100</v>
      </c>
      <c r="G303" s="47" t="s">
        <v>200</v>
      </c>
      <c r="H303" s="47" t="str">
        <f t="shared" si="10"/>
        <v>BUDGAM</v>
      </c>
      <c r="I303" s="55" t="s">
        <v>7847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11"/>
        <v>303</v>
      </c>
      <c r="B304" s="47" t="s">
        <v>7743</v>
      </c>
      <c r="C304" s="47" t="s">
        <v>7744</v>
      </c>
      <c r="D304" s="47" t="s">
        <v>7746</v>
      </c>
      <c r="E304" s="47" t="s">
        <v>7745</v>
      </c>
      <c r="F304" s="47" t="s">
        <v>67</v>
      </c>
      <c r="G304" s="47" t="s">
        <v>199</v>
      </c>
      <c r="H304" s="47" t="str">
        <f t="shared" si="10"/>
        <v>PULWAMA</v>
      </c>
      <c r="I304" s="47" t="s">
        <v>7751</v>
      </c>
      <c r="J304" s="48">
        <v>46021</v>
      </c>
      <c r="K304" s="47">
        <v>8493950437</v>
      </c>
      <c r="L304" s="47" t="s">
        <v>6521</v>
      </c>
      <c r="M304" s="49"/>
      <c r="N304" s="48"/>
      <c r="O304" s="47"/>
      <c r="P304" s="50"/>
      <c r="Q304" s="47"/>
      <c r="R304" s="47" t="s">
        <v>7768</v>
      </c>
    </row>
    <row r="305" spans="1:18" x14ac:dyDescent="0.25">
      <c r="A305" s="47">
        <f t="shared" si="11"/>
        <v>304</v>
      </c>
      <c r="B305" s="47" t="s">
        <v>7802</v>
      </c>
      <c r="C305" s="47" t="s">
        <v>7799</v>
      </c>
      <c r="D305" s="47" t="s">
        <v>7801</v>
      </c>
      <c r="E305" s="47" t="s">
        <v>7800</v>
      </c>
      <c r="F305" s="47" t="s">
        <v>119</v>
      </c>
      <c r="G305" s="47" t="s">
        <v>221</v>
      </c>
      <c r="H305" s="47" t="str">
        <f t="shared" si="10"/>
        <v>BUDGAM</v>
      </c>
      <c r="I305" s="47" t="s">
        <v>7810</v>
      </c>
      <c r="J305" s="48">
        <v>46022</v>
      </c>
      <c r="K305" s="47">
        <v>9596102065</v>
      </c>
      <c r="L305" s="47" t="s">
        <v>110</v>
      </c>
      <c r="M305" s="49" t="s">
        <v>8230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1"/>
        <v>305</v>
      </c>
      <c r="B306" s="47" t="s">
        <v>7806</v>
      </c>
      <c r="C306" s="47" t="s">
        <v>7803</v>
      </c>
      <c r="D306" s="47" t="s">
        <v>7804</v>
      </c>
      <c r="E306" s="47" t="s">
        <v>7805</v>
      </c>
      <c r="F306" s="47" t="s">
        <v>6829</v>
      </c>
      <c r="G306" s="47" t="s">
        <v>226</v>
      </c>
      <c r="H306" s="47" t="str">
        <f t="shared" si="10"/>
        <v>BUDGAM</v>
      </c>
      <c r="I306" s="47" t="s">
        <v>7811</v>
      </c>
      <c r="J306" s="48">
        <v>46022</v>
      </c>
      <c r="K306" s="47">
        <v>7889324122</v>
      </c>
      <c r="L306" s="47" t="s">
        <v>110</v>
      </c>
      <c r="M306" s="49" t="s">
        <v>7775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1"/>
        <v>306</v>
      </c>
      <c r="B307" s="47" t="s">
        <v>7820</v>
      </c>
      <c r="C307" s="47" t="s">
        <v>7817</v>
      </c>
      <c r="D307" s="47" t="s">
        <v>7818</v>
      </c>
      <c r="E307" s="47" t="s">
        <v>7819</v>
      </c>
      <c r="F307" s="47" t="s">
        <v>119</v>
      </c>
      <c r="G307" s="47" t="s">
        <v>200</v>
      </c>
      <c r="H307" s="47" t="str">
        <f t="shared" si="10"/>
        <v>BUDGAM</v>
      </c>
      <c r="I307" s="55" t="s">
        <v>7846</v>
      </c>
      <c r="J307" s="48">
        <v>46023</v>
      </c>
      <c r="K307" s="47">
        <v>7006000499</v>
      </c>
      <c r="L307" s="47" t="s">
        <v>106</v>
      </c>
      <c r="M307" s="49" t="s">
        <v>7601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11"/>
        <v>307</v>
      </c>
      <c r="B308" s="47" t="s">
        <v>7825</v>
      </c>
      <c r="C308" s="47" t="s">
        <v>7822</v>
      </c>
      <c r="D308" s="47" t="s">
        <v>7823</v>
      </c>
      <c r="E308" s="47" t="s">
        <v>7824</v>
      </c>
      <c r="F308" s="47" t="s">
        <v>119</v>
      </c>
      <c r="G308" s="47" t="s">
        <v>200</v>
      </c>
      <c r="H308" s="47" t="str">
        <f t="shared" si="10"/>
        <v>SRINAGAR</v>
      </c>
      <c r="I308" s="55" t="s">
        <v>7848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1"/>
        <v>308</v>
      </c>
      <c r="B309" s="47" t="s">
        <v>7826</v>
      </c>
      <c r="C309" s="47" t="s">
        <v>7827</v>
      </c>
      <c r="D309" s="47" t="s">
        <v>7828</v>
      </c>
      <c r="E309" s="47" t="s">
        <v>7829</v>
      </c>
      <c r="F309" s="47" t="s">
        <v>100</v>
      </c>
      <c r="G309" s="47" t="s">
        <v>200</v>
      </c>
      <c r="H309" s="47" t="str">
        <f t="shared" si="10"/>
        <v>SRINAGAR</v>
      </c>
      <c r="I309" s="55" t="s">
        <v>7849</v>
      </c>
      <c r="J309" s="48">
        <v>46023</v>
      </c>
      <c r="K309" s="47">
        <v>7006582052</v>
      </c>
      <c r="L309" s="47" t="s">
        <v>307</v>
      </c>
      <c r="M309" s="49" t="s">
        <v>7775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11"/>
        <v>309</v>
      </c>
      <c r="B310" s="47" t="s">
        <v>7833</v>
      </c>
      <c r="C310" s="47" t="s">
        <v>7830</v>
      </c>
      <c r="D310" s="47" t="s">
        <v>7831</v>
      </c>
      <c r="E310" s="47" t="s">
        <v>7832</v>
      </c>
      <c r="F310" s="47" t="s">
        <v>290</v>
      </c>
      <c r="G310" s="47" t="s">
        <v>200</v>
      </c>
      <c r="H310" s="47" t="str">
        <f t="shared" si="10"/>
        <v>SRINAGAR</v>
      </c>
      <c r="I310" s="55" t="s">
        <v>7850</v>
      </c>
      <c r="J310" s="48">
        <v>46023</v>
      </c>
      <c r="K310" s="47">
        <v>9906405123</v>
      </c>
      <c r="L310" s="47" t="s">
        <v>2248</v>
      </c>
      <c r="M310" s="49" t="s">
        <v>8164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 t="shared" si="11"/>
        <v>310</v>
      </c>
      <c r="B311" s="47" t="s">
        <v>7834</v>
      </c>
      <c r="C311" s="47" t="s">
        <v>7835</v>
      </c>
      <c r="D311" s="47" t="s">
        <v>7836</v>
      </c>
      <c r="E311" s="47" t="s">
        <v>7837</v>
      </c>
      <c r="F311" s="47" t="s">
        <v>12</v>
      </c>
      <c r="G311" s="47" t="s">
        <v>200</v>
      </c>
      <c r="H311" s="47" t="str">
        <f t="shared" si="10"/>
        <v>BUDGAM</v>
      </c>
      <c r="I311" s="55" t="s">
        <v>7845</v>
      </c>
      <c r="J311" s="48">
        <v>46023</v>
      </c>
      <c r="K311" s="47">
        <v>7006016383</v>
      </c>
      <c r="L311" s="47" t="s">
        <v>307</v>
      </c>
      <c r="M311" s="49" t="s">
        <v>8093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11"/>
        <v>311</v>
      </c>
      <c r="B312" s="47" t="s">
        <v>7314</v>
      </c>
      <c r="C312" s="47" t="s">
        <v>7315</v>
      </c>
      <c r="D312" s="47" t="s">
        <v>7316</v>
      </c>
      <c r="E312" s="47" t="s">
        <v>7317</v>
      </c>
      <c r="F312" s="47" t="s">
        <v>119</v>
      </c>
      <c r="G312" s="47" t="s">
        <v>221</v>
      </c>
      <c r="H312" s="47" t="str">
        <f t="shared" si="10"/>
        <v>SHOPIAN</v>
      </c>
      <c r="I312" s="47" t="s">
        <v>7319</v>
      </c>
      <c r="J312" s="48">
        <v>46011</v>
      </c>
      <c r="K312" s="47">
        <v>6006713170</v>
      </c>
      <c r="L312" s="47" t="s">
        <v>6570</v>
      </c>
      <c r="M312" s="49"/>
      <c r="N312" s="48"/>
      <c r="O312" s="47"/>
      <c r="P312" s="50"/>
      <c r="Q312" s="47"/>
      <c r="R312" s="47" t="s">
        <v>7385</v>
      </c>
    </row>
    <row r="313" spans="1:18" x14ac:dyDescent="0.25">
      <c r="A313" s="47">
        <f t="shared" si="11"/>
        <v>312</v>
      </c>
      <c r="B313" s="47" t="s">
        <v>7842</v>
      </c>
      <c r="C313" s="47" t="s">
        <v>7843</v>
      </c>
      <c r="D313" s="47" t="s">
        <v>7844</v>
      </c>
      <c r="E313" s="47" t="s">
        <v>2915</v>
      </c>
      <c r="F313" s="47" t="s">
        <v>193</v>
      </c>
      <c r="G313" s="47" t="s">
        <v>6440</v>
      </c>
      <c r="H313" s="47" t="str">
        <f t="shared" si="10"/>
        <v>SRINAGAR</v>
      </c>
      <c r="I313" s="55" t="s">
        <v>7861</v>
      </c>
      <c r="J313" s="48">
        <v>46023</v>
      </c>
      <c r="K313" s="47">
        <v>9596187640</v>
      </c>
      <c r="L313" s="47" t="s">
        <v>48</v>
      </c>
      <c r="M313" s="49" t="s">
        <v>7773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 t="shared" si="11"/>
        <v>313</v>
      </c>
      <c r="B314" s="47" t="s">
        <v>7851</v>
      </c>
      <c r="C314" s="47" t="s">
        <v>7852</v>
      </c>
      <c r="D314" s="47" t="s">
        <v>7853</v>
      </c>
      <c r="E314" s="47" t="s">
        <v>7854</v>
      </c>
      <c r="F314" s="47" t="s">
        <v>7855</v>
      </c>
      <c r="G314" s="47" t="s">
        <v>181</v>
      </c>
      <c r="H314" s="47" t="str">
        <f t="shared" si="10"/>
        <v>SRINAGAR</v>
      </c>
      <c r="I314" s="55" t="s">
        <v>7860</v>
      </c>
      <c r="J314" s="48">
        <v>46023</v>
      </c>
      <c r="K314" s="47">
        <v>9622459354</v>
      </c>
      <c r="L314" s="47" t="s">
        <v>75</v>
      </c>
      <c r="M314" s="49" t="s">
        <v>7455</v>
      </c>
      <c r="N314" s="48">
        <v>46030</v>
      </c>
      <c r="O314" s="47" t="s">
        <v>23</v>
      </c>
      <c r="P314" s="50">
        <v>46028</v>
      </c>
      <c r="Q314" s="47" t="s">
        <v>6460</v>
      </c>
      <c r="R314" s="47"/>
    </row>
    <row r="315" spans="1:18" x14ac:dyDescent="0.25">
      <c r="A315" s="47">
        <f t="shared" si="11"/>
        <v>314</v>
      </c>
      <c r="B315" s="47" t="s">
        <v>7856</v>
      </c>
      <c r="C315" s="47" t="s">
        <v>7857</v>
      </c>
      <c r="D315" s="47" t="s">
        <v>7858</v>
      </c>
      <c r="E315" s="47" t="s">
        <v>2841</v>
      </c>
      <c r="F315" s="47" t="s">
        <v>119</v>
      </c>
      <c r="G315" s="47" t="s">
        <v>200</v>
      </c>
      <c r="H315" s="47" t="str">
        <f t="shared" si="10"/>
        <v>BARAMULLA</v>
      </c>
      <c r="I315" s="55" t="s">
        <v>7866</v>
      </c>
      <c r="J315" s="48">
        <v>46023</v>
      </c>
      <c r="K315" s="47">
        <v>7006960324</v>
      </c>
      <c r="L315" s="47" t="s">
        <v>6683</v>
      </c>
      <c r="M315" s="49"/>
      <c r="N315" s="48"/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 t="shared" si="11"/>
        <v>315</v>
      </c>
      <c r="B316" s="47" t="s">
        <v>7862</v>
      </c>
      <c r="C316" s="47" t="s">
        <v>7863</v>
      </c>
      <c r="D316" s="47" t="s">
        <v>7864</v>
      </c>
      <c r="E316" s="47" t="s">
        <v>7865</v>
      </c>
      <c r="F316" s="47" t="s">
        <v>12</v>
      </c>
      <c r="G316" s="47" t="s">
        <v>200</v>
      </c>
      <c r="H316" s="47" t="str">
        <f t="shared" si="10"/>
        <v>BARAMULLA</v>
      </c>
      <c r="I316" s="55" t="s">
        <v>7867</v>
      </c>
      <c r="J316" s="48">
        <v>46023</v>
      </c>
      <c r="K316" s="47">
        <v>9906759399</v>
      </c>
      <c r="L316" s="47" t="s">
        <v>6683</v>
      </c>
      <c r="M316" s="49"/>
      <c r="N316" s="48">
        <v>46327</v>
      </c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 t="shared" si="11"/>
        <v>316</v>
      </c>
      <c r="B317" s="47" t="s">
        <v>7868</v>
      </c>
      <c r="C317" s="47" t="s">
        <v>7869</v>
      </c>
      <c r="D317" s="47" t="s">
        <v>7870</v>
      </c>
      <c r="E317" s="47" t="s">
        <v>7871</v>
      </c>
      <c r="F317" s="47" t="s">
        <v>119</v>
      </c>
      <c r="G317" s="47" t="s">
        <v>174</v>
      </c>
      <c r="H317" s="47" t="str">
        <f t="shared" si="10"/>
        <v>BUDGAM</v>
      </c>
      <c r="I317" s="55" t="s">
        <v>7879</v>
      </c>
      <c r="J317" s="48">
        <v>46023</v>
      </c>
      <c r="K317" s="47">
        <v>9596167274</v>
      </c>
      <c r="L317" s="47" t="s">
        <v>7872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1"/>
        <v>317</v>
      </c>
      <c r="B318" s="47" t="s">
        <v>7873</v>
      </c>
      <c r="C318" s="47" t="s">
        <v>7883</v>
      </c>
      <c r="D318" s="47" t="s">
        <v>7884</v>
      </c>
      <c r="E318" s="47" t="s">
        <v>7885</v>
      </c>
      <c r="F318" s="47" t="s">
        <v>31</v>
      </c>
      <c r="G318" s="47" t="s">
        <v>199</v>
      </c>
      <c r="H318" s="47" t="str">
        <f t="shared" si="10"/>
        <v>BUDGAM</v>
      </c>
      <c r="I318" s="47" t="s">
        <v>7878</v>
      </c>
      <c r="J318" s="48">
        <v>46023</v>
      </c>
      <c r="K318" s="47">
        <v>8082623899</v>
      </c>
      <c r="L318" s="47" t="s">
        <v>48</v>
      </c>
      <c r="M318" s="49" t="s">
        <v>7773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 t="shared" si="11"/>
        <v>318</v>
      </c>
      <c r="B319" s="47" t="s">
        <v>7874</v>
      </c>
      <c r="C319" s="47" t="s">
        <v>7875</v>
      </c>
      <c r="D319" s="47" t="s">
        <v>7876</v>
      </c>
      <c r="E319" s="47" t="s">
        <v>7877</v>
      </c>
      <c r="F319" s="47" t="s">
        <v>12</v>
      </c>
      <c r="G319" s="47" t="s">
        <v>181</v>
      </c>
      <c r="H319" s="47" t="str">
        <f t="shared" si="10"/>
        <v>SRINAGAR</v>
      </c>
      <c r="I319" s="47" t="s">
        <v>7891</v>
      </c>
      <c r="J319" s="48">
        <v>46023</v>
      </c>
      <c r="K319" s="47">
        <v>7889588496</v>
      </c>
      <c r="L319" s="47" t="s">
        <v>8242</v>
      </c>
      <c r="M319" s="49" t="s">
        <v>7773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1"/>
        <v>319</v>
      </c>
      <c r="B320" s="47" t="s">
        <v>7887</v>
      </c>
      <c r="C320" s="47" t="s">
        <v>7880</v>
      </c>
      <c r="D320" s="47" t="s">
        <v>7881</v>
      </c>
      <c r="E320" s="47" t="s">
        <v>7882</v>
      </c>
      <c r="F320" s="47" t="s">
        <v>290</v>
      </c>
      <c r="G320" s="47" t="s">
        <v>200</v>
      </c>
      <c r="H320" s="47" t="str">
        <f t="shared" si="10"/>
        <v>SRINAGAR</v>
      </c>
      <c r="I320" s="47" t="s">
        <v>7892</v>
      </c>
      <c r="J320" s="48">
        <v>46023</v>
      </c>
      <c r="K320" s="47">
        <v>7006759527</v>
      </c>
      <c r="L320" s="47" t="s">
        <v>8241</v>
      </c>
      <c r="M320" s="49"/>
      <c r="N320" s="48"/>
      <c r="O320" s="47"/>
      <c r="P320" s="50"/>
      <c r="Q320" s="47"/>
      <c r="R320" s="47" t="s">
        <v>7941</v>
      </c>
    </row>
    <row r="321" spans="1:18" x14ac:dyDescent="0.25">
      <c r="A321" s="47">
        <f t="shared" si="11"/>
        <v>320</v>
      </c>
      <c r="B321" s="47" t="s">
        <v>7886</v>
      </c>
      <c r="C321" s="47" t="s">
        <v>7888</v>
      </c>
      <c r="D321" s="47" t="s">
        <v>7889</v>
      </c>
      <c r="E321" s="47" t="s">
        <v>7890</v>
      </c>
      <c r="F321" s="47" t="s">
        <v>633</v>
      </c>
      <c r="G321" s="47" t="s">
        <v>199</v>
      </c>
      <c r="H321" s="47" t="str">
        <f t="shared" si="10"/>
        <v>SRINAGAR</v>
      </c>
      <c r="I321" s="47" t="s">
        <v>7893</v>
      </c>
      <c r="J321" s="48">
        <v>46023</v>
      </c>
      <c r="K321" s="47">
        <v>7006616090</v>
      </c>
      <c r="L321" s="47" t="s">
        <v>2248</v>
      </c>
      <c r="M321" s="49" t="s">
        <v>8164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 t="shared" si="11"/>
        <v>321</v>
      </c>
      <c r="B322" s="47" t="s">
        <v>7897</v>
      </c>
      <c r="C322" s="47" t="s">
        <v>7895</v>
      </c>
      <c r="D322" s="47" t="s">
        <v>7896</v>
      </c>
      <c r="E322" s="47" t="s">
        <v>658</v>
      </c>
      <c r="F322" s="47" t="s">
        <v>119</v>
      </c>
      <c r="G322" s="47" t="s">
        <v>174</v>
      </c>
      <c r="H322" s="47" t="str">
        <f t="shared" si="10"/>
        <v>BARAMULLA</v>
      </c>
      <c r="I322" s="47" t="s">
        <v>7926</v>
      </c>
      <c r="J322" s="48">
        <v>46024</v>
      </c>
      <c r="K322" s="47">
        <v>7006898324</v>
      </c>
      <c r="L322" s="47" t="s">
        <v>2172</v>
      </c>
      <c r="M322" s="49" t="s">
        <v>7716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1"/>
        <v>322</v>
      </c>
      <c r="B323" s="47" t="s">
        <v>7901</v>
      </c>
      <c r="C323" s="47" t="s">
        <v>7898</v>
      </c>
      <c r="D323" s="47" t="s">
        <v>7899</v>
      </c>
      <c r="E323" s="47" t="s">
        <v>7900</v>
      </c>
      <c r="F323" s="47" t="s">
        <v>119</v>
      </c>
      <c r="G323" s="47" t="s">
        <v>200</v>
      </c>
      <c r="H323" s="47" t="str">
        <f t="shared" ref="H323:H386" si="12"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</f>
        <v>SRINAGAR</v>
      </c>
      <c r="I323" s="47" t="s">
        <v>7923</v>
      </c>
      <c r="J323" s="48">
        <v>46024</v>
      </c>
      <c r="K323" s="47">
        <v>9149638830</v>
      </c>
      <c r="L323" s="47" t="s">
        <v>2248</v>
      </c>
      <c r="M323" s="49" t="s">
        <v>8164</v>
      </c>
      <c r="N323" s="48">
        <v>46029</v>
      </c>
      <c r="O323" s="47" t="s">
        <v>23</v>
      </c>
      <c r="P323" s="50">
        <v>46029</v>
      </c>
      <c r="Q323" s="47" t="s">
        <v>8167</v>
      </c>
      <c r="R323" s="47"/>
    </row>
    <row r="324" spans="1:18" x14ac:dyDescent="0.25">
      <c r="A324" s="47">
        <f t="shared" si="11"/>
        <v>323</v>
      </c>
      <c r="B324" s="47" t="s">
        <v>7902</v>
      </c>
      <c r="C324" s="47" t="s">
        <v>7919</v>
      </c>
      <c r="D324" s="47" t="s">
        <v>7920</v>
      </c>
      <c r="E324" s="47" t="s">
        <v>7921</v>
      </c>
      <c r="F324" s="47" t="s">
        <v>5</v>
      </c>
      <c r="G324" s="47" t="s">
        <v>199</v>
      </c>
      <c r="H324" s="47" t="str">
        <f t="shared" si="12"/>
        <v>BANDIPORA</v>
      </c>
      <c r="I324" s="47" t="s">
        <v>7922</v>
      </c>
      <c r="J324" s="48">
        <v>46024</v>
      </c>
      <c r="K324" s="47">
        <v>9906605048</v>
      </c>
      <c r="L324" s="47" t="s">
        <v>307</v>
      </c>
      <c r="M324" s="49" t="s">
        <v>8093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1"/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 t="shared" si="12"/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8224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1"/>
        <v>325</v>
      </c>
      <c r="B326" s="47" t="s">
        <v>7907</v>
      </c>
      <c r="C326" s="47" t="s">
        <v>7908</v>
      </c>
      <c r="D326" s="47" t="s">
        <v>7909</v>
      </c>
      <c r="E326" s="47" t="s">
        <v>7910</v>
      </c>
      <c r="F326" s="47" t="s">
        <v>119</v>
      </c>
      <c r="G326" s="47" t="s">
        <v>200</v>
      </c>
      <c r="H326" s="47" t="str">
        <f t="shared" si="12"/>
        <v>SRINAGAR</v>
      </c>
      <c r="I326" s="47" t="s">
        <v>7924</v>
      </c>
      <c r="J326" s="48">
        <v>46024</v>
      </c>
      <c r="K326" s="47">
        <v>9906786675</v>
      </c>
      <c r="L326" s="47" t="s">
        <v>70</v>
      </c>
      <c r="M326" s="49" t="s">
        <v>7617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 t="shared" si="11"/>
        <v>326</v>
      </c>
      <c r="B327" s="47" t="s">
        <v>7480</v>
      </c>
      <c r="C327" s="47" t="s">
        <v>7472</v>
      </c>
      <c r="D327" s="47" t="s">
        <v>7522</v>
      </c>
      <c r="E327" s="47" t="s">
        <v>7464</v>
      </c>
      <c r="F327" s="47" t="s">
        <v>67</v>
      </c>
      <c r="G327" s="47" t="s">
        <v>199</v>
      </c>
      <c r="H327" s="47" t="str">
        <f t="shared" si="12"/>
        <v>SHOPIAN</v>
      </c>
      <c r="I327" s="47" t="s">
        <v>7490</v>
      </c>
      <c r="J327" s="48">
        <v>46015</v>
      </c>
      <c r="K327" s="47">
        <v>6006293557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1"/>
        <v>327</v>
      </c>
      <c r="B328" s="47" t="s">
        <v>7915</v>
      </c>
      <c r="C328" s="47" t="s">
        <v>7916</v>
      </c>
      <c r="D328" s="47" t="s">
        <v>7917</v>
      </c>
      <c r="E328" s="47" t="s">
        <v>7918</v>
      </c>
      <c r="F328" s="47" t="s">
        <v>119</v>
      </c>
      <c r="G328" s="47" t="s">
        <v>200</v>
      </c>
      <c r="H328" s="47" t="str">
        <f t="shared" si="12"/>
        <v>ANANTNAG</v>
      </c>
      <c r="I328" s="47" t="s">
        <v>8014</v>
      </c>
      <c r="J328" s="48">
        <v>46024</v>
      </c>
      <c r="K328" s="47">
        <v>9419813697</v>
      </c>
      <c r="L328" s="47" t="s">
        <v>138</v>
      </c>
      <c r="M328" s="49"/>
      <c r="N328" s="48"/>
      <c r="O328" s="47"/>
      <c r="P328" s="50"/>
      <c r="Q328" s="47"/>
      <c r="R328" s="47"/>
    </row>
    <row r="329" spans="1:18" x14ac:dyDescent="0.25">
      <c r="A329" s="47">
        <f t="shared" si="11"/>
        <v>328</v>
      </c>
      <c r="B329" s="47" t="s">
        <v>8041</v>
      </c>
      <c r="C329" s="47" t="s">
        <v>8039</v>
      </c>
      <c r="D329" s="47" t="s">
        <v>8040</v>
      </c>
      <c r="E329" s="47" t="s">
        <v>556</v>
      </c>
      <c r="F329" s="47" t="s">
        <v>119</v>
      </c>
      <c r="G329" s="47" t="s">
        <v>200</v>
      </c>
      <c r="H329" s="47" t="str">
        <f t="shared" si="12"/>
        <v>PULWAMA</v>
      </c>
      <c r="I329" s="47" t="s">
        <v>8082</v>
      </c>
      <c r="J329" s="48">
        <v>46027</v>
      </c>
      <c r="K329" s="47">
        <v>7780961447</v>
      </c>
      <c r="L329" s="47" t="s">
        <v>6521</v>
      </c>
      <c r="M329" s="49"/>
      <c r="N329" s="48"/>
      <c r="O329" s="47"/>
      <c r="P329" s="50"/>
      <c r="Q329" s="47"/>
      <c r="R329" s="47"/>
    </row>
    <row r="330" spans="1:18" x14ac:dyDescent="0.25">
      <c r="A330" s="47">
        <f t="shared" si="11"/>
        <v>329</v>
      </c>
      <c r="B330" s="47" t="s">
        <v>7934</v>
      </c>
      <c r="C330" s="47" t="s">
        <v>7930</v>
      </c>
      <c r="D330" s="47" t="s">
        <v>7931</v>
      </c>
      <c r="E330" s="47" t="s">
        <v>7932</v>
      </c>
      <c r="F330" s="47" t="s">
        <v>5</v>
      </c>
      <c r="G330" s="47" t="s">
        <v>200</v>
      </c>
      <c r="H330" s="47" t="str">
        <f t="shared" si="12"/>
        <v>SRINAGAR</v>
      </c>
      <c r="I330" s="47" t="s">
        <v>7933</v>
      </c>
      <c r="J330" s="48">
        <v>46024</v>
      </c>
      <c r="K330" s="47">
        <v>7006197341</v>
      </c>
      <c r="L330" s="47" t="s">
        <v>1126</v>
      </c>
      <c r="M330" s="49" t="s">
        <v>7775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 t="shared" si="11"/>
        <v>330</v>
      </c>
      <c r="B331" s="47" t="s">
        <v>7942</v>
      </c>
      <c r="C331" s="47" t="s">
        <v>7943</v>
      </c>
      <c r="D331" s="47" t="s">
        <v>7944</v>
      </c>
      <c r="E331" s="47" t="s">
        <v>7945</v>
      </c>
      <c r="F331" s="47" t="s">
        <v>12</v>
      </c>
      <c r="G331" s="47" t="s">
        <v>181</v>
      </c>
      <c r="H331" s="47" t="str">
        <f t="shared" si="12"/>
        <v>SRINAGAR</v>
      </c>
      <c r="I331" s="47" t="s">
        <v>7998</v>
      </c>
      <c r="J331" s="48">
        <v>46024</v>
      </c>
      <c r="K331" s="47">
        <v>9906730950</v>
      </c>
      <c r="L331" s="47" t="s">
        <v>194</v>
      </c>
      <c r="M331" s="49" t="s">
        <v>7595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1"/>
        <v>331</v>
      </c>
      <c r="B332" s="47" t="s">
        <v>7946</v>
      </c>
      <c r="C332" s="47" t="s">
        <v>7947</v>
      </c>
      <c r="D332" s="47" t="s">
        <v>7948</v>
      </c>
      <c r="E332" s="47" t="s">
        <v>7949</v>
      </c>
      <c r="F332" s="47" t="s">
        <v>31</v>
      </c>
      <c r="G332" s="47" t="s">
        <v>200</v>
      </c>
      <c r="H332" s="47" t="str">
        <f t="shared" si="12"/>
        <v>SRINAGAR</v>
      </c>
      <c r="I332" s="47" t="s">
        <v>8015</v>
      </c>
      <c r="J332" s="48">
        <v>46024</v>
      </c>
      <c r="K332" s="47">
        <v>9419004025</v>
      </c>
      <c r="L332" s="47" t="s">
        <v>6832</v>
      </c>
      <c r="M332" s="49" t="s">
        <v>8237</v>
      </c>
      <c r="N332" s="48">
        <v>46034</v>
      </c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1"/>
        <v>332</v>
      </c>
      <c r="B333" s="47" t="s">
        <v>7838</v>
      </c>
      <c r="C333" s="47" t="s">
        <v>7839</v>
      </c>
      <c r="D333" s="47" t="s">
        <v>7840</v>
      </c>
      <c r="E333" s="47" t="s">
        <v>7841</v>
      </c>
      <c r="F333" s="47" t="s">
        <v>31</v>
      </c>
      <c r="G333" s="47" t="s">
        <v>200</v>
      </c>
      <c r="H333" s="47" t="str">
        <f t="shared" si="12"/>
        <v>KULGAM</v>
      </c>
      <c r="I333" s="55" t="s">
        <v>7859</v>
      </c>
      <c r="J333" s="48">
        <v>46023</v>
      </c>
      <c r="K333" s="47">
        <v>7006176206</v>
      </c>
      <c r="L333" s="47" t="s">
        <v>6570</v>
      </c>
      <c r="M333" s="49" t="s">
        <v>7294</v>
      </c>
      <c r="N333" s="48">
        <v>46035</v>
      </c>
      <c r="O333" s="47"/>
      <c r="P333" s="50"/>
      <c r="Q333" s="47"/>
      <c r="R333" s="47"/>
    </row>
    <row r="334" spans="1:18" x14ac:dyDescent="0.25">
      <c r="A334" s="47">
        <f t="shared" si="11"/>
        <v>333</v>
      </c>
      <c r="B334" s="47" t="s">
        <v>7961</v>
      </c>
      <c r="C334" s="47" t="s">
        <v>7956</v>
      </c>
      <c r="D334" s="47" t="s">
        <v>7957</v>
      </c>
      <c r="E334" s="47" t="s">
        <v>7958</v>
      </c>
      <c r="F334" s="47" t="s">
        <v>119</v>
      </c>
      <c r="G334" s="47" t="s">
        <v>200</v>
      </c>
      <c r="H334" s="47" t="str">
        <f t="shared" si="12"/>
        <v>PULWAMA</v>
      </c>
      <c r="I334" s="47" t="s">
        <v>7960</v>
      </c>
      <c r="J334" s="48">
        <v>46025</v>
      </c>
      <c r="K334" s="47">
        <v>9682505719</v>
      </c>
      <c r="L334" s="47" t="s">
        <v>7959</v>
      </c>
      <c r="M334" s="49" t="s">
        <v>7294</v>
      </c>
      <c r="N334" s="48">
        <v>46035</v>
      </c>
      <c r="O334" s="47"/>
      <c r="P334" s="50"/>
      <c r="Q334" s="47"/>
      <c r="R334" s="47"/>
    </row>
    <row r="335" spans="1:18" x14ac:dyDescent="0.25">
      <c r="A335" s="47">
        <f t="shared" si="11"/>
        <v>334</v>
      </c>
      <c r="B335" s="47" t="s">
        <v>8058</v>
      </c>
      <c r="C335" s="47" t="s">
        <v>8055</v>
      </c>
      <c r="D335" s="47" t="s">
        <v>8056</v>
      </c>
      <c r="E335" s="47" t="s">
        <v>8057</v>
      </c>
      <c r="F335" s="47" t="s">
        <v>12</v>
      </c>
      <c r="G335" s="47" t="s">
        <v>200</v>
      </c>
      <c r="H335" s="47" t="str">
        <f t="shared" si="12"/>
        <v>PULWAMA</v>
      </c>
      <c r="I335" s="47" t="s">
        <v>8083</v>
      </c>
      <c r="J335" s="48">
        <v>46027</v>
      </c>
      <c r="K335" s="47">
        <v>7298487838</v>
      </c>
      <c r="L335" s="47" t="s">
        <v>6521</v>
      </c>
      <c r="M335" s="49"/>
      <c r="N335" s="48">
        <v>46337</v>
      </c>
      <c r="O335" s="47"/>
      <c r="P335" s="50"/>
      <c r="Q335" s="47"/>
      <c r="R335" s="47"/>
    </row>
    <row r="336" spans="1:18" x14ac:dyDescent="0.25">
      <c r="A336" s="47">
        <f t="shared" si="11"/>
        <v>335</v>
      </c>
      <c r="B336" s="47" t="s">
        <v>7911</v>
      </c>
      <c r="C336" s="47" t="s">
        <v>7912</v>
      </c>
      <c r="D336" s="47" t="s">
        <v>7913</v>
      </c>
      <c r="E336" s="47" t="s">
        <v>7914</v>
      </c>
      <c r="F336" s="47" t="s">
        <v>486</v>
      </c>
      <c r="G336" s="47" t="s">
        <v>199</v>
      </c>
      <c r="H336" s="47" t="str">
        <f t="shared" si="12"/>
        <v>SHOPIAN</v>
      </c>
      <c r="I336" s="47" t="s">
        <v>7955</v>
      </c>
      <c r="J336" s="48">
        <v>46024</v>
      </c>
      <c r="K336" s="47">
        <v>7780943149</v>
      </c>
      <c r="L336" s="47" t="s">
        <v>6570</v>
      </c>
      <c r="M336" s="49" t="s">
        <v>7294</v>
      </c>
      <c r="N336" s="48">
        <v>46035</v>
      </c>
      <c r="O336" s="47"/>
      <c r="P336" s="50"/>
      <c r="Q336" s="47"/>
      <c r="R336" s="47"/>
    </row>
    <row r="337" spans="1:18" x14ac:dyDescent="0.25">
      <c r="A337" s="47">
        <f t="shared" si="11"/>
        <v>336</v>
      </c>
      <c r="B337" s="47" t="s">
        <v>7977</v>
      </c>
      <c r="C337" s="47" t="s">
        <v>7971</v>
      </c>
      <c r="D337" s="47" t="s">
        <v>7972</v>
      </c>
      <c r="E337" s="47" t="s">
        <v>7973</v>
      </c>
      <c r="F337" s="47" t="s">
        <v>7974</v>
      </c>
      <c r="G337" s="47" t="s">
        <v>200</v>
      </c>
      <c r="H337" s="47" t="str">
        <f t="shared" si="12"/>
        <v>SRINAGAR</v>
      </c>
      <c r="I337" s="47" t="s">
        <v>7975</v>
      </c>
      <c r="J337" s="48">
        <v>46025</v>
      </c>
      <c r="K337" s="47">
        <v>9149592772</v>
      </c>
      <c r="L337" s="47" t="s">
        <v>194</v>
      </c>
      <c r="M337" s="49" t="s">
        <v>7595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1"/>
        <v>337</v>
      </c>
      <c r="B338" s="47" t="s">
        <v>7981</v>
      </c>
      <c r="C338" s="47" t="s">
        <v>7978</v>
      </c>
      <c r="D338" s="47" t="s">
        <v>7979</v>
      </c>
      <c r="E338" s="47" t="s">
        <v>7980</v>
      </c>
      <c r="F338" s="47" t="s">
        <v>290</v>
      </c>
      <c r="G338" s="47" t="s">
        <v>200</v>
      </c>
      <c r="H338" s="47" t="str">
        <f t="shared" si="12"/>
        <v>SRINAGAR</v>
      </c>
      <c r="I338" s="47" t="s">
        <v>7982</v>
      </c>
      <c r="J338" s="48">
        <v>46025</v>
      </c>
      <c r="K338" s="47">
        <v>9149592772</v>
      </c>
      <c r="L338" s="47" t="s">
        <v>48</v>
      </c>
      <c r="M338" s="49" t="s">
        <v>7773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 t="shared" si="11"/>
        <v>338</v>
      </c>
      <c r="B339" s="47" t="s">
        <v>7985</v>
      </c>
      <c r="C339" s="47" t="s">
        <v>7983</v>
      </c>
      <c r="D339" s="47" t="s">
        <v>7984</v>
      </c>
      <c r="E339" s="47" t="s">
        <v>4284</v>
      </c>
      <c r="F339" s="47" t="s">
        <v>193</v>
      </c>
      <c r="G339" s="47" t="s">
        <v>199</v>
      </c>
      <c r="H339" s="47" t="str">
        <f t="shared" si="12"/>
        <v>SRINAGAR</v>
      </c>
      <c r="I339" s="47" t="s">
        <v>7986</v>
      </c>
      <c r="J339" s="48">
        <v>46025</v>
      </c>
      <c r="K339" s="47">
        <v>8899926488</v>
      </c>
      <c r="L339" s="47" t="s">
        <v>106</v>
      </c>
      <c r="M339" s="49" t="s">
        <v>7601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 t="shared" si="11"/>
        <v>339</v>
      </c>
      <c r="B340" s="47" t="s">
        <v>7990</v>
      </c>
      <c r="C340" s="47" t="s">
        <v>7987</v>
      </c>
      <c r="D340" s="47" t="s">
        <v>7988</v>
      </c>
      <c r="E340" s="47" t="s">
        <v>7989</v>
      </c>
      <c r="F340" s="47" t="s">
        <v>31</v>
      </c>
      <c r="G340" s="47" t="s">
        <v>175</v>
      </c>
      <c r="H340" s="47" t="str">
        <f t="shared" si="12"/>
        <v>SRINAGAR</v>
      </c>
      <c r="I340" s="47" t="s">
        <v>7991</v>
      </c>
      <c r="J340" s="48">
        <v>46025</v>
      </c>
      <c r="K340" s="47">
        <v>9596382727</v>
      </c>
      <c r="L340" s="47" t="s">
        <v>106</v>
      </c>
      <c r="M340" s="49" t="s">
        <v>7601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1"/>
        <v>340</v>
      </c>
      <c r="B341" s="47" t="s">
        <v>7996</v>
      </c>
      <c r="C341" s="47" t="s">
        <v>7992</v>
      </c>
      <c r="D341" s="47" t="s">
        <v>7993</v>
      </c>
      <c r="E341" s="47" t="s">
        <v>7994</v>
      </c>
      <c r="F341" s="47" t="s">
        <v>31</v>
      </c>
      <c r="G341" s="47" t="s">
        <v>175</v>
      </c>
      <c r="H341" s="47" t="str">
        <f t="shared" si="12"/>
        <v>SRINAGAR</v>
      </c>
      <c r="I341" s="47" t="s">
        <v>7995</v>
      </c>
      <c r="J341" s="48">
        <v>46025</v>
      </c>
      <c r="K341" s="47">
        <v>9906863125</v>
      </c>
      <c r="L341" s="47" t="s">
        <v>2172</v>
      </c>
      <c r="M341" s="49" t="s">
        <v>7714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1"/>
        <v>341</v>
      </c>
      <c r="B342" s="47" t="s">
        <v>7997</v>
      </c>
      <c r="C342" s="47" t="s">
        <v>7999</v>
      </c>
      <c r="D342" s="47" t="s">
        <v>8000</v>
      </c>
      <c r="E342" s="47" t="s">
        <v>8001</v>
      </c>
      <c r="F342" s="47" t="s">
        <v>125</v>
      </c>
      <c r="G342" s="47" t="s">
        <v>174</v>
      </c>
      <c r="H342" s="47" t="str">
        <f t="shared" si="12"/>
        <v>SRINAGAR</v>
      </c>
      <c r="I342" s="47" t="s">
        <v>8002</v>
      </c>
      <c r="J342" s="48">
        <v>46025</v>
      </c>
      <c r="K342" s="47">
        <v>9419004044</v>
      </c>
      <c r="L342" s="47" t="s">
        <v>48</v>
      </c>
      <c r="M342" s="49" t="s">
        <v>7775</v>
      </c>
      <c r="N342" s="48">
        <v>46032</v>
      </c>
      <c r="O342" s="47"/>
      <c r="P342" s="50"/>
      <c r="Q342" s="47"/>
      <c r="R342" s="47"/>
    </row>
    <row r="343" spans="1:18" x14ac:dyDescent="0.25">
      <c r="A343" s="47">
        <f t="shared" si="11"/>
        <v>342</v>
      </c>
      <c r="B343" s="47" t="s">
        <v>8003</v>
      </c>
      <c r="C343" s="47" t="s">
        <v>8004</v>
      </c>
      <c r="D343" s="47" t="s">
        <v>8005</v>
      </c>
      <c r="E343" s="47" t="s">
        <v>8006</v>
      </c>
      <c r="F343" s="47" t="s">
        <v>31</v>
      </c>
      <c r="G343" s="47" t="s">
        <v>199</v>
      </c>
      <c r="H343" s="47" t="str">
        <f t="shared" si="12"/>
        <v>SRINAGAR</v>
      </c>
      <c r="I343" s="47" t="s">
        <v>8007</v>
      </c>
      <c r="J343" s="48">
        <v>46025</v>
      </c>
      <c r="K343" s="47">
        <v>7889441591</v>
      </c>
      <c r="L343" s="47" t="s">
        <v>110</v>
      </c>
      <c r="M343" s="49" t="s">
        <v>8228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 t="shared" si="11"/>
        <v>343</v>
      </c>
      <c r="B344" s="47" t="s">
        <v>8008</v>
      </c>
      <c r="C344" s="47" t="s">
        <v>8009</v>
      </c>
      <c r="D344" s="47" t="s">
        <v>8011</v>
      </c>
      <c r="E344" s="47" t="s">
        <v>8010</v>
      </c>
      <c r="F344" s="47" t="s">
        <v>119</v>
      </c>
      <c r="G344" s="47" t="s">
        <v>174</v>
      </c>
      <c r="H344" s="47" t="str">
        <f t="shared" si="12"/>
        <v>SRINAGAR</v>
      </c>
      <c r="I344" s="47" t="s">
        <v>8012</v>
      </c>
      <c r="J344" s="48">
        <v>46025</v>
      </c>
      <c r="K344" s="47">
        <v>7006441266</v>
      </c>
      <c r="L344" s="47" t="s">
        <v>43</v>
      </c>
      <c r="M344" s="49" t="s">
        <v>7617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 t="shared" si="11"/>
        <v>344</v>
      </c>
      <c r="B345" s="47" t="s">
        <v>8018</v>
      </c>
      <c r="C345" s="47" t="s">
        <v>8019</v>
      </c>
      <c r="D345" s="47" t="s">
        <v>8020</v>
      </c>
      <c r="E345" s="47" t="s">
        <v>5417</v>
      </c>
      <c r="F345" s="47" t="s">
        <v>12</v>
      </c>
      <c r="G345" s="47" t="s">
        <v>181</v>
      </c>
      <c r="H345" s="47" t="str">
        <f t="shared" si="12"/>
        <v>ANANTNAG</v>
      </c>
      <c r="I345" s="47" t="s">
        <v>8030</v>
      </c>
      <c r="J345" s="48">
        <v>46025</v>
      </c>
      <c r="K345" s="47">
        <v>7889730611</v>
      </c>
      <c r="L345" s="47" t="s">
        <v>6540</v>
      </c>
      <c r="M345" s="49" t="s">
        <v>7616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 t="shared" si="11"/>
        <v>345</v>
      </c>
      <c r="B346" s="47" t="s">
        <v>8024</v>
      </c>
      <c r="C346" s="47" t="s">
        <v>8021</v>
      </c>
      <c r="D346" s="47" t="s">
        <v>8022</v>
      </c>
      <c r="E346" s="47" t="s">
        <v>8023</v>
      </c>
      <c r="F346" s="47" t="s">
        <v>12</v>
      </c>
      <c r="G346" s="47" t="s">
        <v>200</v>
      </c>
      <c r="H346" s="47" t="str">
        <f t="shared" si="12"/>
        <v>KUPWARA</v>
      </c>
      <c r="I346" s="47" t="s">
        <v>8025</v>
      </c>
      <c r="J346" s="48">
        <v>46025</v>
      </c>
      <c r="K346" s="47">
        <v>6005210447</v>
      </c>
      <c r="L346" s="47" t="s">
        <v>2248</v>
      </c>
      <c r="M346" s="49" t="s">
        <v>7617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1"/>
        <v>346</v>
      </c>
      <c r="B347" s="47" t="s">
        <v>7481</v>
      </c>
      <c r="C347" s="47" t="s">
        <v>7473</v>
      </c>
      <c r="D347" s="47" t="s">
        <v>7496</v>
      </c>
      <c r="E347" s="47" t="s">
        <v>7465</v>
      </c>
      <c r="F347" s="47" t="s">
        <v>7485</v>
      </c>
      <c r="G347" s="47" t="s">
        <v>199</v>
      </c>
      <c r="H347" s="47" t="str">
        <f t="shared" si="12"/>
        <v>SRINAGAR</v>
      </c>
      <c r="I347" s="47" t="s">
        <v>7491</v>
      </c>
      <c r="J347" s="48">
        <v>46015</v>
      </c>
      <c r="K347" s="47">
        <v>9149877765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1"/>
        <v>347</v>
      </c>
      <c r="B348" s="47" t="s">
        <v>8034</v>
      </c>
      <c r="C348" s="47" t="s">
        <v>8032</v>
      </c>
      <c r="D348" s="47" t="s">
        <v>8033</v>
      </c>
      <c r="E348" s="47" t="s">
        <v>6433</v>
      </c>
      <c r="F348" s="47" t="s">
        <v>7401</v>
      </c>
      <c r="G348" s="47" t="s">
        <v>200</v>
      </c>
      <c r="H348" s="47" t="str">
        <f t="shared" si="12"/>
        <v>BARAMULLA</v>
      </c>
      <c r="I348" s="47" t="s">
        <v>8080</v>
      </c>
      <c r="J348" s="48">
        <v>46027</v>
      </c>
      <c r="K348" s="47">
        <v>7298545112</v>
      </c>
      <c r="L348" s="47" t="s">
        <v>26</v>
      </c>
      <c r="M348" s="49" t="s">
        <v>7616</v>
      </c>
      <c r="N348" s="48">
        <v>46036</v>
      </c>
      <c r="O348" s="47" t="s">
        <v>23</v>
      </c>
      <c r="P348" s="50">
        <v>46036</v>
      </c>
      <c r="Q348" s="47" t="s">
        <v>6460</v>
      </c>
      <c r="R348" s="47"/>
    </row>
    <row r="349" spans="1:18" x14ac:dyDescent="0.25">
      <c r="A349" s="47">
        <f t="shared" si="11"/>
        <v>348</v>
      </c>
      <c r="B349" s="47" t="s">
        <v>8038</v>
      </c>
      <c r="C349" s="47" t="s">
        <v>8035</v>
      </c>
      <c r="D349" s="47" t="s">
        <v>8036</v>
      </c>
      <c r="E349" s="47" t="s">
        <v>8037</v>
      </c>
      <c r="F349" s="47" t="s">
        <v>102</v>
      </c>
      <c r="G349" s="47" t="s">
        <v>181</v>
      </c>
      <c r="H349" s="47" t="str">
        <f t="shared" si="12"/>
        <v>TEMP</v>
      </c>
      <c r="I349" s="47" t="s">
        <v>8081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1"/>
        <v>349</v>
      </c>
      <c r="B350" s="47" t="s">
        <v>8067</v>
      </c>
      <c r="C350" s="47" t="s">
        <v>8068</v>
      </c>
      <c r="D350" s="47" t="s">
        <v>8069</v>
      </c>
      <c r="E350" s="47" t="s">
        <v>8070</v>
      </c>
      <c r="F350" s="47" t="s">
        <v>5</v>
      </c>
      <c r="G350" s="47" t="s">
        <v>200</v>
      </c>
      <c r="H350" s="47" t="str">
        <f t="shared" si="12"/>
        <v>PULWAMA</v>
      </c>
      <c r="I350" s="47" t="s">
        <v>8084</v>
      </c>
      <c r="J350" s="48">
        <v>46027</v>
      </c>
      <c r="K350" s="47">
        <v>9419278824</v>
      </c>
      <c r="L350" s="47" t="s">
        <v>6521</v>
      </c>
      <c r="M350" s="49"/>
      <c r="N350" s="48">
        <v>46337</v>
      </c>
      <c r="O350" s="47"/>
      <c r="P350" s="50"/>
      <c r="Q350" s="47"/>
      <c r="R350" s="47" t="s">
        <v>8092</v>
      </c>
    </row>
    <row r="351" spans="1:18" x14ac:dyDescent="0.25">
      <c r="A351" s="47">
        <f t="shared" si="11"/>
        <v>350</v>
      </c>
      <c r="B351" s="47" t="s">
        <v>8045</v>
      </c>
      <c r="C351" s="47" t="s">
        <v>8042</v>
      </c>
      <c r="D351" s="47" t="s">
        <v>8043</v>
      </c>
      <c r="E351" s="47" t="s">
        <v>8044</v>
      </c>
      <c r="F351" s="47" t="s">
        <v>31</v>
      </c>
      <c r="G351" s="47" t="s">
        <v>199</v>
      </c>
      <c r="H351" s="47" t="str">
        <f t="shared" si="12"/>
        <v>JAMMU</v>
      </c>
      <c r="I351" s="47" t="s">
        <v>8085</v>
      </c>
      <c r="J351" s="48">
        <v>46027</v>
      </c>
      <c r="K351" s="47">
        <v>9906284454</v>
      </c>
      <c r="L351" s="47" t="s">
        <v>2172</v>
      </c>
      <c r="M351" s="49" t="s">
        <v>8164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 t="shared" si="11"/>
        <v>351</v>
      </c>
      <c r="B352" s="47" t="s">
        <v>8046</v>
      </c>
      <c r="C352" s="47" t="s">
        <v>8047</v>
      </c>
      <c r="D352" s="47" t="s">
        <v>8048</v>
      </c>
      <c r="E352" s="47" t="s">
        <v>8049</v>
      </c>
      <c r="F352" s="47" t="s">
        <v>119</v>
      </c>
      <c r="G352" s="47" t="s">
        <v>175</v>
      </c>
      <c r="H352" s="47" t="str">
        <f t="shared" si="12"/>
        <v>SRINAGAR</v>
      </c>
      <c r="I352" s="47" t="s">
        <v>8090</v>
      </c>
      <c r="J352" s="48">
        <v>46027</v>
      </c>
      <c r="K352" s="47">
        <v>9070111588</v>
      </c>
      <c r="L352" s="47" t="s">
        <v>194</v>
      </c>
      <c r="M352" s="49" t="s">
        <v>7595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1"/>
        <v>352</v>
      </c>
      <c r="B353" s="47" t="s">
        <v>8050</v>
      </c>
      <c r="C353" s="47" t="s">
        <v>8051</v>
      </c>
      <c r="D353" s="47" t="s">
        <v>8052</v>
      </c>
      <c r="E353" s="47" t="s">
        <v>8053</v>
      </c>
      <c r="F353" s="47" t="s">
        <v>8054</v>
      </c>
      <c r="G353" s="47" t="s">
        <v>226</v>
      </c>
      <c r="H353" s="47" t="str">
        <f t="shared" si="12"/>
        <v>SRINAGAR</v>
      </c>
      <c r="I353" s="47" t="s">
        <v>8089</v>
      </c>
      <c r="J353" s="48">
        <v>46027</v>
      </c>
      <c r="K353" s="47">
        <v>9797897619</v>
      </c>
      <c r="L353" s="47" t="s">
        <v>26</v>
      </c>
      <c r="M353" s="49" t="s">
        <v>7455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 t="shared" si="11"/>
        <v>353</v>
      </c>
      <c r="B354" s="47" t="s">
        <v>7602</v>
      </c>
      <c r="C354" s="47" t="s">
        <v>7603</v>
      </c>
      <c r="D354" s="47" t="s">
        <v>7604</v>
      </c>
      <c r="E354" s="47" t="s">
        <v>7605</v>
      </c>
      <c r="F354" s="47" t="s">
        <v>31</v>
      </c>
      <c r="G354" s="47" t="s">
        <v>174</v>
      </c>
      <c r="H354" s="47" t="str">
        <f t="shared" si="12"/>
        <v>SHOPIAN</v>
      </c>
      <c r="I354" s="48" t="s">
        <v>7610</v>
      </c>
      <c r="J354" s="48">
        <v>46017</v>
      </c>
      <c r="K354" s="47">
        <v>6006651112</v>
      </c>
      <c r="L354" s="47" t="s">
        <v>6521</v>
      </c>
      <c r="M354" s="49"/>
      <c r="N354" s="48"/>
      <c r="O354" s="47"/>
      <c r="P354" s="50"/>
      <c r="Q354" s="47"/>
      <c r="R354" s="47"/>
    </row>
    <row r="355" spans="1:18" x14ac:dyDescent="0.25">
      <c r="A355" s="47">
        <f t="shared" si="11"/>
        <v>354</v>
      </c>
      <c r="B355" s="47" t="s">
        <v>8059</v>
      </c>
      <c r="C355" s="47" t="s">
        <v>8060</v>
      </c>
      <c r="D355" s="47" t="s">
        <v>8061</v>
      </c>
      <c r="E355" s="47" t="s">
        <v>8062</v>
      </c>
      <c r="F355" s="47" t="s">
        <v>31</v>
      </c>
      <c r="G355" s="47" t="s">
        <v>221</v>
      </c>
      <c r="H355" s="47" t="str">
        <f t="shared" si="12"/>
        <v>SRINAGAR</v>
      </c>
      <c r="I355" s="47" t="s">
        <v>8086</v>
      </c>
      <c r="J355" s="48">
        <v>46027</v>
      </c>
      <c r="K355" s="47">
        <v>9070599346</v>
      </c>
      <c r="L355" s="47" t="s">
        <v>166</v>
      </c>
      <c r="M355" s="49" t="s">
        <v>7672</v>
      </c>
      <c r="N355" s="48">
        <v>46030</v>
      </c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 t="shared" si="11"/>
        <v>355</v>
      </c>
      <c r="B356" s="47" t="s">
        <v>8063</v>
      </c>
      <c r="C356" s="47" t="s">
        <v>8064</v>
      </c>
      <c r="D356" s="47" t="s">
        <v>8065</v>
      </c>
      <c r="E356" s="47" t="s">
        <v>8066</v>
      </c>
      <c r="F356" s="47" t="s">
        <v>119</v>
      </c>
      <c r="G356" s="47" t="s">
        <v>200</v>
      </c>
      <c r="H356" s="47" t="str">
        <f t="shared" si="12"/>
        <v>SHOPIAN</v>
      </c>
      <c r="I356" s="47" t="s">
        <v>8088</v>
      </c>
      <c r="J356" s="48">
        <v>46027</v>
      </c>
      <c r="K356" s="47">
        <v>9797071432</v>
      </c>
      <c r="L356" s="47" t="s">
        <v>6540</v>
      </c>
      <c r="M356" s="49" t="s">
        <v>7616</v>
      </c>
      <c r="N356" s="48">
        <v>46034</v>
      </c>
      <c r="O356" s="47" t="s">
        <v>23</v>
      </c>
      <c r="P356" s="50">
        <v>46028</v>
      </c>
      <c r="Q356" s="47" t="s">
        <v>6460</v>
      </c>
      <c r="R356" s="47" t="s">
        <v>8123</v>
      </c>
    </row>
    <row r="357" spans="1:18" x14ac:dyDescent="0.25">
      <c r="A357" s="47">
        <f t="shared" si="11"/>
        <v>356</v>
      </c>
      <c r="B357" s="47" t="s">
        <v>7935</v>
      </c>
      <c r="C357" s="47" t="s">
        <v>7927</v>
      </c>
      <c r="D357" s="47" t="s">
        <v>7928</v>
      </c>
      <c r="E357" s="47" t="s">
        <v>7929</v>
      </c>
      <c r="F357" s="47" t="s">
        <v>31</v>
      </c>
      <c r="G357" s="47" t="s">
        <v>199</v>
      </c>
      <c r="H357" s="47" t="str">
        <f t="shared" si="12"/>
        <v>SRINAGAR</v>
      </c>
      <c r="I357" s="47" t="s">
        <v>7936</v>
      </c>
      <c r="J357" s="48">
        <v>46024</v>
      </c>
      <c r="K357" s="47">
        <v>9149695812</v>
      </c>
      <c r="L357" s="47" t="s">
        <v>6521</v>
      </c>
      <c r="M357" s="49"/>
      <c r="N357" s="48"/>
      <c r="O357" s="47"/>
      <c r="P357" s="50"/>
      <c r="Q357" s="47"/>
      <c r="R357" s="47"/>
    </row>
    <row r="358" spans="1:18" x14ac:dyDescent="0.25">
      <c r="A358" s="47">
        <f t="shared" si="11"/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 t="shared" si="12"/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1"/>
        <v>358</v>
      </c>
      <c r="B359" s="47" t="s">
        <v>8079</v>
      </c>
      <c r="C359" s="47" t="s">
        <v>8076</v>
      </c>
      <c r="D359" s="47" t="s">
        <v>8077</v>
      </c>
      <c r="E359" s="47" t="s">
        <v>8078</v>
      </c>
      <c r="F359" s="47" t="s">
        <v>37</v>
      </c>
      <c r="G359" s="47" t="s">
        <v>199</v>
      </c>
      <c r="H359" s="47" t="str">
        <f t="shared" si="12"/>
        <v>BHARAT</v>
      </c>
      <c r="I359" s="47" t="s">
        <v>8131</v>
      </c>
      <c r="J359" s="48">
        <v>46027</v>
      </c>
      <c r="K359" s="47">
        <v>9086008167</v>
      </c>
      <c r="L359" s="47" t="s">
        <v>26</v>
      </c>
      <c r="M359" s="49"/>
      <c r="N359" s="48" t="s">
        <v>8264</v>
      </c>
      <c r="O359" s="47"/>
      <c r="P359" s="50"/>
      <c r="Q359" s="47"/>
      <c r="R359" s="47"/>
    </row>
    <row r="360" spans="1:18" x14ac:dyDescent="0.25">
      <c r="A360" s="47">
        <f t="shared" si="11"/>
        <v>359</v>
      </c>
      <c r="B360" s="47" t="s">
        <v>8098</v>
      </c>
      <c r="C360" s="47" t="s">
        <v>8095</v>
      </c>
      <c r="D360" s="47" t="s">
        <v>8096</v>
      </c>
      <c r="E360" s="47" t="s">
        <v>8097</v>
      </c>
      <c r="F360" s="47" t="s">
        <v>31</v>
      </c>
      <c r="G360" s="47" t="s">
        <v>200</v>
      </c>
      <c r="H360" s="47" t="str">
        <f t="shared" si="12"/>
        <v>BUDGAM</v>
      </c>
      <c r="I360" s="47" t="s">
        <v>8118</v>
      </c>
      <c r="J360" s="48">
        <v>46028</v>
      </c>
      <c r="K360" s="47">
        <v>7780804850</v>
      </c>
      <c r="L360" s="47" t="s">
        <v>2172</v>
      </c>
      <c r="M360" s="49" t="s">
        <v>7716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1"/>
        <v>360</v>
      </c>
      <c r="B361" s="47" t="s">
        <v>8099</v>
      </c>
      <c r="C361" s="47" t="s">
        <v>8100</v>
      </c>
      <c r="D361" s="47" t="s">
        <v>8101</v>
      </c>
      <c r="E361" s="47" t="s">
        <v>8102</v>
      </c>
      <c r="F361" s="47" t="s">
        <v>31</v>
      </c>
      <c r="G361" s="47" t="s">
        <v>200</v>
      </c>
      <c r="H361" s="47" t="str">
        <f t="shared" si="12"/>
        <v>BUDGAM</v>
      </c>
      <c r="I361" s="47" t="s">
        <v>8117</v>
      </c>
      <c r="J361" s="48">
        <v>46028</v>
      </c>
      <c r="K361" s="47">
        <v>9622595048</v>
      </c>
      <c r="L361" s="47" t="s">
        <v>8103</v>
      </c>
      <c r="M361" s="49" t="s">
        <v>8229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 t="shared" ref="A362:A370" si="13">ROW()-1</f>
        <v>361</v>
      </c>
      <c r="B362" s="47" t="s">
        <v>8104</v>
      </c>
      <c r="C362" s="47" t="s">
        <v>8105</v>
      </c>
      <c r="D362" s="47" t="s">
        <v>8106</v>
      </c>
      <c r="E362" s="47" t="s">
        <v>8107</v>
      </c>
      <c r="F362" s="47" t="s">
        <v>238</v>
      </c>
      <c r="G362" s="47" t="s">
        <v>200</v>
      </c>
      <c r="H362" s="47" t="str">
        <f t="shared" si="12"/>
        <v>SRINAGAR</v>
      </c>
      <c r="I362" s="47" t="s">
        <v>8119</v>
      </c>
      <c r="J362" s="48">
        <v>46028</v>
      </c>
      <c r="K362" s="47">
        <v>8899110779</v>
      </c>
      <c r="L362" s="47" t="s">
        <v>48</v>
      </c>
      <c r="M362" s="49" t="s">
        <v>7775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13"/>
        <v>362</v>
      </c>
      <c r="B363" s="47" t="s">
        <v>8108</v>
      </c>
      <c r="C363" s="47" t="s">
        <v>8109</v>
      </c>
      <c r="D363" s="47" t="s">
        <v>8110</v>
      </c>
      <c r="E363" s="47" t="s">
        <v>2303</v>
      </c>
      <c r="F363" s="47" t="s">
        <v>31</v>
      </c>
      <c r="G363" s="47" t="s">
        <v>175</v>
      </c>
      <c r="H363" s="47" t="str">
        <f t="shared" si="12"/>
        <v>POONCH</v>
      </c>
      <c r="I363" s="47" t="s">
        <v>8116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 t="shared" si="13"/>
        <v>363</v>
      </c>
      <c r="B364" s="47" t="s">
        <v>7507</v>
      </c>
      <c r="C364" s="47" t="s">
        <v>7508</v>
      </c>
      <c r="D364" s="47" t="s">
        <v>7509</v>
      </c>
      <c r="E364" s="47" t="s">
        <v>7510</v>
      </c>
      <c r="F364" s="47" t="s">
        <v>12</v>
      </c>
      <c r="G364" s="47" t="s">
        <v>181</v>
      </c>
      <c r="H364" s="47" t="str">
        <f t="shared" si="12"/>
        <v>SHOPIAN</v>
      </c>
      <c r="I364" s="47" t="s">
        <v>7518</v>
      </c>
      <c r="J364" s="48">
        <v>46016</v>
      </c>
      <c r="K364" s="47">
        <v>7889339504</v>
      </c>
      <c r="L364" s="47" t="s">
        <v>6451</v>
      </c>
      <c r="M364" s="49"/>
      <c r="N364" s="48" t="s">
        <v>8261</v>
      </c>
      <c r="O364" s="47"/>
      <c r="P364" s="50"/>
      <c r="Q364" s="47"/>
      <c r="R364" s="47"/>
    </row>
    <row r="365" spans="1:18" x14ac:dyDescent="0.25">
      <c r="A365" s="47">
        <f t="shared" si="13"/>
        <v>364</v>
      </c>
      <c r="B365" s="47" t="s">
        <v>8038</v>
      </c>
      <c r="C365" s="47" t="s">
        <v>8125</v>
      </c>
      <c r="D365" s="47" t="s">
        <v>8126</v>
      </c>
      <c r="E365" s="47" t="s">
        <v>3192</v>
      </c>
      <c r="F365" s="47" t="s">
        <v>119</v>
      </c>
      <c r="G365" s="47" t="s">
        <v>221</v>
      </c>
      <c r="H365" s="47" t="str">
        <f t="shared" si="12"/>
        <v>SRINAGAR</v>
      </c>
      <c r="I365" s="47" t="s">
        <v>8165</v>
      </c>
      <c r="J365" s="48">
        <v>46028</v>
      </c>
      <c r="K365" s="47">
        <v>9906796717</v>
      </c>
      <c r="L365" s="47" t="s">
        <v>75</v>
      </c>
      <c r="M365" s="49" t="s">
        <v>7894</v>
      </c>
      <c r="N365" s="48">
        <v>46032</v>
      </c>
      <c r="O365" s="47"/>
      <c r="P365" s="50"/>
      <c r="Q365" s="47"/>
      <c r="R365" s="47"/>
    </row>
    <row r="366" spans="1:18" x14ac:dyDescent="0.25">
      <c r="A366" s="47">
        <f t="shared" si="13"/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 t="shared" si="12"/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13"/>
        <v>366</v>
      </c>
      <c r="B367" s="47" t="s">
        <v>8171</v>
      </c>
      <c r="C367" s="47" t="s">
        <v>8168</v>
      </c>
      <c r="D367" s="47" t="s">
        <v>8169</v>
      </c>
      <c r="E367" s="47" t="s">
        <v>8170</v>
      </c>
      <c r="F367" s="47" t="s">
        <v>3130</v>
      </c>
      <c r="G367" s="47" t="s">
        <v>6475</v>
      </c>
      <c r="H367" s="47" t="str">
        <f t="shared" si="12"/>
        <v>BANDIPORA</v>
      </c>
      <c r="I367" s="47" t="s">
        <v>8172</v>
      </c>
      <c r="J367" s="48">
        <v>46029</v>
      </c>
      <c r="K367" s="47">
        <v>9596443329</v>
      </c>
      <c r="L367" s="47" t="s">
        <v>6832</v>
      </c>
      <c r="M367" s="49" t="s">
        <v>8237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13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2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3"/>
        <v>368</v>
      </c>
      <c r="B369" s="47" t="s">
        <v>8183</v>
      </c>
      <c r="C369" s="47" t="s">
        <v>8185</v>
      </c>
      <c r="D369" s="47" t="s">
        <v>8192</v>
      </c>
      <c r="E369" s="47" t="s">
        <v>8184</v>
      </c>
      <c r="F369" s="47" t="s">
        <v>5</v>
      </c>
      <c r="G369" s="47" t="s">
        <v>200</v>
      </c>
      <c r="H369" s="47" t="str">
        <f t="shared" si="12"/>
        <v>SRINAGAR</v>
      </c>
      <c r="I369" s="47" t="s">
        <v>8186</v>
      </c>
      <c r="J369" s="48">
        <v>46030</v>
      </c>
      <c r="K369" s="47">
        <v>7889664350</v>
      </c>
      <c r="L369" s="47" t="s">
        <v>18</v>
      </c>
      <c r="M369" s="49" t="s">
        <v>7775</v>
      </c>
      <c r="N369" s="48">
        <v>46034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3"/>
        <v>369</v>
      </c>
      <c r="B370" s="47" t="s">
        <v>7950</v>
      </c>
      <c r="C370" s="47" t="s">
        <v>7951</v>
      </c>
      <c r="D370" s="47" t="s">
        <v>7952</v>
      </c>
      <c r="E370" s="47" t="s">
        <v>7953</v>
      </c>
      <c r="F370" s="47" t="s">
        <v>5</v>
      </c>
      <c r="G370" s="47" t="s">
        <v>199</v>
      </c>
      <c r="H370" s="47" t="str">
        <f t="shared" si="12"/>
        <v>SHOPIAN</v>
      </c>
      <c r="I370" s="48" t="s">
        <v>8013</v>
      </c>
      <c r="J370" s="48">
        <v>46025</v>
      </c>
      <c r="K370" s="47">
        <v>7006820710</v>
      </c>
      <c r="L370" s="47" t="s">
        <v>6570</v>
      </c>
      <c r="M370" s="49" t="s">
        <v>7294</v>
      </c>
      <c r="N370" s="48">
        <v>46347</v>
      </c>
      <c r="O370" s="47"/>
      <c r="P370" s="50"/>
      <c r="Q370" s="47"/>
      <c r="R370" s="47"/>
    </row>
    <row r="371" spans="1:18" x14ac:dyDescent="0.25">
      <c r="A371" s="47">
        <f t="shared" ref="A371" si="14">ROW()-1</f>
        <v>370</v>
      </c>
      <c r="B371" s="47" t="s">
        <v>7666</v>
      </c>
      <c r="C371" s="47" t="s">
        <v>7662</v>
      </c>
      <c r="D371" s="47" t="s">
        <v>7663</v>
      </c>
      <c r="E371" s="47" t="s">
        <v>7665</v>
      </c>
      <c r="F371" s="47" t="s">
        <v>31</v>
      </c>
      <c r="G371" s="47" t="s">
        <v>175</v>
      </c>
      <c r="H371" s="47" t="str">
        <f t="shared" si="12"/>
        <v>PULWAMA</v>
      </c>
      <c r="I371" s="47" t="s">
        <v>7664</v>
      </c>
      <c r="J371" s="48">
        <v>46018</v>
      </c>
      <c r="K371" s="47">
        <v>8715028576</v>
      </c>
      <c r="L371" s="47" t="s">
        <v>6451</v>
      </c>
      <c r="M371" s="49"/>
      <c r="N371" s="48" t="s">
        <v>8262</v>
      </c>
      <c r="O371" s="47"/>
      <c r="P371" s="50"/>
      <c r="Q371" s="47"/>
      <c r="R371" s="47"/>
    </row>
    <row r="372" spans="1:18" x14ac:dyDescent="0.25">
      <c r="A372" s="47">
        <f t="shared" ref="A372:A388" si="15">ROW()-1</f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 t="shared" si="12"/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15"/>
        <v>372</v>
      </c>
      <c r="B373" s="47" t="s">
        <v>8205</v>
      </c>
      <c r="C373" s="47" t="s">
        <v>8202</v>
      </c>
      <c r="D373" s="47" t="s">
        <v>8203</v>
      </c>
      <c r="E373" s="47" t="s">
        <v>8204</v>
      </c>
      <c r="F373" s="47" t="s">
        <v>67</v>
      </c>
      <c r="G373" s="47" t="s">
        <v>181</v>
      </c>
      <c r="H373" s="47" t="str">
        <f t="shared" si="12"/>
        <v>SRINAGAR</v>
      </c>
      <c r="I373" s="47" t="s">
        <v>8207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 t="shared" si="15"/>
        <v>373</v>
      </c>
      <c r="B374" s="47" t="s">
        <v>8213</v>
      </c>
      <c r="C374" s="47" t="s">
        <v>8214</v>
      </c>
      <c r="D374" s="47" t="s">
        <v>8215</v>
      </c>
      <c r="E374" s="47" t="s">
        <v>8216</v>
      </c>
      <c r="F374" s="47" t="s">
        <v>67</v>
      </c>
      <c r="G374" s="47" t="s">
        <v>181</v>
      </c>
      <c r="H374" s="47" t="str">
        <f t="shared" si="12"/>
        <v>SRINAGAR</v>
      </c>
      <c r="I374" s="47" t="s">
        <v>8221</v>
      </c>
      <c r="J374" s="48">
        <v>46030</v>
      </c>
      <c r="K374" s="47">
        <v>6005379500</v>
      </c>
      <c r="L374" s="47" t="s">
        <v>8217</v>
      </c>
      <c r="M374" s="49"/>
      <c r="N374" s="48"/>
      <c r="O374" s="47"/>
      <c r="P374" s="50"/>
      <c r="Q374" s="47"/>
      <c r="R374" s="47"/>
    </row>
    <row r="375" spans="1:18" x14ac:dyDescent="0.25">
      <c r="A375" s="47">
        <f t="shared" si="15"/>
        <v>374</v>
      </c>
      <c r="B375" s="47" t="s">
        <v>8235</v>
      </c>
      <c r="C375" s="47" t="s">
        <v>8233</v>
      </c>
      <c r="D375" s="47" t="s">
        <v>8234</v>
      </c>
      <c r="E375" s="47" t="s">
        <v>3775</v>
      </c>
      <c r="F375" s="47" t="s">
        <v>31</v>
      </c>
      <c r="G375" s="47" t="s">
        <v>200</v>
      </c>
      <c r="H375" s="47" t="str">
        <f t="shared" si="12"/>
        <v>PULWAMA</v>
      </c>
      <c r="I375" s="47" t="s">
        <v>8236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8239</v>
      </c>
    </row>
    <row r="376" spans="1:18" x14ac:dyDescent="0.25">
      <c r="A376" s="47">
        <f t="shared" si="15"/>
        <v>375</v>
      </c>
      <c r="B376" s="47"/>
      <c r="C376" s="47"/>
      <c r="D376" s="47"/>
      <c r="E376" s="47"/>
      <c r="F376" s="47"/>
      <c r="G376" s="47"/>
      <c r="H376" s="47" t="str">
        <f t="shared" si="12"/>
        <v>NEW</v>
      </c>
      <c r="I376" s="47"/>
      <c r="J376" s="48"/>
      <c r="K376" s="47"/>
      <c r="L376" s="47"/>
      <c r="M376" s="49"/>
      <c r="N376" s="48"/>
      <c r="O376" s="47"/>
      <c r="P376" s="50"/>
      <c r="Q376" s="47"/>
      <c r="R376" s="47"/>
    </row>
    <row r="377" spans="1:18" x14ac:dyDescent="0.25">
      <c r="A377" s="47">
        <f t="shared" si="15"/>
        <v>376</v>
      </c>
      <c r="B377" s="47"/>
      <c r="C377" s="47"/>
      <c r="D377" s="47"/>
      <c r="E377" s="47"/>
      <c r="F377" s="47"/>
      <c r="G377" s="47"/>
      <c r="H377" s="47" t="str">
        <f t="shared" si="12"/>
        <v>NEW</v>
      </c>
      <c r="I377" s="47"/>
      <c r="J377" s="48"/>
      <c r="K377" s="47"/>
      <c r="L377" s="47"/>
      <c r="M377" s="49"/>
      <c r="N377" s="48"/>
      <c r="O377" s="47"/>
      <c r="P377" s="50"/>
      <c r="Q377" s="47"/>
      <c r="R377" s="47"/>
    </row>
    <row r="378" spans="1:18" x14ac:dyDescent="0.25">
      <c r="A378" s="47">
        <f t="shared" si="15"/>
        <v>377</v>
      </c>
      <c r="B378" s="47"/>
      <c r="C378" s="47"/>
      <c r="D378" s="47"/>
      <c r="E378" s="47"/>
      <c r="F378" s="47"/>
      <c r="G378" s="47"/>
      <c r="H378" s="47" t="str">
        <f t="shared" si="12"/>
        <v>NEW</v>
      </c>
      <c r="I378" s="47"/>
      <c r="J378" s="48"/>
      <c r="K378" s="47"/>
      <c r="L378" s="47"/>
      <c r="M378" s="49"/>
      <c r="N378" s="48"/>
      <c r="O378" s="47"/>
      <c r="P378" s="50"/>
      <c r="Q378" s="47"/>
      <c r="R378" s="47"/>
    </row>
    <row r="379" spans="1:18" x14ac:dyDescent="0.25">
      <c r="A379" s="47">
        <f t="shared" si="15"/>
        <v>378</v>
      </c>
      <c r="B379" s="47"/>
      <c r="C379" s="47"/>
      <c r="D379" s="47"/>
      <c r="E379" s="47"/>
      <c r="F379" s="47"/>
      <c r="G379" s="47"/>
      <c r="H379" s="47" t="str">
        <f t="shared" si="12"/>
        <v>NEW</v>
      </c>
      <c r="I379" s="47"/>
      <c r="J379" s="48"/>
      <c r="K379" s="47"/>
      <c r="L379" s="47"/>
      <c r="M379" s="49"/>
      <c r="N379" s="48"/>
      <c r="O379" s="47"/>
      <c r="P379" s="50"/>
      <c r="Q379" s="47"/>
      <c r="R379" s="47"/>
    </row>
    <row r="380" spans="1:18" x14ac:dyDescent="0.25">
      <c r="A380" s="47">
        <f t="shared" si="15"/>
        <v>379</v>
      </c>
      <c r="B380" s="47"/>
      <c r="C380" s="47"/>
      <c r="D380" s="47"/>
      <c r="E380" s="47"/>
      <c r="F380" s="47"/>
      <c r="G380" s="47"/>
      <c r="H380" s="47" t="str">
        <f t="shared" si="12"/>
        <v>NEW</v>
      </c>
      <c r="I380" s="47"/>
      <c r="J380" s="48"/>
      <c r="K380" s="47"/>
      <c r="L380" s="47"/>
      <c r="M380" s="49"/>
      <c r="N380" s="48"/>
      <c r="O380" s="47"/>
      <c r="P380" s="50"/>
      <c r="Q380" s="47"/>
      <c r="R380" s="47"/>
    </row>
    <row r="381" spans="1:18" x14ac:dyDescent="0.25">
      <c r="A381" s="47">
        <f t="shared" si="15"/>
        <v>380</v>
      </c>
      <c r="B381" s="47"/>
      <c r="C381" s="47"/>
      <c r="D381" s="47"/>
      <c r="E381" s="47"/>
      <c r="F381" s="47"/>
      <c r="G381" s="47"/>
      <c r="H381" s="47" t="str">
        <f t="shared" si="12"/>
        <v>NEW</v>
      </c>
      <c r="I381" s="47"/>
      <c r="J381" s="48"/>
      <c r="K381" s="47"/>
      <c r="L381" s="47"/>
      <c r="M381" s="49"/>
      <c r="N381" s="48"/>
      <c r="O381" s="47"/>
      <c r="P381" s="50"/>
      <c r="Q381" s="47"/>
      <c r="R381" s="47"/>
    </row>
    <row r="382" spans="1:18" x14ac:dyDescent="0.25">
      <c r="A382" s="47">
        <f t="shared" si="15"/>
        <v>381</v>
      </c>
      <c r="B382" s="47"/>
      <c r="C382" s="47"/>
      <c r="D382" s="47"/>
      <c r="E382" s="47"/>
      <c r="F382" s="47"/>
      <c r="G382" s="47"/>
      <c r="H382" s="47" t="str">
        <f t="shared" si="12"/>
        <v>NEW</v>
      </c>
      <c r="I382" s="47"/>
      <c r="J382" s="48"/>
      <c r="K382" s="47"/>
      <c r="L382" s="47"/>
      <c r="M382" s="49"/>
      <c r="N382" s="48"/>
      <c r="O382" s="47"/>
      <c r="P382" s="50"/>
      <c r="Q382" s="47"/>
      <c r="R382" s="47"/>
    </row>
    <row r="383" spans="1:18" x14ac:dyDescent="0.25">
      <c r="A383" s="47">
        <f t="shared" si="15"/>
        <v>382</v>
      </c>
      <c r="B383" s="47"/>
      <c r="C383" s="47"/>
      <c r="D383" s="47"/>
      <c r="E383" s="47"/>
      <c r="F383" s="47"/>
      <c r="G383" s="47"/>
      <c r="H383" s="47" t="str">
        <f t="shared" si="12"/>
        <v>NEW</v>
      </c>
      <c r="I383" s="47"/>
      <c r="J383" s="48"/>
      <c r="K383" s="47"/>
      <c r="L383" s="47"/>
      <c r="M383" s="49"/>
      <c r="N383" s="48"/>
      <c r="O383" s="47"/>
      <c r="P383" s="50"/>
      <c r="Q383" s="47"/>
      <c r="R383" s="47"/>
    </row>
    <row r="384" spans="1:18" x14ac:dyDescent="0.25">
      <c r="A384" s="47">
        <f t="shared" si="15"/>
        <v>383</v>
      </c>
      <c r="B384" s="47"/>
      <c r="C384" s="47"/>
      <c r="D384" s="47"/>
      <c r="E384" s="47"/>
      <c r="F384" s="47"/>
      <c r="G384" s="47"/>
      <c r="H384" s="47" t="str">
        <f t="shared" si="12"/>
        <v>NEW</v>
      </c>
      <c r="I384" s="47"/>
      <c r="J384" s="48"/>
      <c r="K384" s="47"/>
      <c r="L384" s="47"/>
      <c r="M384" s="49"/>
      <c r="N384" s="48"/>
      <c r="O384" s="47"/>
      <c r="P384" s="50"/>
      <c r="Q384" s="47"/>
      <c r="R384" s="47"/>
    </row>
    <row r="385" spans="1:18" x14ac:dyDescent="0.25">
      <c r="A385" s="47">
        <f t="shared" si="15"/>
        <v>384</v>
      </c>
      <c r="B385" s="47"/>
      <c r="C385" s="47"/>
      <c r="D385" s="47"/>
      <c r="E385" s="47"/>
      <c r="F385" s="47"/>
      <c r="G385" s="47"/>
      <c r="H385" s="47" t="str">
        <f t="shared" si="12"/>
        <v>NEW</v>
      </c>
      <c r="I385" s="47"/>
      <c r="J385" s="48"/>
      <c r="K385" s="47"/>
      <c r="L385" s="47"/>
      <c r="M385" s="49"/>
      <c r="N385" s="48"/>
      <c r="O385" s="47"/>
      <c r="P385" s="50"/>
      <c r="Q385" s="47"/>
      <c r="R385" s="47"/>
    </row>
    <row r="386" spans="1:18" x14ac:dyDescent="0.25">
      <c r="A386" s="47">
        <f t="shared" si="15"/>
        <v>385</v>
      </c>
      <c r="B386" s="47"/>
      <c r="C386" s="47"/>
      <c r="D386" s="47"/>
      <c r="E386" s="47"/>
      <c r="F386" s="47"/>
      <c r="G386" s="47"/>
      <c r="H386" s="47" t="str">
        <f t="shared" si="12"/>
        <v>NEW</v>
      </c>
      <c r="I386" s="47"/>
      <c r="J386" s="48"/>
      <c r="K386" s="47"/>
      <c r="L386" s="47"/>
      <c r="M386" s="49"/>
      <c r="N386" s="48"/>
      <c r="O386" s="47"/>
      <c r="P386" s="50"/>
      <c r="Q386" s="47"/>
      <c r="R386" s="47"/>
    </row>
    <row r="387" spans="1:18" x14ac:dyDescent="0.25">
      <c r="A387" s="47">
        <f t="shared" si="15"/>
        <v>386</v>
      </c>
      <c r="B387" s="47"/>
      <c r="C387" s="47"/>
      <c r="D387" s="47"/>
      <c r="E387" s="47"/>
      <c r="F387" s="47"/>
      <c r="G387" s="47"/>
      <c r="H387" s="47" t="str">
        <f t="shared" ref="H387:H388" si="16"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</f>
        <v>NEW</v>
      </c>
      <c r="I387" s="47"/>
      <c r="J387" s="48"/>
      <c r="K387" s="47"/>
      <c r="L387" s="47"/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5"/>
        <v>387</v>
      </c>
      <c r="B388" s="47"/>
      <c r="C388" s="47"/>
      <c r="D388" s="47"/>
      <c r="E388" s="47"/>
      <c r="F388" s="47"/>
      <c r="G388" s="47"/>
      <c r="H388" s="47" t="str">
        <f t="shared" si="16"/>
        <v>NEW</v>
      </c>
      <c r="I388" s="47"/>
      <c r="J388" s="48"/>
      <c r="K388" s="47"/>
      <c r="L388" s="47"/>
      <c r="M388" s="49"/>
      <c r="N388" s="48"/>
      <c r="O388" s="47"/>
      <c r="P388" s="50"/>
      <c r="Q388" s="47"/>
      <c r="R388" s="47"/>
    </row>
    <row r="389" spans="1:18" ht="15.75" x14ac:dyDescent="0.25">
      <c r="B389" s="47"/>
      <c r="C389" s="47"/>
      <c r="D389" s="47"/>
      <c r="E389" s="47"/>
      <c r="F389" s="47"/>
      <c r="G389" s="47"/>
      <c r="H389" s="1"/>
      <c r="I389" s="55"/>
      <c r="J389" s="19"/>
      <c r="K389" s="47"/>
      <c r="M389" t="s">
        <v>44</v>
      </c>
    </row>
    <row r="390" spans="1:18" ht="15.75" x14ac:dyDescent="0.25">
      <c r="F390" s="1"/>
      <c r="G390" s="1"/>
      <c r="H390" s="1"/>
      <c r="I390" s="20"/>
      <c r="K390" s="47"/>
    </row>
    <row r="391" spans="1:18" ht="15.75" x14ac:dyDescent="0.25">
      <c r="F391" s="1"/>
      <c r="G391" s="1"/>
      <c r="H391" s="1"/>
      <c r="I391" s="20"/>
      <c r="K391" s="47"/>
    </row>
    <row r="392" spans="1:18" ht="15.75" x14ac:dyDescent="0.25">
      <c r="F392" s="1"/>
      <c r="G392" s="1"/>
      <c r="H392" s="1"/>
      <c r="I392" s="20"/>
      <c r="K392" s="47"/>
    </row>
    <row r="393" spans="1:18" ht="15.75" x14ac:dyDescent="0.25">
      <c r="C393" s="1"/>
      <c r="D393" s="1"/>
      <c r="E393" s="1"/>
      <c r="F393" s="1"/>
      <c r="G393" s="1"/>
      <c r="H393" s="1"/>
      <c r="I393" s="20"/>
      <c r="K393" s="47"/>
    </row>
    <row r="394" spans="1:18" x14ac:dyDescent="0.25">
      <c r="A394" s="5"/>
      <c r="B394" s="6"/>
      <c r="C394" s="7"/>
      <c r="D394" s="7"/>
      <c r="E394" s="7"/>
      <c r="F394" s="7"/>
      <c r="G394" s="7"/>
      <c r="H394" s="7"/>
      <c r="I394" s="7"/>
      <c r="J394" s="7"/>
      <c r="K394" s="47"/>
      <c r="L394" s="7"/>
      <c r="M394" s="7"/>
      <c r="N394" s="7"/>
      <c r="O394" s="7"/>
      <c r="P394" s="7"/>
      <c r="Q394" s="7"/>
    </row>
    <row r="395" spans="1:18" x14ac:dyDescent="0.25">
      <c r="A395" s="5"/>
      <c r="B395" s="6"/>
      <c r="C395" s="7"/>
      <c r="D395" s="7"/>
      <c r="E395" s="7"/>
      <c r="F395" s="7"/>
      <c r="G395" s="7"/>
      <c r="H395" s="7"/>
      <c r="I395" s="7"/>
      <c r="J395" s="7"/>
      <c r="K395" s="47"/>
      <c r="L395" s="7"/>
      <c r="M395" s="7"/>
      <c r="N395" s="7"/>
      <c r="O395" s="7"/>
      <c r="P395" s="7"/>
      <c r="Q395" s="7"/>
    </row>
    <row r="396" spans="1:18" x14ac:dyDescent="0.25">
      <c r="K396" s="47"/>
    </row>
    <row r="397" spans="1:18" x14ac:dyDescent="0.25">
      <c r="K397" s="47"/>
    </row>
    <row r="398" spans="1:18" x14ac:dyDescent="0.25">
      <c r="K398" s="47"/>
    </row>
    <row r="399" spans="1:18" x14ac:dyDescent="0.25">
      <c r="K399" s="47"/>
    </row>
    <row r="400" spans="1:18" x14ac:dyDescent="0.25">
      <c r="K400" s="47"/>
    </row>
    <row r="401" spans="11:11" x14ac:dyDescent="0.25">
      <c r="K401" s="47"/>
    </row>
    <row r="402" spans="11:11" x14ac:dyDescent="0.25">
      <c r="K402" s="47"/>
    </row>
    <row r="403" spans="11:11" x14ac:dyDescent="0.25">
      <c r="K403" s="47"/>
    </row>
    <row r="404" spans="11:11" x14ac:dyDescent="0.25">
      <c r="K404" s="47"/>
    </row>
    <row r="405" spans="11:11" x14ac:dyDescent="0.25">
      <c r="K405" s="47"/>
    </row>
    <row r="406" spans="11:11" x14ac:dyDescent="0.25">
      <c r="K406" s="47"/>
    </row>
    <row r="407" spans="11:11" x14ac:dyDescent="0.25">
      <c r="K407" s="47"/>
    </row>
    <row r="408" spans="11:11" x14ac:dyDescent="0.25">
      <c r="K408" s="47"/>
    </row>
    <row r="409" spans="11:11" x14ac:dyDescent="0.25">
      <c r="K409" s="47"/>
    </row>
    <row r="410" spans="11:11" x14ac:dyDescent="0.25">
      <c r="K410" s="47"/>
    </row>
    <row r="411" spans="11:11" x14ac:dyDescent="0.25">
      <c r="K411" s="47"/>
    </row>
    <row r="412" spans="11:11" x14ac:dyDescent="0.25">
      <c r="K412" s="47"/>
    </row>
    <row r="413" spans="11:11" x14ac:dyDescent="0.25">
      <c r="K413" s="47"/>
    </row>
    <row r="414" spans="11:11" x14ac:dyDescent="0.25">
      <c r="K414" s="47"/>
    </row>
    <row r="415" spans="11:11" x14ac:dyDescent="0.25">
      <c r="K415" s="47"/>
    </row>
    <row r="416" spans="11:11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ht="15.75" x14ac:dyDescent="0.25">
      <c r="K514" s="19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x14ac:dyDescent="0.25">
      <c r="K528" s="44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379 A298:A300 K298:R300 K299:K325 A301:B301 L301:R325 A302:A379 I308:I317 J313:J314 I315:J328 I325:I332 K326:R375 J329:J333 I331:J332 I334:J360 I357:I368 J361:J368 I369:J375 I376:R388 A380:G388 B389:G389 I389 K389:K478">
    <cfRule type="expression" dxfId="13" priority="7">
      <formula>CELL("row")=ROW()</formula>
    </cfRule>
  </conditionalFormatting>
  <conditionalFormatting sqref="B257:G290 B291:B300 C291:G301">
    <cfRule type="expression" dxfId="12" priority="5">
      <formula>CELL("row")=ROW()</formula>
    </cfRule>
  </conditionalFormatting>
  <conditionalFormatting sqref="F326:G326">
    <cfRule type="expression" dxfId="11" priority="2">
      <formula>CELL("row")=ROW()</formula>
    </cfRule>
  </conditionalFormatting>
  <conditionalFormatting sqref="G266">
    <cfRule type="expression" dxfId="10" priority="4">
      <formula>CELL("row")=ROW()</formula>
    </cfRule>
  </conditionalFormatting>
  <conditionalFormatting sqref="K390:O400 L389:O389">
    <cfRule type="expression" dxfId="9" priority="16">
      <formula>ROW(M93)=HighlightRow</formula>
    </cfRule>
  </conditionalFormatting>
  <conditionalFormatting sqref="P389:Q400">
    <cfRule type="expression" dxfId="8" priority="20">
      <formula>ROW(S93)=HighlightRow</formula>
    </cfRule>
  </conditionalFormatting>
  <conditionalFormatting sqref="S105:XFD105">
    <cfRule type="expression" dxfId="7" priority="21">
      <formula>ROW(T94)=HighlightRow</formula>
    </cfRule>
  </conditionalFormatting>
  <conditionalFormatting sqref="S106:XFD114">
    <cfRule type="expression" dxfId="6" priority="18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F548" zoomScaleNormal="100" workbookViewId="0">
      <selection activeCell="I560" sqref="I560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96"/>
  <sheetViews>
    <sheetView topLeftCell="A173" zoomScale="85" zoomScaleNormal="85" workbookViewId="0">
      <selection activeCell="E197" sqref="C196:E197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ref="A35:A66" si="1">ROW()-2</f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1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1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1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1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8269</v>
      </c>
    </row>
    <row r="46" spans="1:14" ht="15.75" x14ac:dyDescent="0.25">
      <c r="A46" s="19">
        <f t="shared" si="1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1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1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98" si="2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2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2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2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2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ref="A99:A130" si="3">ROW()-2</f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3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3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3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3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3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3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3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3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3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3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3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3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3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3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3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3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3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3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3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3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3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3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3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3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3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3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3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3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3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3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3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62" si="4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4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4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4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4"/>
        <v>133</v>
      </c>
      <c r="B135" s="43" t="s">
        <v>3775</v>
      </c>
      <c r="C135" s="43"/>
      <c r="D135" s="43" t="s">
        <v>7684</v>
      </c>
      <c r="E135" s="43" t="s">
        <v>3776</v>
      </c>
      <c r="F135" s="21"/>
      <c r="G135" s="21" t="s">
        <v>341</v>
      </c>
      <c r="H135" s="19" t="s">
        <v>7572</v>
      </c>
    </row>
    <row r="136" spans="1:8" ht="15.75" x14ac:dyDescent="0.25">
      <c r="A136" s="19">
        <f t="shared" si="4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4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4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4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4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4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4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4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4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4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4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4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4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4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4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4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4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4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4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4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4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4"/>
        <v>155</v>
      </c>
      <c r="B157" s="19" t="s">
        <v>7710</v>
      </c>
      <c r="C157" s="19">
        <v>9622020576</v>
      </c>
      <c r="D157" s="19" t="s">
        <v>8146</v>
      </c>
      <c r="E157" s="19"/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4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4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4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4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4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ref="A163:A191" si="5">ROW()-2</f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5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5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5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5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5"/>
        <v>166</v>
      </c>
      <c r="B168" s="19" t="s">
        <v>8216</v>
      </c>
      <c r="C168" s="19">
        <v>6005379500</v>
      </c>
      <c r="D168" s="19" t="s">
        <v>8226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5"/>
        <v>167</v>
      </c>
      <c r="B169" s="19" t="s">
        <v>8181</v>
      </c>
      <c r="C169" s="19">
        <v>9906409906</v>
      </c>
      <c r="D169" s="19" t="s">
        <v>8225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5"/>
        <v>168</v>
      </c>
      <c r="B170" s="19" t="s">
        <v>8201</v>
      </c>
      <c r="C170" s="19">
        <v>8491882203</v>
      </c>
      <c r="D170" s="19" t="s">
        <v>8227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5"/>
        <v>169</v>
      </c>
      <c r="B171" s="19" t="s">
        <v>8204</v>
      </c>
      <c r="C171" s="19">
        <v>7780867070</v>
      </c>
      <c r="D171" s="19" t="s">
        <v>8231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5"/>
        <v>170</v>
      </c>
      <c r="B172" s="19" t="s">
        <v>8102</v>
      </c>
      <c r="C172" s="19">
        <v>9622595048</v>
      </c>
      <c r="D172" s="19" t="s">
        <v>8232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5"/>
        <v>171</v>
      </c>
      <c r="B173" s="19" t="s">
        <v>5986</v>
      </c>
      <c r="C173" s="19">
        <v>9149483760</v>
      </c>
      <c r="D173" s="19" t="s">
        <v>8238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5"/>
        <v>172</v>
      </c>
      <c r="B174" s="19" t="s">
        <v>8265</v>
      </c>
      <c r="C174" s="19">
        <v>9797723564</v>
      </c>
      <c r="D174" s="19" t="s">
        <v>8266</v>
      </c>
      <c r="E174" s="19" t="s">
        <v>8267</v>
      </c>
      <c r="F174" s="21">
        <v>46034</v>
      </c>
      <c r="G174" s="21" t="s">
        <v>8268</v>
      </c>
      <c r="H174" s="19" t="s">
        <v>6665</v>
      </c>
    </row>
    <row r="175" spans="1:8" ht="15.75" x14ac:dyDescent="0.25">
      <c r="A175" s="19">
        <f t="shared" si="5"/>
        <v>173</v>
      </c>
      <c r="B175" s="19"/>
      <c r="C175" s="19"/>
      <c r="D175" s="19" t="s">
        <v>8274</v>
      </c>
      <c r="E175" s="19"/>
      <c r="F175" s="21"/>
      <c r="G175" s="21" t="s">
        <v>342</v>
      </c>
      <c r="H175" s="19"/>
    </row>
    <row r="176" spans="1:8" ht="15.75" x14ac:dyDescent="0.25">
      <c r="A176" s="19">
        <f t="shared" si="5"/>
        <v>174</v>
      </c>
      <c r="B176" s="19"/>
      <c r="C176" s="19"/>
      <c r="D176" s="19" t="s">
        <v>8275</v>
      </c>
      <c r="E176" s="19"/>
      <c r="F176" s="21"/>
      <c r="G176" s="21" t="s">
        <v>342</v>
      </c>
      <c r="H176" s="19"/>
    </row>
    <row r="177" spans="1:8" ht="15.75" x14ac:dyDescent="0.25">
      <c r="A177" s="19">
        <f t="shared" si="5"/>
        <v>175</v>
      </c>
      <c r="B177" s="19"/>
      <c r="C177" s="19"/>
      <c r="D177" s="19" t="s">
        <v>8276</v>
      </c>
      <c r="E177" s="19"/>
      <c r="F177" s="21"/>
      <c r="G177" s="21" t="s">
        <v>342</v>
      </c>
      <c r="H177" s="19"/>
    </row>
    <row r="178" spans="1:8" ht="15.75" x14ac:dyDescent="0.25">
      <c r="A178" s="19">
        <f t="shared" si="5"/>
        <v>176</v>
      </c>
      <c r="B178" s="19"/>
      <c r="C178" s="19"/>
      <c r="D178" s="19" t="s">
        <v>8277</v>
      </c>
      <c r="E178" s="19"/>
      <c r="F178" s="21"/>
      <c r="G178" s="21" t="s">
        <v>342</v>
      </c>
      <c r="H178" s="19"/>
    </row>
    <row r="179" spans="1:8" ht="15.75" x14ac:dyDescent="0.25">
      <c r="A179" s="19">
        <f t="shared" si="5"/>
        <v>177</v>
      </c>
      <c r="B179" s="19"/>
      <c r="C179" s="19"/>
      <c r="D179" s="19" t="s">
        <v>8278</v>
      </c>
      <c r="E179" s="19"/>
      <c r="F179" s="21"/>
      <c r="G179" s="21" t="s">
        <v>342</v>
      </c>
      <c r="H179" s="19"/>
    </row>
    <row r="180" spans="1:8" ht="15.75" x14ac:dyDescent="0.25">
      <c r="A180" s="19">
        <f t="shared" si="5"/>
        <v>178</v>
      </c>
      <c r="B180" s="19"/>
      <c r="C180" s="19"/>
      <c r="D180" s="19" t="s">
        <v>8279</v>
      </c>
      <c r="E180" s="19"/>
      <c r="F180" s="21"/>
      <c r="G180" s="21" t="s">
        <v>342</v>
      </c>
      <c r="H180" s="19"/>
    </row>
    <row r="181" spans="1:8" ht="15.75" x14ac:dyDescent="0.25">
      <c r="A181" s="19">
        <f t="shared" si="5"/>
        <v>179</v>
      </c>
      <c r="B181" s="19"/>
      <c r="C181" s="19"/>
      <c r="D181" s="19" t="s">
        <v>8280</v>
      </c>
      <c r="E181" s="19"/>
      <c r="F181" s="21"/>
      <c r="G181" s="21" t="s">
        <v>342</v>
      </c>
      <c r="H181" s="19"/>
    </row>
    <row r="182" spans="1:8" ht="15.75" x14ac:dyDescent="0.25">
      <c r="A182" s="19">
        <f t="shared" si="5"/>
        <v>180</v>
      </c>
      <c r="B182" s="19" t="s">
        <v>8270</v>
      </c>
      <c r="C182" s="19">
        <v>9596935377</v>
      </c>
      <c r="D182" s="19" t="s">
        <v>8271</v>
      </c>
      <c r="E182" s="19" t="s">
        <v>8272</v>
      </c>
      <c r="F182" s="21">
        <v>46035</v>
      </c>
      <c r="G182" s="21" t="s">
        <v>8273</v>
      </c>
      <c r="H182" s="19" t="s">
        <v>6665</v>
      </c>
    </row>
    <row r="183" spans="1:8" ht="15.75" x14ac:dyDescent="0.25">
      <c r="A183" s="19">
        <f t="shared" si="5"/>
        <v>181</v>
      </c>
      <c r="B183" s="19" t="s">
        <v>7949</v>
      </c>
      <c r="C183" s="19">
        <v>9419004025</v>
      </c>
      <c r="D183" s="19" t="s">
        <v>8148</v>
      </c>
      <c r="E183" s="19" t="s">
        <v>8015</v>
      </c>
      <c r="F183" s="21">
        <v>46026</v>
      </c>
      <c r="G183" s="21" t="s">
        <v>341</v>
      </c>
      <c r="H183" s="19" t="s">
        <v>6665</v>
      </c>
    </row>
    <row r="184" spans="1:8" ht="15.75" x14ac:dyDescent="0.25">
      <c r="A184" s="19">
        <f t="shared" si="5"/>
        <v>182</v>
      </c>
      <c r="B184" s="19" t="s">
        <v>8006</v>
      </c>
      <c r="C184" s="19">
        <v>7889441591</v>
      </c>
      <c r="D184" s="19" t="s">
        <v>8142</v>
      </c>
      <c r="E184" s="19" t="s">
        <v>8007</v>
      </c>
      <c r="F184" s="21">
        <v>46029</v>
      </c>
      <c r="G184" s="21" t="s">
        <v>341</v>
      </c>
      <c r="H184" s="19" t="s">
        <v>6665</v>
      </c>
    </row>
    <row r="185" spans="1:8" ht="15.75" x14ac:dyDescent="0.25">
      <c r="A185" s="19">
        <f t="shared" si="5"/>
        <v>183</v>
      </c>
      <c r="B185" s="19" t="s">
        <v>2841</v>
      </c>
      <c r="C185" s="19">
        <v>7006960324</v>
      </c>
      <c r="D185" s="19" t="s">
        <v>8139</v>
      </c>
      <c r="E185" s="19" t="s">
        <v>7866</v>
      </c>
      <c r="F185" s="21">
        <v>46029</v>
      </c>
      <c r="G185" s="21" t="s">
        <v>341</v>
      </c>
      <c r="H185" s="19" t="s">
        <v>6665</v>
      </c>
    </row>
    <row r="186" spans="1:8" ht="15.75" x14ac:dyDescent="0.25">
      <c r="A186" s="19">
        <f t="shared" si="5"/>
        <v>184</v>
      </c>
      <c r="B186" s="19" t="s">
        <v>7865</v>
      </c>
      <c r="C186" s="19">
        <v>9906759399</v>
      </c>
      <c r="D186" s="19" t="s">
        <v>8138</v>
      </c>
      <c r="E186" s="19" t="s">
        <v>7867</v>
      </c>
      <c r="F186" s="21">
        <v>46029</v>
      </c>
      <c r="G186" s="21" t="s">
        <v>341</v>
      </c>
      <c r="H186" s="19" t="s">
        <v>6665</v>
      </c>
    </row>
    <row r="187" spans="1:8" ht="15.75" x14ac:dyDescent="0.25">
      <c r="A187" s="19">
        <f t="shared" si="5"/>
        <v>185</v>
      </c>
      <c r="B187" s="19" t="s">
        <v>7973</v>
      </c>
      <c r="C187" s="19">
        <v>9149592772</v>
      </c>
      <c r="D187" s="19" t="s">
        <v>8137</v>
      </c>
      <c r="E187" s="19" t="s">
        <v>7975</v>
      </c>
      <c r="F187" s="21">
        <v>46029</v>
      </c>
      <c r="G187" s="21" t="s">
        <v>341</v>
      </c>
      <c r="H187" s="19" t="s">
        <v>6665</v>
      </c>
    </row>
    <row r="188" spans="1:8" ht="15.75" x14ac:dyDescent="0.25">
      <c r="A188" s="19">
        <f t="shared" si="5"/>
        <v>186</v>
      </c>
      <c r="B188" s="19" t="s">
        <v>7989</v>
      </c>
      <c r="C188" s="19">
        <v>9596382727</v>
      </c>
      <c r="D188" s="19" t="s">
        <v>8136</v>
      </c>
      <c r="E188" s="19" t="s">
        <v>7991</v>
      </c>
      <c r="F188" s="21">
        <v>46029</v>
      </c>
      <c r="G188" s="21" t="s">
        <v>341</v>
      </c>
      <c r="H188" s="19" t="s">
        <v>6665</v>
      </c>
    </row>
    <row r="189" spans="1:8" ht="15.75" x14ac:dyDescent="0.25">
      <c r="A189" s="19">
        <f t="shared" si="5"/>
        <v>187</v>
      </c>
      <c r="B189" s="19" t="s">
        <v>4284</v>
      </c>
      <c r="C189" s="19">
        <v>8899926488</v>
      </c>
      <c r="D189" s="19" t="s">
        <v>8135</v>
      </c>
      <c r="E189" s="19" t="s">
        <v>7986</v>
      </c>
      <c r="F189" s="21">
        <v>46029</v>
      </c>
      <c r="G189" s="21" t="s">
        <v>341</v>
      </c>
      <c r="H189" s="19" t="s">
        <v>6665</v>
      </c>
    </row>
    <row r="190" spans="1:8" ht="15.75" x14ac:dyDescent="0.25">
      <c r="A190" s="19">
        <f t="shared" si="5"/>
        <v>188</v>
      </c>
      <c r="B190" s="19" t="s">
        <v>6433</v>
      </c>
      <c r="C190" s="19">
        <v>7298545112</v>
      </c>
      <c r="D190" s="19" t="s">
        <v>8282</v>
      </c>
      <c r="E190" s="19" t="s">
        <v>8080</v>
      </c>
      <c r="F190" s="21">
        <v>46036</v>
      </c>
      <c r="G190" s="21" t="s">
        <v>341</v>
      </c>
      <c r="H190" s="19" t="s">
        <v>6665</v>
      </c>
    </row>
    <row r="191" spans="1:8" ht="15.75" x14ac:dyDescent="0.25">
      <c r="A191" s="19">
        <f t="shared" si="5"/>
        <v>189</v>
      </c>
      <c r="B191" s="19"/>
      <c r="C191" s="19"/>
      <c r="D191" s="19"/>
      <c r="E191" s="19"/>
      <c r="F191" s="21"/>
      <c r="G191" s="21"/>
      <c r="H191" s="19"/>
    </row>
    <row r="192" spans="1:8" ht="15.75" x14ac:dyDescent="0.25">
      <c r="B192" s="19"/>
      <c r="C192" s="19"/>
      <c r="D192" s="19"/>
      <c r="E192" s="19"/>
    </row>
    <row r="193" spans="2:4" ht="15.75" x14ac:dyDescent="0.25">
      <c r="B193" s="19"/>
      <c r="C193" s="19"/>
      <c r="D193" s="19"/>
    </row>
    <row r="194" spans="2:4" ht="15.75" x14ac:dyDescent="0.25">
      <c r="B194" s="19"/>
      <c r="C194" s="19"/>
      <c r="D194" s="19"/>
    </row>
    <row r="195" spans="2:4" ht="15.75" x14ac:dyDescent="0.25">
      <c r="B195" s="19"/>
      <c r="C195" s="19"/>
      <c r="D195" s="19"/>
    </row>
    <row r="196" spans="2:4" ht="15.75" x14ac:dyDescent="0.25">
      <c r="B196" s="19"/>
      <c r="C196" s="19"/>
      <c r="D196" s="19"/>
    </row>
  </sheetData>
  <mergeCells count="1">
    <mergeCell ref="A1:H1"/>
  </mergeCells>
  <phoneticPr fontId="31" type="noConversion"/>
  <conditionalFormatting sqref="B103 E103 B121:E154 B169:E189 B183:D196 E190 B191:E192">
    <cfRule type="expression" dxfId="5" priority="13">
      <formula>CELL("row")=ROW()</formula>
    </cfRule>
  </conditionalFormatting>
  <conditionalFormatting sqref="C103">
    <cfRule type="expression" dxfId="4" priority="12">
      <formula>CELL("row")=ROW()</formula>
    </cfRule>
  </conditionalFormatting>
  <conditionalFormatting sqref="C122">
    <cfRule type="expression" dxfId="3" priority="9">
      <formula>CELL("row")=ROW()</formula>
    </cfRule>
  </conditionalFormatting>
  <conditionalFormatting sqref="C175">
    <cfRule type="expression" dxfId="2" priority="2">
      <formula>CELL("row")=ROW()</formula>
    </cfRule>
  </conditionalFormatting>
  <conditionalFormatting sqref="C177">
    <cfRule type="expression" dxfId="1" priority="1">
      <formula>CELL("row")=ROW()</formula>
    </cfRule>
  </conditionalFormatting>
  <conditionalFormatting sqref="E122">
    <cfRule type="expression" dxfId="0" priority="10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J6" sqref="A1:K33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2026-01-15T08:54:50Z</dcterms:modified>
</cp:coreProperties>
</file>