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6064ACD-6841-4195-8531-3EBBEF2F4ED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6" i="7" l="1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<sst xmlns="http://schemas.openxmlformats.org/spreadsheetml/2006/main" count="23680" uniqueCount="9358">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</sst>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84" dataDxfId="83">
  <autoFilter ref="A1:R55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21" totalsRowShown="0" headerRowDxfId="94" dataDxfId="93">
  <autoFilter ref="A2:H321" xr:uid="{B21CDF53-EB04-406A-8D52-FCF5CCB609E9}"/>
  <tableColumns count="8">
    <tableColumn id="1" xr3:uid="{E7104F17-DBE3-4DF1-9933-FFCDDC61A4A1}" name="S.No." dataDxfId="92"/>
    <tableColumn id="11" xr3:uid="{7AA66E15-5D81-45A6-A480-BC2F7EFDEB4C}" name="Name" dataDxfId="91"/>
    <tableColumn id="10" xr3:uid="{DA1D923C-25B3-4F76-823C-435E6464FF55}" name="Contact" dataDxfId="90"/>
    <tableColumn id="2" xr3:uid="{5FEBD558-5EB7-4421-BA25-DCAC1134B168}" name="Barcode No." dataDxfId="89"/>
    <tableColumn id="12" xr3:uid="{77758C8B-F2C8-47C0-B104-570729F9693B}" name="Reg Num" dataDxfId="88"/>
    <tableColumn id="5" xr3:uid="{9AC97A3F-3009-4A59-ACCF-A178780E6F61}" name="Date" dataDxfId="87"/>
    <tableColumn id="7" xr3:uid="{82C8F4C5-8489-4228-83CC-0B9666328CDD}" name="CHANNEL" dataDxfId="86"/>
    <tableColumn id="8" xr3:uid="{DDF1FC61-A0D6-46E9-9515-6DDC5AB1E932}" name="Status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G532" zoomScaleNormal="100" workbookViewId="0">
      <selection activeCell="M537" sqref="M53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 t="s">
        <v>7612</v>
      </c>
      <c r="N107" s="39">
        <v>45990</v>
      </c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 t="s">
        <v>7612</v>
      </c>
      <c r="N110" s="39">
        <v>45990</v>
      </c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 t="s">
        <v>7612</v>
      </c>
      <c r="N114" s="39">
        <v>45990</v>
      </c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 t="s">
        <v>7612</v>
      </c>
      <c r="N115" s="39">
        <v>45990</v>
      </c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 t="s">
        <v>7612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 t="s">
        <v>7612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 t="s">
        <v>7612</v>
      </c>
      <c r="N231" s="39">
        <v>46015</v>
      </c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 t="s">
        <v>23</v>
      </c>
      <c r="P237" s="41">
        <v>46093</v>
      </c>
      <c r="Q237" s="38" t="s">
        <v>6459</v>
      </c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 t="s">
        <v>8219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 t="s">
        <v>7612</v>
      </c>
      <c r="N417" s="39">
        <v>46053</v>
      </c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 t="s">
        <v>23</v>
      </c>
      <c r="P509" s="41">
        <v>46092</v>
      </c>
      <c r="Q509" s="38" t="s">
        <v>6459</v>
      </c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 t="s">
        <v>7592</v>
      </c>
      <c r="N511" s="39">
        <v>46095</v>
      </c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 t="s">
        <v>8940</v>
      </c>
      <c r="N517" s="39">
        <v>46095</v>
      </c>
      <c r="O517" s="38" t="s">
        <v>23</v>
      </c>
      <c r="P517" s="41">
        <v>46095</v>
      </c>
      <c r="Q517" s="38" t="s">
        <v>8163</v>
      </c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 t="s">
        <v>9354</v>
      </c>
      <c r="N522" s="39">
        <v>46097</v>
      </c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 t="s">
        <v>9341</v>
      </c>
      <c r="N528" s="39">
        <v>46097</v>
      </c>
      <c r="O528" s="38" t="s">
        <v>23</v>
      </c>
      <c r="P528" s="41">
        <v>46093</v>
      </c>
      <c r="Q528" s="38" t="s">
        <v>6459</v>
      </c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BARAMULLA</v>
      </c>
      <c r="I530" s="38" t="s">
        <v>9255</v>
      </c>
      <c r="J530" s="39">
        <v>46092</v>
      </c>
      <c r="K530" s="38">
        <v>9596060009</v>
      </c>
      <c r="L530" s="38" t="s">
        <v>8959</v>
      </c>
      <c r="M530" s="40" t="s">
        <v>9298</v>
      </c>
      <c r="N530" s="39">
        <v>46094</v>
      </c>
      <c r="O530" s="38" t="s">
        <v>23</v>
      </c>
      <c r="P530" s="41">
        <v>46094</v>
      </c>
      <c r="Q530" s="38" t="s">
        <v>6459</v>
      </c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PULWAMA</v>
      </c>
      <c r="I531" s="38" t="s">
        <v>9256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6459</v>
      </c>
      <c r="R531" s="38"/>
    </row>
    <row r="532" spans="1:18" x14ac:dyDescent="0.25">
      <c r="A532" s="38">
        <f t="shared" si="21"/>
        <v>531</v>
      </c>
      <c r="B532" s="38" t="s">
        <v>9258</v>
      </c>
      <c r="C532" s="38" t="s">
        <v>9259</v>
      </c>
      <c r="D532" s="38" t="s">
        <v>9260</v>
      </c>
      <c r="E532" s="38" t="s">
        <v>9261</v>
      </c>
      <c r="F532" s="38" t="s">
        <v>100</v>
      </c>
      <c r="G532" s="38" t="s">
        <v>181</v>
      </c>
      <c r="H532" s="38" t="str">
        <f t="shared" si="20"/>
        <v>BARAMULLA</v>
      </c>
      <c r="I532" s="38" t="s">
        <v>9266</v>
      </c>
      <c r="J532" s="39">
        <v>46093</v>
      </c>
      <c r="K532" s="38">
        <v>7780951154</v>
      </c>
      <c r="L532" s="38" t="s">
        <v>8959</v>
      </c>
      <c r="M532" s="40" t="s">
        <v>9298</v>
      </c>
      <c r="N532" s="39">
        <v>46094</v>
      </c>
      <c r="O532" s="38" t="s">
        <v>23</v>
      </c>
      <c r="P532" s="39">
        <v>46094</v>
      </c>
      <c r="Q532" s="38" t="s">
        <v>6459</v>
      </c>
      <c r="R532" s="38"/>
    </row>
    <row r="533" spans="1:18" x14ac:dyDescent="0.25">
      <c r="A533" s="38">
        <f t="shared" si="21"/>
        <v>532</v>
      </c>
      <c r="B533" s="38" t="s">
        <v>9262</v>
      </c>
      <c r="C533" s="38" t="s">
        <v>9263</v>
      </c>
      <c r="D533" s="38" t="s">
        <v>9264</v>
      </c>
      <c r="E533" s="38" t="s">
        <v>9265</v>
      </c>
      <c r="F533" s="38" t="s">
        <v>281</v>
      </c>
      <c r="G533" s="38" t="s">
        <v>199</v>
      </c>
      <c r="H533" s="38" t="str">
        <f t="shared" si="20"/>
        <v>SRINAGAR</v>
      </c>
      <c r="I533" s="38" t="s">
        <v>9267</v>
      </c>
      <c r="J533" s="39">
        <v>46093</v>
      </c>
      <c r="K533" s="38">
        <v>9419028585</v>
      </c>
      <c r="L533" s="38" t="s">
        <v>9330</v>
      </c>
      <c r="M533" s="40"/>
      <c r="N533" s="39"/>
      <c r="O533" s="38" t="s">
        <v>23</v>
      </c>
      <c r="P533" s="41">
        <v>46094</v>
      </c>
      <c r="Q533" s="38" t="s">
        <v>6459</v>
      </c>
      <c r="R533" s="38"/>
    </row>
    <row r="534" spans="1:18" x14ac:dyDescent="0.25">
      <c r="A534" s="38">
        <f t="shared" si="21"/>
        <v>533</v>
      </c>
      <c r="B534" s="38" t="s">
        <v>9268</v>
      </c>
      <c r="C534" s="38" t="s">
        <v>9269</v>
      </c>
      <c r="D534" s="38" t="s">
        <v>9270</v>
      </c>
      <c r="E534" s="38" t="s">
        <v>9271</v>
      </c>
      <c r="F534" s="38" t="s">
        <v>100</v>
      </c>
      <c r="G534" s="38" t="s">
        <v>174</v>
      </c>
      <c r="H534" s="38" t="str">
        <f t="shared" si="20"/>
        <v>SHOPIAN</v>
      </c>
      <c r="I534" s="38" t="s">
        <v>9276</v>
      </c>
      <c r="J534" s="39">
        <v>46094</v>
      </c>
      <c r="K534" s="38">
        <v>9622761029</v>
      </c>
      <c r="L534" s="38" t="s">
        <v>6569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9275</v>
      </c>
      <c r="C535" s="38" t="s">
        <v>9272</v>
      </c>
      <c r="D535" s="38" t="s">
        <v>9273</v>
      </c>
      <c r="E535" s="38" t="s">
        <v>9274</v>
      </c>
      <c r="F535" s="38" t="s">
        <v>5</v>
      </c>
      <c r="G535" s="38" t="s">
        <v>174</v>
      </c>
      <c r="H535" s="38" t="str">
        <f t="shared" si="20"/>
        <v>SRINAGAR</v>
      </c>
      <c r="I535" s="38" t="s">
        <v>9277</v>
      </c>
      <c r="J535" s="39">
        <v>46094</v>
      </c>
      <c r="K535" s="38">
        <v>7006965635</v>
      </c>
      <c r="L535" s="38" t="s">
        <v>43</v>
      </c>
      <c r="M535" s="40" t="s">
        <v>8653</v>
      </c>
      <c r="N535" s="39">
        <v>46095</v>
      </c>
      <c r="O535" s="38" t="s">
        <v>23</v>
      </c>
      <c r="P535" s="41">
        <v>46095</v>
      </c>
      <c r="Q535" s="38" t="s">
        <v>6459</v>
      </c>
      <c r="R535" s="38"/>
    </row>
    <row r="536" spans="1:18" x14ac:dyDescent="0.25">
      <c r="A536" s="38">
        <f t="shared" si="21"/>
        <v>535</v>
      </c>
      <c r="B536" s="38" t="s">
        <v>9278</v>
      </c>
      <c r="C536" s="38" t="s">
        <v>9279</v>
      </c>
      <c r="D536" s="38" t="s">
        <v>9280</v>
      </c>
      <c r="E536" s="38" t="s">
        <v>1238</v>
      </c>
      <c r="F536" s="38" t="s">
        <v>5</v>
      </c>
      <c r="G536" s="38" t="s">
        <v>181</v>
      </c>
      <c r="H536" s="38" t="str">
        <f t="shared" si="20"/>
        <v>SRINAGAR</v>
      </c>
      <c r="I536" s="38" t="s">
        <v>9281</v>
      </c>
      <c r="J536" s="39">
        <v>46094</v>
      </c>
      <c r="K536" s="38">
        <v>9469007095</v>
      </c>
      <c r="L536" s="38" t="s">
        <v>26</v>
      </c>
      <c r="M536" s="40" t="s">
        <v>7613</v>
      </c>
      <c r="N536" s="39">
        <v>46095</v>
      </c>
      <c r="O536" s="38" t="s">
        <v>23</v>
      </c>
      <c r="P536" s="41">
        <v>46095</v>
      </c>
      <c r="Q536" s="38" t="s">
        <v>6459</v>
      </c>
      <c r="R536" s="38"/>
    </row>
    <row r="537" spans="1:18" x14ac:dyDescent="0.25">
      <c r="A537" s="38">
        <f t="shared" si="21"/>
        <v>536</v>
      </c>
      <c r="B537" s="38" t="s">
        <v>9282</v>
      </c>
      <c r="C537" s="38" t="s">
        <v>9283</v>
      </c>
      <c r="D537" s="38" t="s">
        <v>9284</v>
      </c>
      <c r="E537" s="38" t="s">
        <v>9285</v>
      </c>
      <c r="F537" s="38" t="s">
        <v>119</v>
      </c>
      <c r="G537" s="38" t="s">
        <v>200</v>
      </c>
      <c r="H537" s="38" t="str">
        <f t="shared" si="20"/>
        <v>SRINAGAR</v>
      </c>
      <c r="I537" s="38" t="s">
        <v>9293</v>
      </c>
      <c r="J537" s="39">
        <v>46094</v>
      </c>
      <c r="K537" s="38">
        <v>9149462152</v>
      </c>
      <c r="L537" s="38" t="s">
        <v>3513</v>
      </c>
      <c r="M537" s="40" t="s">
        <v>8223</v>
      </c>
      <c r="N537" s="39">
        <v>46097</v>
      </c>
      <c r="O537" s="38" t="s">
        <v>23</v>
      </c>
      <c r="P537" s="41">
        <v>46095</v>
      </c>
      <c r="Q537" s="38" t="s">
        <v>6459</v>
      </c>
      <c r="R537" s="38"/>
    </row>
    <row r="538" spans="1:18" x14ac:dyDescent="0.25">
      <c r="A538" s="38">
        <f t="shared" si="21"/>
        <v>537</v>
      </c>
      <c r="B538" s="38" t="s">
        <v>9292</v>
      </c>
      <c r="C538" s="38" t="s">
        <v>9290</v>
      </c>
      <c r="D538" s="38" t="s">
        <v>9291</v>
      </c>
      <c r="E538" s="38" t="s">
        <v>9289</v>
      </c>
      <c r="F538" s="38" t="s">
        <v>290</v>
      </c>
      <c r="G538" s="38" t="s">
        <v>200</v>
      </c>
      <c r="H538" s="38" t="str">
        <f t="shared" si="20"/>
        <v>SRINAGAR</v>
      </c>
      <c r="I538" s="38" t="s">
        <v>9294</v>
      </c>
      <c r="J538" s="39">
        <v>46094</v>
      </c>
      <c r="K538" s="38">
        <v>8082045352</v>
      </c>
      <c r="L538" s="38" t="s">
        <v>194</v>
      </c>
      <c r="M538" s="40" t="s">
        <v>8634</v>
      </c>
      <c r="N538" s="39">
        <v>46095</v>
      </c>
      <c r="O538" s="38" t="s">
        <v>23</v>
      </c>
      <c r="P538" s="41">
        <v>46095</v>
      </c>
      <c r="Q538" s="38" t="s">
        <v>6459</v>
      </c>
      <c r="R538" s="38"/>
    </row>
    <row r="539" spans="1:18" x14ac:dyDescent="0.25">
      <c r="A539" s="38">
        <f t="shared" si="21"/>
        <v>538</v>
      </c>
      <c r="B539" s="38" t="s">
        <v>9295</v>
      </c>
      <c r="C539" s="38" t="s">
        <v>9296</v>
      </c>
      <c r="D539" s="38" t="s">
        <v>9297</v>
      </c>
      <c r="E539" s="38" t="s">
        <v>1950</v>
      </c>
      <c r="F539" s="38" t="s">
        <v>6545</v>
      </c>
      <c r="G539" s="38" t="s">
        <v>6474</v>
      </c>
      <c r="H539" s="38" t="str">
        <f t="shared" si="20"/>
        <v>SHOPIAN</v>
      </c>
      <c r="I539" s="38" t="s">
        <v>9306</v>
      </c>
      <c r="J539" s="39">
        <v>46095</v>
      </c>
      <c r="K539" s="38">
        <v>7006544713</v>
      </c>
      <c r="L539" s="38" t="s">
        <v>9254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9301</v>
      </c>
      <c r="C540" s="38" t="s">
        <v>9302</v>
      </c>
      <c r="D540" s="38" t="s">
        <v>9303</v>
      </c>
      <c r="E540" s="38" t="s">
        <v>9304</v>
      </c>
      <c r="F540" s="38" t="s">
        <v>119</v>
      </c>
      <c r="G540" s="38" t="s">
        <v>175</v>
      </c>
      <c r="H540" s="38" t="str">
        <f t="shared" si="20"/>
        <v>PULWAMA</v>
      </c>
      <c r="I540" s="38" t="s">
        <v>9307</v>
      </c>
      <c r="J540" s="39">
        <v>46095</v>
      </c>
      <c r="K540" s="38">
        <v>9541885239</v>
      </c>
      <c r="L540" s="38" t="s">
        <v>9305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9308</v>
      </c>
      <c r="C541" s="38" t="s">
        <v>9309</v>
      </c>
      <c r="D541" s="38" t="s">
        <v>9310</v>
      </c>
      <c r="E541" s="38" t="s">
        <v>9311</v>
      </c>
      <c r="F541" s="38" t="s">
        <v>119</v>
      </c>
      <c r="G541" s="38" t="s">
        <v>200</v>
      </c>
      <c r="H541" s="38" t="str">
        <f t="shared" si="20"/>
        <v>BUDGAM</v>
      </c>
      <c r="I541" s="38" t="s">
        <v>9319</v>
      </c>
      <c r="J541" s="39">
        <v>46095</v>
      </c>
      <c r="K541" s="38">
        <v>8825070162</v>
      </c>
      <c r="L541" s="38" t="s">
        <v>70</v>
      </c>
      <c r="M541" s="40" t="s">
        <v>7951</v>
      </c>
      <c r="N541" s="39">
        <v>46095</v>
      </c>
      <c r="O541" s="38" t="s">
        <v>23</v>
      </c>
      <c r="P541" s="41">
        <v>46095</v>
      </c>
      <c r="Q541" s="38" t="s">
        <v>6459</v>
      </c>
      <c r="R541" s="38"/>
    </row>
    <row r="542" spans="1:18" x14ac:dyDescent="0.25">
      <c r="A542" s="38">
        <f t="shared" si="21"/>
        <v>541</v>
      </c>
      <c r="B542" s="38" t="s">
        <v>9312</v>
      </c>
      <c r="C542" s="38" t="s">
        <v>9313</v>
      </c>
      <c r="D542" s="38" t="s">
        <v>9314</v>
      </c>
      <c r="E542" s="38" t="s">
        <v>9315</v>
      </c>
      <c r="F542" s="38" t="s">
        <v>67</v>
      </c>
      <c r="G542" s="38" t="s">
        <v>199</v>
      </c>
      <c r="H542" s="38" t="str">
        <f t="shared" si="20"/>
        <v>SRINAGAR</v>
      </c>
      <c r="I542" s="38" t="s">
        <v>9318</v>
      </c>
      <c r="J542" s="39">
        <v>46095</v>
      </c>
      <c r="K542" s="38">
        <v>7051413490</v>
      </c>
      <c r="L542" s="38" t="s">
        <v>18</v>
      </c>
      <c r="M542" s="40" t="s">
        <v>7611</v>
      </c>
      <c r="N542" s="39">
        <v>46097</v>
      </c>
      <c r="O542" s="38" t="s">
        <v>23</v>
      </c>
      <c r="P542" s="41">
        <v>46095</v>
      </c>
      <c r="Q542" s="38" t="s">
        <v>6459</v>
      </c>
      <c r="R542" s="38"/>
    </row>
    <row r="543" spans="1:18" x14ac:dyDescent="0.25">
      <c r="A543" s="38">
        <f t="shared" si="21"/>
        <v>542</v>
      </c>
      <c r="B543" s="38" t="s">
        <v>9329</v>
      </c>
      <c r="C543" s="38" t="s">
        <v>9327</v>
      </c>
      <c r="D543" s="38" t="s">
        <v>9328</v>
      </c>
      <c r="E543" s="38" t="s">
        <v>5488</v>
      </c>
      <c r="F543" s="38" t="s">
        <v>31</v>
      </c>
      <c r="G543" s="38" t="s">
        <v>175</v>
      </c>
      <c r="H543" s="38" t="str">
        <f t="shared" si="20"/>
        <v>SRINAGAR</v>
      </c>
      <c r="I543" s="38" t="s">
        <v>9331</v>
      </c>
      <c r="J543" s="39">
        <v>46097</v>
      </c>
      <c r="K543" s="38">
        <v>7006979592</v>
      </c>
      <c r="L543" s="38" t="s">
        <v>43</v>
      </c>
      <c r="M543" s="40"/>
      <c r="N543" s="39"/>
      <c r="O543" s="38" t="s">
        <v>8798</v>
      </c>
      <c r="P543" s="41"/>
      <c r="Q543" s="38"/>
      <c r="R543" s="38" t="s">
        <v>9332</v>
      </c>
    </row>
    <row r="544" spans="1:18" x14ac:dyDescent="0.25">
      <c r="A544" s="38">
        <f t="shared" si="21"/>
        <v>543</v>
      </c>
      <c r="B544" s="38" t="s">
        <v>9336</v>
      </c>
      <c r="C544" s="38" t="s">
        <v>9333</v>
      </c>
      <c r="D544" s="38" t="s">
        <v>9334</v>
      </c>
      <c r="E544" s="38" t="s">
        <v>9335</v>
      </c>
      <c r="F544" s="38" t="s">
        <v>31</v>
      </c>
      <c r="G544" s="38" t="s">
        <v>200</v>
      </c>
      <c r="H544" s="38" t="str">
        <f t="shared" si="20"/>
        <v>SRINAGAR</v>
      </c>
      <c r="I544" s="38" t="s">
        <v>9343</v>
      </c>
      <c r="J544" s="39">
        <v>46097</v>
      </c>
      <c r="K544" s="38">
        <v>8494064599</v>
      </c>
      <c r="L544" s="38" t="s">
        <v>194</v>
      </c>
      <c r="M544" s="40" t="s">
        <v>7772</v>
      </c>
      <c r="N544" s="39">
        <v>46097</v>
      </c>
      <c r="O544" s="38" t="s">
        <v>23</v>
      </c>
      <c r="P544" s="41">
        <v>46097</v>
      </c>
      <c r="Q544" s="38" t="s">
        <v>6459</v>
      </c>
      <c r="R544" s="38"/>
    </row>
    <row r="545" spans="1:18" x14ac:dyDescent="0.25">
      <c r="A545" s="38">
        <f t="shared" si="21"/>
        <v>544</v>
      </c>
      <c r="B545" s="38" t="s">
        <v>9337</v>
      </c>
      <c r="C545" s="38" t="s">
        <v>9338</v>
      </c>
      <c r="D545" s="38" t="s">
        <v>9339</v>
      </c>
      <c r="E545" s="38" t="s">
        <v>9340</v>
      </c>
      <c r="F545" s="38" t="s">
        <v>281</v>
      </c>
      <c r="G545" s="38" t="s">
        <v>200</v>
      </c>
      <c r="H545" s="38" t="str">
        <f t="shared" si="20"/>
        <v>NEW</v>
      </c>
      <c r="I545" s="38" t="s">
        <v>9342</v>
      </c>
      <c r="J545" s="39">
        <v>46097</v>
      </c>
      <c r="K545" s="38">
        <v>8493872787</v>
      </c>
      <c r="L545" s="38" t="s">
        <v>75</v>
      </c>
      <c r="M545" s="40" t="s">
        <v>7891</v>
      </c>
      <c r="N545" s="39">
        <v>46097</v>
      </c>
      <c r="O545" s="38" t="s">
        <v>23</v>
      </c>
      <c r="P545" s="41">
        <v>46097</v>
      </c>
      <c r="Q545" s="38" t="s">
        <v>6459</v>
      </c>
      <c r="R545" s="38"/>
    </row>
    <row r="546" spans="1:18" x14ac:dyDescent="0.25">
      <c r="A546" s="38">
        <f t="shared" si="21"/>
        <v>545</v>
      </c>
      <c r="B546" s="38" t="s">
        <v>9344</v>
      </c>
      <c r="C546" s="38" t="s">
        <v>9349</v>
      </c>
      <c r="D546" s="38" t="s">
        <v>9350</v>
      </c>
      <c r="E546" s="38" t="s">
        <v>9351</v>
      </c>
      <c r="F546" s="38" t="s">
        <v>12</v>
      </c>
      <c r="G546" s="38" t="s">
        <v>200</v>
      </c>
      <c r="H546" s="38" t="str">
        <f t="shared" si="20"/>
        <v>PULWAMA</v>
      </c>
      <c r="I546" s="38" t="s">
        <v>9353</v>
      </c>
      <c r="J546" s="39">
        <v>46097</v>
      </c>
      <c r="K546" s="38">
        <v>7298762558</v>
      </c>
      <c r="L546" s="38" t="s">
        <v>6569</v>
      </c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 t="s">
        <v>9345</v>
      </c>
      <c r="C547" s="38" t="s">
        <v>9346</v>
      </c>
      <c r="D547" s="38" t="s">
        <v>9347</v>
      </c>
      <c r="E547" s="38" t="s">
        <v>9348</v>
      </c>
      <c r="F547" s="38" t="s">
        <v>31</v>
      </c>
      <c r="G547" s="38" t="s">
        <v>200</v>
      </c>
      <c r="H547" s="38" t="str">
        <f t="shared" si="20"/>
        <v>POONCH</v>
      </c>
      <c r="I547" s="38" t="s">
        <v>9352</v>
      </c>
      <c r="J547" s="39">
        <v>46097</v>
      </c>
      <c r="K547" s="38">
        <v>6005959815</v>
      </c>
      <c r="L547" s="38" t="s">
        <v>7247</v>
      </c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50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41:J547 F547:F553 I548:R553 B554:G554 I554 K554:K643 L539:R547">
    <cfRule type="expression" dxfId="20" priority="12">
      <formula>CELL("row")=ROW()</formula>
    </cfRule>
  </conditionalFormatting>
  <conditionalFormatting sqref="B257:G290 B291:B300 C291:G301">
    <cfRule type="expression" dxfId="19" priority="10">
      <formula>CELL("row")=ROW()</formula>
    </cfRule>
  </conditionalFormatting>
  <conditionalFormatting sqref="F398">
    <cfRule type="expression" dxfId="18" priority="5">
      <formula>CELL("row")=ROW()</formula>
    </cfRule>
  </conditionalFormatting>
  <conditionalFormatting sqref="F420">
    <cfRule type="expression" dxfId="17" priority="4">
      <formula>CELL("row")=ROW()</formula>
    </cfRule>
  </conditionalFormatting>
  <conditionalFormatting sqref="F326:G326">
    <cfRule type="expression" dxfId="16" priority="7">
      <formula>CELL("row")=ROW()</formula>
    </cfRule>
  </conditionalFormatting>
  <conditionalFormatting sqref="G266">
    <cfRule type="expression" dxfId="15" priority="9">
      <formula>CELL("row")=ROW()</formula>
    </cfRule>
  </conditionalFormatting>
  <conditionalFormatting sqref="K530:K547">
    <cfRule type="expression" dxfId="14" priority="1">
      <formula>CELL("row")=ROW()</formula>
    </cfRule>
  </conditionalFormatting>
  <conditionalFormatting sqref="K556:O565 L554:O555">
    <cfRule type="expression" dxfId="13" priority="21">
      <formula>ROW(M93)=HighlightRow</formula>
    </cfRule>
  </conditionalFormatting>
  <conditionalFormatting sqref="L532:L535">
    <cfRule type="expression" dxfId="12" priority="2">
      <formula>CELL("row")=ROW()</formula>
    </cfRule>
  </conditionalFormatting>
  <conditionalFormatting sqref="P554:Q565">
    <cfRule type="expression" dxfId="11" priority="25">
      <formula>ROW(S93)=HighlightRow</formula>
    </cfRule>
  </conditionalFormatting>
  <conditionalFormatting sqref="S105:XFD105">
    <cfRule type="expression" dxfId="10" priority="26">
      <formula>ROW(T94)=HighlightRow</formula>
    </cfRule>
  </conditionalFormatting>
  <conditionalFormatting sqref="S106:XFD114">
    <cfRule type="expression" dxfId="9" priority="23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51" zoomScaleNormal="100" workbookViewId="0">
      <selection activeCell="B1475" sqref="B14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23"/>
  <sheetViews>
    <sheetView topLeftCell="A307" zoomScaleNormal="100" workbookViewId="0">
      <selection activeCell="E322" sqref="E32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21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 t="s">
        <v>6219</v>
      </c>
      <c r="C273" s="38">
        <v>7889884760</v>
      </c>
      <c r="D273" s="38" t="s">
        <v>8941</v>
      </c>
      <c r="E273" s="38" t="s">
        <v>8790</v>
      </c>
      <c r="F273" s="19">
        <v>46095</v>
      </c>
      <c r="G273" s="19" t="s">
        <v>342</v>
      </c>
      <c r="H273" s="17" t="s">
        <v>6664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 t="s">
        <v>943</v>
      </c>
      <c r="C308" s="38">
        <v>9596405859</v>
      </c>
      <c r="D308" s="38" t="s">
        <v>9257</v>
      </c>
      <c r="E308" s="38" t="s">
        <v>9243</v>
      </c>
      <c r="F308" s="19">
        <v>46093</v>
      </c>
      <c r="G308" s="19" t="s">
        <v>341</v>
      </c>
      <c r="H308" s="17" t="s">
        <v>6664</v>
      </c>
    </row>
    <row r="309" spans="1:8" ht="15.75" x14ac:dyDescent="0.25">
      <c r="A309" s="17">
        <f t="shared" si="4"/>
        <v>307</v>
      </c>
      <c r="B309" s="38" t="s">
        <v>9252</v>
      </c>
      <c r="C309" s="38">
        <v>9906610809</v>
      </c>
      <c r="D309" s="38" t="s">
        <v>9286</v>
      </c>
      <c r="E309" s="38" t="s">
        <v>9256</v>
      </c>
      <c r="F309" s="19">
        <v>46094</v>
      </c>
      <c r="G309" s="19" t="s">
        <v>341</v>
      </c>
      <c r="H309" s="17" t="s">
        <v>6664</v>
      </c>
    </row>
    <row r="310" spans="1:8" ht="15.75" x14ac:dyDescent="0.25">
      <c r="A310" s="17">
        <f t="shared" si="4"/>
        <v>308</v>
      </c>
      <c r="B310" s="38" t="s">
        <v>9265</v>
      </c>
      <c r="C310" s="38">
        <v>9419028585</v>
      </c>
      <c r="D310" s="38" t="s">
        <v>9287</v>
      </c>
      <c r="E310" s="38" t="s">
        <v>9288</v>
      </c>
      <c r="F310" s="19">
        <v>46095</v>
      </c>
      <c r="G310" s="19" t="s">
        <v>341</v>
      </c>
      <c r="H310" s="17" t="s">
        <v>6664</v>
      </c>
    </row>
    <row r="311" spans="1:8" ht="15.75" x14ac:dyDescent="0.25">
      <c r="A311" s="17">
        <f t="shared" si="4"/>
        <v>309</v>
      </c>
      <c r="B311" s="38" t="s">
        <v>9261</v>
      </c>
      <c r="C311" s="38">
        <v>7780951154</v>
      </c>
      <c r="D311" s="38" t="s">
        <v>9299</v>
      </c>
      <c r="E311" s="38" t="s">
        <v>9266</v>
      </c>
      <c r="F311" s="19">
        <v>46095</v>
      </c>
      <c r="G311" s="19" t="s">
        <v>341</v>
      </c>
      <c r="H311" s="17" t="s">
        <v>6664</v>
      </c>
    </row>
    <row r="312" spans="1:8" ht="15.75" x14ac:dyDescent="0.25">
      <c r="A312" s="17">
        <f t="shared" si="4"/>
        <v>310</v>
      </c>
      <c r="B312" s="38" t="s">
        <v>9248</v>
      </c>
      <c r="C312" s="38">
        <v>9596060009</v>
      </c>
      <c r="D312" s="38" t="s">
        <v>9300</v>
      </c>
      <c r="E312" s="38" t="s">
        <v>9255</v>
      </c>
      <c r="F312" s="19">
        <v>46095</v>
      </c>
      <c r="G312" s="19" t="s">
        <v>341</v>
      </c>
      <c r="H312" s="17" t="s">
        <v>6664</v>
      </c>
    </row>
    <row r="313" spans="1:8" ht="15.75" x14ac:dyDescent="0.25">
      <c r="A313" s="17">
        <f t="shared" si="4"/>
        <v>311</v>
      </c>
      <c r="B313" s="38"/>
      <c r="C313" s="38"/>
      <c r="D313" s="38" t="s">
        <v>9316</v>
      </c>
      <c r="E313" s="38"/>
      <c r="F313" s="19">
        <v>46095</v>
      </c>
      <c r="G313" s="19" t="s">
        <v>342</v>
      </c>
      <c r="H313" s="17" t="s">
        <v>8163</v>
      </c>
    </row>
    <row r="314" spans="1:8" ht="15.75" x14ac:dyDescent="0.25">
      <c r="A314" s="17">
        <f t="shared" si="4"/>
        <v>312</v>
      </c>
      <c r="B314" s="38" t="s">
        <v>9274</v>
      </c>
      <c r="C314" s="38">
        <v>7006965635</v>
      </c>
      <c r="D314" s="38" t="s">
        <v>9317</v>
      </c>
      <c r="E314" s="38" t="s">
        <v>9277</v>
      </c>
      <c r="F314" s="19">
        <v>46095</v>
      </c>
      <c r="G314" s="19" t="s">
        <v>341</v>
      </c>
      <c r="H314" s="17" t="s">
        <v>6664</v>
      </c>
    </row>
    <row r="315" spans="1:8" ht="15.75" x14ac:dyDescent="0.25">
      <c r="A315" s="17">
        <f t="shared" si="4"/>
        <v>313</v>
      </c>
      <c r="B315" s="38" t="s">
        <v>9320</v>
      </c>
      <c r="C315" s="38">
        <v>9496007095</v>
      </c>
      <c r="D315" s="38" t="s">
        <v>9321</v>
      </c>
      <c r="E315" s="38" t="s">
        <v>9281</v>
      </c>
      <c r="F315" s="19">
        <v>46095</v>
      </c>
      <c r="G315" s="19" t="s">
        <v>341</v>
      </c>
      <c r="H315" s="17" t="s">
        <v>6664</v>
      </c>
    </row>
    <row r="316" spans="1:8" ht="15.75" x14ac:dyDescent="0.25">
      <c r="A316" s="17">
        <f t="shared" si="4"/>
        <v>314</v>
      </c>
      <c r="B316" s="38" t="s">
        <v>9315</v>
      </c>
      <c r="C316" s="38">
        <v>7051413490</v>
      </c>
      <c r="D316" s="38" t="s">
        <v>9322</v>
      </c>
      <c r="E316" s="38" t="s">
        <v>9318</v>
      </c>
      <c r="F316" s="19">
        <v>46095</v>
      </c>
      <c r="G316" s="19" t="s">
        <v>341</v>
      </c>
      <c r="H316" s="17" t="s">
        <v>6664</v>
      </c>
    </row>
    <row r="317" spans="1:8" ht="15.75" x14ac:dyDescent="0.25">
      <c r="A317" s="17">
        <f t="shared" si="4"/>
        <v>315</v>
      </c>
      <c r="B317" s="38" t="s">
        <v>9289</v>
      </c>
      <c r="C317" s="38">
        <v>8082045352</v>
      </c>
      <c r="D317" s="38" t="s">
        <v>9323</v>
      </c>
      <c r="E317" s="38" t="s">
        <v>9294</v>
      </c>
      <c r="F317" s="19">
        <v>46095</v>
      </c>
      <c r="G317" s="19" t="s">
        <v>341</v>
      </c>
      <c r="H317" s="17" t="s">
        <v>6664</v>
      </c>
    </row>
    <row r="318" spans="1:8" ht="15.75" x14ac:dyDescent="0.25">
      <c r="A318" s="17">
        <f t="shared" si="4"/>
        <v>316</v>
      </c>
      <c r="B318" s="38" t="s">
        <v>9324</v>
      </c>
      <c r="C318" s="38">
        <v>9149462152</v>
      </c>
      <c r="D318" s="38" t="s">
        <v>9325</v>
      </c>
      <c r="E318" s="38" t="s">
        <v>9293</v>
      </c>
      <c r="F318" s="19">
        <v>46095</v>
      </c>
      <c r="G318" s="19" t="s">
        <v>341</v>
      </c>
      <c r="H318" s="17" t="s">
        <v>6664</v>
      </c>
    </row>
    <row r="319" spans="1:8" ht="15.75" x14ac:dyDescent="0.25">
      <c r="A319" s="17">
        <f t="shared" si="4"/>
        <v>317</v>
      </c>
      <c r="B319" s="38" t="s">
        <v>9311</v>
      </c>
      <c r="C319" s="38">
        <v>8825070162</v>
      </c>
      <c r="D319" s="38" t="s">
        <v>9326</v>
      </c>
      <c r="E319" s="38" t="s">
        <v>9319</v>
      </c>
      <c r="F319" s="19">
        <v>46095</v>
      </c>
      <c r="G319" s="19" t="s">
        <v>341</v>
      </c>
      <c r="H319" s="17" t="s">
        <v>6664</v>
      </c>
    </row>
    <row r="320" spans="1:8" ht="15.75" x14ac:dyDescent="0.25">
      <c r="A320" s="17">
        <f t="shared" si="4"/>
        <v>318</v>
      </c>
      <c r="B320" s="38" t="s">
        <v>9335</v>
      </c>
      <c r="C320" s="38">
        <v>8494064599</v>
      </c>
      <c r="D320" s="38" t="s">
        <v>9356</v>
      </c>
      <c r="E320" s="38" t="s">
        <v>9343</v>
      </c>
      <c r="F320" s="19">
        <v>46097</v>
      </c>
      <c r="G320" s="19" t="s">
        <v>341</v>
      </c>
      <c r="H320" s="17" t="s">
        <v>6664</v>
      </c>
    </row>
    <row r="321" spans="1:8" ht="15.75" x14ac:dyDescent="0.25">
      <c r="A321" s="17">
        <f t="shared" si="4"/>
        <v>319</v>
      </c>
      <c r="B321" s="38" t="s">
        <v>9355</v>
      </c>
      <c r="C321" s="38">
        <v>8493872787</v>
      </c>
      <c r="D321" s="38" t="s">
        <v>9357</v>
      </c>
      <c r="E321" s="38" t="s">
        <v>9342</v>
      </c>
      <c r="F321" s="19">
        <v>46097</v>
      </c>
      <c r="G321" s="19" t="s">
        <v>341</v>
      </c>
      <c r="H321" s="17" t="s">
        <v>6664</v>
      </c>
    </row>
    <row r="322" spans="1:8" x14ac:dyDescent="0.25">
      <c r="B322" s="38"/>
      <c r="C322" s="38"/>
      <c r="D322" s="38"/>
      <c r="E322" s="38"/>
    </row>
    <row r="323" spans="1:8" x14ac:dyDescent="0.25">
      <c r="B323" s="38"/>
      <c r="C323" s="38"/>
      <c r="D323" s="38"/>
      <c r="E323" s="38"/>
    </row>
  </sheetData>
  <mergeCells count="1">
    <mergeCell ref="A1:H1"/>
  </mergeCells>
  <phoneticPr fontId="28" type="noConversion"/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 B311:E323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2026-03-16T11:42:38Z</dcterms:modified>
</cp:coreProperties>
</file>