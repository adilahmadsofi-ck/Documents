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521A281-6A35-4D02-A9D2-47492A96549D}" xr6:coauthVersionLast="47" xr6:coauthVersionMax="47" xr10:uidLastSave="{00000000-0000-0000-0000-000000000000}"/>
  <bookViews>
    <workbookView xWindow="-120" yWindow="-120" windowWidth="24240" windowHeight="13020" tabRatio="387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27" i="7" l="1"/>
  <c r="A428" i="7"/>
  <c r="A429" i="7"/>
  <c r="A430" i="7"/>
  <c r="A431" i="7"/>
  <c r="H687" i="4"/>
  <c r="H688" i="4"/>
  <c r="H689" i="4"/>
  <c r="H690" i="4"/>
  <c r="H691" i="4"/>
  <c r="A687" i="4"/>
  <c r="A688" i="4"/>
  <c r="A689" i="4"/>
  <c r="A690" i="4"/>
  <c r="A691" i="4"/>
  <c r="H683" i="4"/>
  <c r="H684" i="4"/>
  <c r="H685" i="4"/>
  <c r="H686" i="4"/>
  <c r="A683" i="4"/>
  <c r="A684" i="4"/>
  <c r="A685" i="4"/>
  <c r="A686" i="4"/>
  <c r="A423" i="7"/>
  <c r="A424" i="7"/>
  <c r="A425" i="7"/>
  <c r="A426" i="7"/>
  <c r="H679" i="4"/>
  <c r="H680" i="4"/>
  <c r="H681" i="4"/>
  <c r="H682" i="4"/>
  <c r="A679" i="4"/>
  <c r="A680" i="4"/>
  <c r="A681" i="4"/>
  <c r="A682" i="4"/>
  <c r="H675" i="4"/>
  <c r="H676" i="4"/>
  <c r="H678" i="4"/>
  <c r="A675" i="4"/>
  <c r="A676" i="4"/>
  <c r="A678" i="4"/>
  <c r="H671" i="4"/>
  <c r="H672" i="4"/>
  <c r="H673" i="4"/>
  <c r="H674" i="4"/>
  <c r="A671" i="4"/>
  <c r="A672" i="4"/>
  <c r="A673" i="4"/>
  <c r="A674" i="4"/>
  <c r="H667" i="4"/>
  <c r="H668" i="4"/>
  <c r="H669" i="4"/>
  <c r="H670" i="4"/>
  <c r="A667" i="4"/>
  <c r="A668" i="4"/>
  <c r="A669" i="4"/>
  <c r="A670" i="4"/>
  <c r="H495" i="4"/>
  <c r="H539" i="4"/>
  <c r="H601" i="4"/>
  <c r="H148" i="4"/>
  <c r="H631" i="4"/>
  <c r="H632" i="4"/>
  <c r="H596" i="4"/>
  <c r="H591" i="4"/>
  <c r="H602" i="4"/>
  <c r="H645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7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77" i="4"/>
  <c r="H480" i="4"/>
  <c r="H511" i="4"/>
  <c r="H604" i="4"/>
  <c r="H605" i="4"/>
  <c r="H606" i="4"/>
  <c r="H607" i="4"/>
  <c r="H188" i="4"/>
  <c r="H107" i="4"/>
  <c r="H608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3" i="4"/>
  <c r="H634" i="4"/>
  <c r="H635" i="4"/>
  <c r="H636" i="4"/>
  <c r="H638" i="4"/>
  <c r="H639" i="4"/>
  <c r="H609" i="4"/>
  <c r="H640" i="4"/>
  <c r="H641" i="4"/>
  <c r="H642" i="4"/>
  <c r="H643" i="4"/>
  <c r="H644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<sst xmlns="http://schemas.openxmlformats.org/spreadsheetml/2006/main" count="25555" uniqueCount="10217">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</sst>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91" totalsRowShown="0" headerRowDxfId="94" dataDxfId="93">
  <autoFilter ref="A1:R691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4" dataDxfId="72" headerRowBorderDxfId="73" tableBorderDxfId="71">
  <autoFilter ref="A1:U1475" xr:uid="{D370B51C-D08F-47BE-AAB1-EC19B1CB5D0A}"/>
  <tableColumns count="21">
    <tableColumn id="1" xr3:uid="{F2AB5776-2910-4922-8F7A-A29B241AFBFB}" name="S.NO" dataDxfId="70"/>
    <tableColumn id="2" xr3:uid="{BD6FD91D-E737-4D6A-B00A-D80EC1A61CA8}" name="DATE" dataDxfId="69"/>
    <tableColumn id="3" xr3:uid="{523BFE7D-9361-4DD0-92B3-69A6F8F0C3E9}" name="CUSTOMER NAME" dataDxfId="68"/>
    <tableColumn id="4" xr3:uid="{D470DE80-5E84-419F-ABF9-6269311CD45E}" name="MARUTI" dataDxfId="67"/>
    <tableColumn id="5" xr3:uid="{89C10B6F-C9EE-4AD2-A610-262BFCF29B4E}" name="MODEL OR VARIANT" dataDxfId="66"/>
    <tableColumn id="6" xr3:uid="{9CB69D3E-706F-4EED-A315-D5399BE00D5C}" name="RTO" dataDxfId="65"/>
    <tableColumn id="7" xr3:uid="{2FB81954-C8D6-43B3-92E2-574B07BBFCCB}" name="VEHICLE CLASS" dataDxfId="64"/>
    <tableColumn id="8" xr3:uid="{1892A735-1187-4E6C-8786-9B173567AAD2}" name="REG. NO" dataDxfId="63"/>
    <tableColumn id="9" xr3:uid="{AFB37B1C-50E7-42BE-BC49-27B4D7E4E829}" name="VIN" dataDxfId="62"/>
    <tableColumn id="10" xr3:uid="{A3569458-1056-4E90-B079-94E3430A5743}" name="APPLICATION NO." dataDxfId="61"/>
    <tableColumn id="11" xr3:uid="{E25E7D92-4EC4-485D-93B8-A15B0538604A}" name="RTO AMMOUNT " dataDxfId="60"/>
    <tableColumn id="12" xr3:uid="{DB89535A-8F36-4EF8-B62C-86ABB378F51F}" name="HSRP" dataDxfId="59"/>
    <tableColumn id="13" xr3:uid="{6BD25826-954F-49C4-BE9E-24422B1B85BE}" name="ACCOUNT" dataDxfId="58"/>
    <tableColumn id="14" xr3:uid="{974951AE-D99C-487A-9DB5-065DA8DD25D4}" name="RM NAME" dataDxfId="57"/>
    <tableColumn id="15" xr3:uid="{FA4014CD-BE60-4554-9D6D-C0CC54B2CA05}" name="PAYMENT MODE" dataDxfId="56"/>
    <tableColumn id="16" xr3:uid="{84C48B22-72C9-4BD7-86AD-D8ECD87C3A64}" name="FILE PUNCHED BY" dataDxfId="55"/>
    <tableColumn id="17" xr3:uid="{87E46E14-6F6C-41D4-BBF8-CEAFAFE4CA8F}" name="PAYMENT ID" dataDxfId="54"/>
    <tableColumn id="18" xr3:uid="{0F2CD467-C868-4769-B436-AE2A25413B52}" name="RC STATUS" dataDxfId="53"/>
    <tableColumn id="19" xr3:uid="{0A9FDBF9-6418-4F2B-8B46-BE05C8150A04}" name="RC GIVEN DATE" dataDxfId="52"/>
    <tableColumn id="20" xr3:uid="{3A50F2B6-47D6-4A09-AA43-188FC568EA57}" name="FASTTAG ISSUE" dataDxfId="51"/>
    <tableColumn id="21" xr3:uid="{E4802D5D-D65F-42D3-B57E-E27729185964}" name="FASTTAG ISSUE DATE 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31" totalsRowShown="0" headerRowDxfId="49" dataDxfId="48">
  <autoFilter ref="A2:H431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7"/>
    <tableColumn id="11" xr3:uid="{7AA66E15-5D81-45A6-A480-BC2F7EFDEB4C}" name="Name" dataDxfId="46"/>
    <tableColumn id="10" xr3:uid="{DA1D923C-25B3-4F76-823C-435E6464FF55}" name="Contact" dataDxfId="45"/>
    <tableColumn id="2" xr3:uid="{5FEBD558-5EB7-4421-BA25-DCAC1134B168}" name="Barcode No." dataDxfId="44"/>
    <tableColumn id="12" xr3:uid="{77758C8B-F2C8-47C0-B104-570729F9693B}" name="Reg Num" dataDxfId="43"/>
    <tableColumn id="5" xr3:uid="{9AC97A3F-3009-4A59-ACCF-A178780E6F61}" name="Date" dataDxfId="42"/>
    <tableColumn id="7" xr3:uid="{82C8F4C5-8489-4228-83CC-0B9666328CDD}" name="CHANNEL" dataDxfId="41"/>
    <tableColumn id="8" xr3:uid="{DDF1FC61-A0D6-46E9-9515-6DDC5AB1E932}" name="Status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9" dataDxfId="38">
  <autoFilter ref="A2:I9" xr:uid="{74ED0DA7-B29F-4043-B63E-2DC322D6021E}"/>
  <tableColumns count="9">
    <tableColumn id="1" xr3:uid="{245016D5-DEB3-4F3E-B449-3096C2EF947B}" name="S.No." dataDxfId="37">
      <calculatedColumnFormula>ROW()-2</calculatedColumnFormula>
    </tableColumn>
    <tableColumn id="2" xr3:uid="{77ED4F47-8FDC-4F18-AB35-3830D899313B}" name="Dated" dataDxfId="36"/>
    <tableColumn id="3" xr3:uid="{67393A8B-58A2-4A4E-AA68-362B9B4F4E28}" name="Vehicle Num." dataDxfId="35"/>
    <tableColumn id="4" xr3:uid="{2C031EFD-E44B-468B-BEF0-3C97412F5E2E}" name="Name" dataDxfId="34"/>
    <tableColumn id="5" xr3:uid="{73873638-799E-44F5-B857-93DAE5E0F2FF}" name="Payment Mode" dataDxfId="33"/>
    <tableColumn id="6" xr3:uid="{BFB6E8F7-43C7-4B39-8FF0-E41A5EA5B2D3}" name="Trans Id." dataDxfId="32"/>
    <tableColumn id="8" xr3:uid="{3B1BF0B9-13BC-4A4E-B215-A3056576D199}" name="Trans. Date" dataDxfId="31"/>
    <tableColumn id="9" xr3:uid="{F64CF3FC-8352-46AE-80D1-01DDCE0247AC}" name="Amount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59"/>
  <sheetViews>
    <sheetView topLeftCell="A668" zoomScaleNormal="100" workbookViewId="0">
      <selection activeCell="F688" sqref="F68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/>
      <c r="P488" s="29"/>
      <c r="Q488" s="26"/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/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/>
      <c r="N555" s="27"/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/>
      <c r="N564" s="27"/>
      <c r="O564" s="26"/>
      <c r="P564" s="29"/>
      <c r="Q564" s="26"/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39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/>
      <c r="N591" s="27"/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s="42" customFormat="1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/>
      <c r="N601" s="27"/>
      <c r="O601" s="26"/>
      <c r="P601" s="29"/>
      <c r="Q601" s="26"/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/>
      <c r="N613" s="27"/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/>
      <c r="P615" s="29"/>
      <c r="Q615" s="26"/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/>
      <c r="P619" s="29"/>
      <c r="Q619" s="26"/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8215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691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ref="H640:H666" si="21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/>
      <c r="N640" s="27"/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21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si="21"/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/>
      <c r="N643" s="27"/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/>
      <c r="N644" s="27"/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s="42" customFormat="1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TEMP</v>
      </c>
      <c r="I654" s="26" t="s">
        <v>10022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/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/>
      <c r="N660" s="27"/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/>
      <c r="N664" s="27"/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ref="H667:H670" si="22"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2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2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2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ref="H671:H674" si="23">IF(LEFT(I671,4)="JK13","PULWAMA",IF(LEFT(I671,4)="JK01","SRINAGAR",IF(LEFT(I671,4)="JK04","BUDGAM",IF(LEFT(I671,4)="JK03","ANANTNAG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</f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3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3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3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 t="s">
        <v>7606</v>
      </c>
      <c r="N674" s="27">
        <v>46136</v>
      </c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ref="H675:H678" si="24">IF(LEFT(I675,4)="JK13","PULWAMA",IF(LEFT(I675,4)="JK01","SRINAGAR",IF(LEFT(I675,4)="JK04","BUDGAM",IF(LEFT(I675,4)="JK03","ANANTNAG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</f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 t="s">
        <v>8152</v>
      </c>
      <c r="N675" s="27">
        <v>46135</v>
      </c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4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 t="s">
        <v>7705</v>
      </c>
      <c r="N676" s="27">
        <v>46135</v>
      </c>
      <c r="O676" s="26" t="s">
        <v>23</v>
      </c>
      <c r="P676" s="29">
        <v>46135</v>
      </c>
      <c r="Q676" s="26" t="s">
        <v>6454</v>
      </c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 t="s">
        <v>7765</v>
      </c>
      <c r="N677" s="27">
        <v>46136</v>
      </c>
      <c r="O677" s="26"/>
      <c r="P677" s="29"/>
      <c r="Q677" s="26" t="s">
        <v>43</v>
      </c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4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ref="H679:H682" si="25">IF(LEFT(I679,4)="JK13","PULWAMA",IF(LEFT(I679,4)="JK01","SRINAGAR",IF(LEFT(I679,4)="JK04","BUDGAM",IF(LEFT(I679,4)="JK03","ANANTNAG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</f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5"/>
        <v>TEMP</v>
      </c>
      <c r="I680" s="26" t="s">
        <v>10191</v>
      </c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 t="s">
        <v>10181</v>
      </c>
      <c r="C681" s="26" t="s">
        <v>10182</v>
      </c>
      <c r="D681" s="26" t="s">
        <v>10183</v>
      </c>
      <c r="E681" s="26" t="s">
        <v>10184</v>
      </c>
      <c r="F681" s="26" t="s">
        <v>116</v>
      </c>
      <c r="G681" s="26" t="s">
        <v>197</v>
      </c>
      <c r="H681" s="26" t="str">
        <f t="shared" si="25"/>
        <v>BARAMULLA</v>
      </c>
      <c r="I681" s="26" t="s">
        <v>10189</v>
      </c>
      <c r="J681" s="27">
        <v>46135</v>
      </c>
      <c r="K681" s="26">
        <v>7006922251</v>
      </c>
      <c r="L681" s="26" t="s">
        <v>480</v>
      </c>
      <c r="M681" s="28"/>
      <c r="N681" s="27"/>
      <c r="O681" s="26" t="s">
        <v>23</v>
      </c>
      <c r="P681" s="29">
        <v>46135</v>
      </c>
      <c r="Q681" s="26" t="s">
        <v>6454</v>
      </c>
      <c r="R681" s="26"/>
    </row>
    <row r="682" spans="1:18" x14ac:dyDescent="0.25">
      <c r="A682" s="26">
        <f t="shared" si="20"/>
        <v>681</v>
      </c>
      <c r="B682" s="26" t="s">
        <v>10188</v>
      </c>
      <c r="C682" s="26" t="s">
        <v>10185</v>
      </c>
      <c r="D682" s="26" t="s">
        <v>10186</v>
      </c>
      <c r="E682" s="26" t="s">
        <v>10187</v>
      </c>
      <c r="F682" s="26" t="s">
        <v>98</v>
      </c>
      <c r="G682" s="26" t="s">
        <v>178</v>
      </c>
      <c r="H682" s="26" t="str">
        <f t="shared" si="25"/>
        <v>KUPWARA</v>
      </c>
      <c r="I682" s="26" t="s">
        <v>10190</v>
      </c>
      <c r="J682" s="27">
        <v>46135</v>
      </c>
      <c r="K682" s="26">
        <v>9622844543</v>
      </c>
      <c r="L682" s="26" t="s">
        <v>303</v>
      </c>
      <c r="M682" s="28"/>
      <c r="N682" s="27"/>
      <c r="O682" s="26" t="s">
        <v>23</v>
      </c>
      <c r="P682" s="29">
        <v>46135</v>
      </c>
      <c r="Q682" s="26" t="s">
        <v>6454</v>
      </c>
      <c r="R682" s="26"/>
    </row>
    <row r="683" spans="1:18" x14ac:dyDescent="0.25">
      <c r="A683" s="26">
        <f t="shared" si="20"/>
        <v>682</v>
      </c>
      <c r="B683" s="26" t="s">
        <v>10198</v>
      </c>
      <c r="C683" s="26" t="s">
        <v>10196</v>
      </c>
      <c r="D683" s="26" t="s">
        <v>10197</v>
      </c>
      <c r="E683" s="26" t="s">
        <v>9979</v>
      </c>
      <c r="F683" s="26" t="s">
        <v>116</v>
      </c>
      <c r="G683" s="26" t="s">
        <v>197</v>
      </c>
      <c r="H683" s="26" t="str">
        <f t="shared" ref="H683:H686" si="26">IF(LEFT(I683,4)="JK13","PULWAMA",IF(LEFT(I683,4)="JK01","SRINAGAR",IF(LEFT(I683,4)="JK04","BUDGAM",IF(LEFT(I683,4)="JK03","ANANTNAG",IF(LEFT(I683,4)="JK05","BARAMULLA",IF(LEFT(I683,4)="26BH","BHARAT",IF(LEFT(I683,4)="25BH","BHARAT",IF(LEFT(I683,4)="JK12","POONCH",IF(LEFT(I683,4)="JK16","GANDERBAL",IF(LEFT(I683,4)="JK18","KULGAM",IF(LEFT(I683,4)="JK22","SHOPIAN",IF(LEFT(I683,4)="JK02","JAMMU",IF(LEFT(I683,4)="JK09","KUPWARA",IF(LEFT(I683,4)="JK15","BANDIPORA",IF(LEFT(I683,4)="JK17","KISHTWAR",IF(LEFT(I683,4)="LA01","KARGIL",IF(LEFT(I683,1)="T","TEMP","NEW")))))))))))))))))</f>
        <v>BUDGAM</v>
      </c>
      <c r="I683" s="26" t="s">
        <v>10207</v>
      </c>
      <c r="J683" s="27">
        <v>46136</v>
      </c>
      <c r="K683" s="26">
        <v>9697385697</v>
      </c>
      <c r="L683" s="26" t="s">
        <v>104</v>
      </c>
      <c r="M683" s="28"/>
      <c r="N683" s="27"/>
      <c r="O683" s="26"/>
      <c r="P683" s="29"/>
      <c r="Q683" s="26"/>
      <c r="R683" s="26"/>
    </row>
    <row r="684" spans="1:18" x14ac:dyDescent="0.25">
      <c r="A684" s="26">
        <f t="shared" si="20"/>
        <v>683</v>
      </c>
      <c r="B684" s="26" t="s">
        <v>10199</v>
      </c>
      <c r="C684" s="26" t="s">
        <v>10200</v>
      </c>
      <c r="D684" s="26" t="s">
        <v>10201</v>
      </c>
      <c r="E684" s="26" t="s">
        <v>10202</v>
      </c>
      <c r="F684" s="26" t="s">
        <v>116</v>
      </c>
      <c r="G684" s="26" t="s">
        <v>197</v>
      </c>
      <c r="H684" s="26" t="str">
        <f t="shared" si="26"/>
        <v>JAMMU</v>
      </c>
      <c r="I684" s="26" t="s">
        <v>10208</v>
      </c>
      <c r="J684" s="27">
        <v>46136</v>
      </c>
      <c r="K684" s="26">
        <v>7889667593</v>
      </c>
      <c r="L684" s="26" t="s">
        <v>192</v>
      </c>
      <c r="M684" s="28"/>
      <c r="N684" s="27"/>
      <c r="O684" s="26"/>
      <c r="P684" s="29"/>
      <c r="Q684" s="26"/>
      <c r="R684" s="26"/>
    </row>
    <row r="685" spans="1:18" x14ac:dyDescent="0.25">
      <c r="A685" s="26">
        <f t="shared" si="20"/>
        <v>684</v>
      </c>
      <c r="B685" s="26" t="s">
        <v>10203</v>
      </c>
      <c r="C685" s="26" t="s">
        <v>10204</v>
      </c>
      <c r="D685" s="26" t="s">
        <v>10205</v>
      </c>
      <c r="E685" s="26" t="s">
        <v>10206</v>
      </c>
      <c r="F685" s="26" t="s">
        <v>116</v>
      </c>
      <c r="G685" s="26" t="s">
        <v>171</v>
      </c>
      <c r="H685" s="26" t="str">
        <f t="shared" si="26"/>
        <v>JAMMU</v>
      </c>
      <c r="I685" s="26" t="s">
        <v>10209</v>
      </c>
      <c r="J685" s="27">
        <v>46136</v>
      </c>
      <c r="K685" s="26">
        <v>6006498790</v>
      </c>
      <c r="L685" s="26" t="s">
        <v>192</v>
      </c>
      <c r="M685" s="28"/>
      <c r="N685" s="27"/>
      <c r="O685" s="26"/>
      <c r="P685" s="29"/>
      <c r="Q685" s="26"/>
      <c r="R685" s="26"/>
    </row>
    <row r="686" spans="1:18" x14ac:dyDescent="0.25">
      <c r="A686" s="26">
        <f t="shared" si="20"/>
        <v>685</v>
      </c>
      <c r="B686" s="26" t="s">
        <v>10210</v>
      </c>
      <c r="C686" s="26" t="s">
        <v>10211</v>
      </c>
      <c r="D686" s="26" t="s">
        <v>10212</v>
      </c>
      <c r="E686" s="26" t="s">
        <v>10213</v>
      </c>
      <c r="F686" s="26" t="s">
        <v>12</v>
      </c>
      <c r="G686" s="26" t="s">
        <v>197</v>
      </c>
      <c r="H686" s="26" t="str">
        <f t="shared" si="26"/>
        <v>NEW</v>
      </c>
      <c r="I686" s="26"/>
      <c r="J686" s="27">
        <v>46136</v>
      </c>
      <c r="K686" s="26">
        <v>9682368636</v>
      </c>
      <c r="L686" s="26" t="s">
        <v>26</v>
      </c>
      <c r="M686" s="28"/>
      <c r="N686" s="27"/>
      <c r="O686" s="26"/>
      <c r="P686" s="29"/>
      <c r="Q686" s="26"/>
      <c r="R686" s="26"/>
    </row>
    <row r="687" spans="1:18" x14ac:dyDescent="0.25">
      <c r="A687" s="26">
        <f t="shared" si="20"/>
        <v>686</v>
      </c>
      <c r="B687" s="26"/>
      <c r="C687" s="26"/>
      <c r="D687" s="26"/>
      <c r="E687" s="26"/>
      <c r="F687" s="26"/>
      <c r="G687" s="26"/>
      <c r="H687" s="26" t="str">
        <f t="shared" ref="H687:H691" si="27">IF(LEFT(I687,4)="JK13","PULWAMA",IF(LEFT(I687,4)="JK01","SRINAGAR",IF(LEFT(I687,4)="JK04","BUDGAM",IF(LEFT(I687,4)="JK03","ANANTNAG",IF(LEFT(I687,4)="JK05","BARAMULLA",IF(LEFT(I687,4)="26BH","BHARAT",IF(LEFT(I687,4)="25BH","BHARAT",IF(LEFT(I687,4)="JK12","POONCH",IF(LEFT(I687,4)="JK16","GANDERBAL",IF(LEFT(I687,4)="JK18","KULGAM",IF(LEFT(I687,4)="JK22","SHOPIAN",IF(LEFT(I687,4)="JK02","JAMMU",IF(LEFT(I687,4)="JK09","KUPWARA",IF(LEFT(I687,4)="JK15","BANDIPORA",IF(LEFT(I687,4)="JK17","KISHTWAR",IF(LEFT(I687,4)="LA01","KARGIL",IF(LEFT(I687,1)="T","TEMP","NEW")))))))))))))))))</f>
        <v>NEW</v>
      </c>
      <c r="I687" s="26"/>
      <c r="J687" s="27"/>
      <c r="K687" s="26"/>
      <c r="L687" s="26"/>
      <c r="M687" s="28"/>
      <c r="N687" s="27"/>
      <c r="O687" s="26"/>
      <c r="P687" s="29"/>
      <c r="Q687" s="26"/>
      <c r="R687" s="26"/>
    </row>
    <row r="688" spans="1:18" x14ac:dyDescent="0.25">
      <c r="A688" s="26">
        <f t="shared" si="20"/>
        <v>687</v>
      </c>
      <c r="B688" s="26"/>
      <c r="C688" s="26"/>
      <c r="D688" s="26"/>
      <c r="E688" s="26"/>
      <c r="F688" s="26"/>
      <c r="G688" s="26"/>
      <c r="H688" s="26" t="str">
        <f t="shared" si="27"/>
        <v>NEW</v>
      </c>
      <c r="I688" s="26"/>
      <c r="J688" s="27"/>
      <c r="K688" s="26"/>
      <c r="L688" s="26"/>
      <c r="M688" s="28"/>
      <c r="N688" s="27"/>
      <c r="O688" s="26"/>
      <c r="P688" s="29"/>
      <c r="Q688" s="26"/>
      <c r="R688" s="26"/>
    </row>
    <row r="689" spans="1:18" x14ac:dyDescent="0.25">
      <c r="A689" s="26">
        <f t="shared" si="20"/>
        <v>688</v>
      </c>
      <c r="B689" s="26"/>
      <c r="C689" s="26"/>
      <c r="D689" s="26"/>
      <c r="E689" s="26"/>
      <c r="F689" s="26"/>
      <c r="G689" s="26"/>
      <c r="H689" s="26" t="str">
        <f t="shared" si="27"/>
        <v>NEW</v>
      </c>
      <c r="I689" s="26"/>
      <c r="J689" s="27"/>
      <c r="K689" s="26"/>
      <c r="L689" s="26"/>
      <c r="M689" s="28"/>
      <c r="N689" s="27"/>
      <c r="O689" s="26"/>
      <c r="P689" s="29"/>
      <c r="Q689" s="26"/>
      <c r="R689" s="26"/>
    </row>
    <row r="690" spans="1:18" x14ac:dyDescent="0.25">
      <c r="A690" s="26">
        <f t="shared" si="20"/>
        <v>689</v>
      </c>
      <c r="B690" s="26"/>
      <c r="C690" s="26"/>
      <c r="D690" s="26"/>
      <c r="E690" s="26"/>
      <c r="F690" s="26"/>
      <c r="G690" s="26"/>
      <c r="H690" s="26" t="str">
        <f t="shared" si="27"/>
        <v>NEW</v>
      </c>
      <c r="I690" s="26"/>
      <c r="J690" s="27"/>
      <c r="K690" s="26"/>
      <c r="L690" s="26"/>
      <c r="M690" s="28"/>
      <c r="N690" s="27"/>
      <c r="O690" s="26"/>
      <c r="P690" s="29"/>
      <c r="Q690" s="26"/>
      <c r="R690" s="26"/>
    </row>
    <row r="691" spans="1:18" x14ac:dyDescent="0.25">
      <c r="A691" s="26">
        <f t="shared" si="20"/>
        <v>690</v>
      </c>
      <c r="B691" s="26"/>
      <c r="C691" s="26"/>
      <c r="D691" s="26"/>
      <c r="E691" s="26"/>
      <c r="F691" s="26"/>
      <c r="G691" s="26"/>
      <c r="H691" s="26" t="str">
        <f t="shared" si="27"/>
        <v>NEW</v>
      </c>
      <c r="I691" s="26"/>
      <c r="J691" s="27"/>
      <c r="K691" s="26"/>
      <c r="L691" s="26"/>
      <c r="M691" s="28"/>
      <c r="N691" s="27"/>
      <c r="O691" s="26"/>
      <c r="P691" s="29"/>
      <c r="Q691" s="26"/>
      <c r="R691" s="26"/>
    </row>
    <row r="692" spans="1:18" ht="15.75" x14ac:dyDescent="0.25">
      <c r="A692" s="26"/>
      <c r="B692" s="26"/>
      <c r="C692" s="26"/>
      <c r="D692" s="26"/>
      <c r="E692" s="26"/>
      <c r="F692" s="26"/>
      <c r="G692" s="26"/>
      <c r="H692" s="1"/>
      <c r="I692" s="26"/>
      <c r="J692" s="12"/>
      <c r="K692" s="26"/>
      <c r="L692" s="26"/>
      <c r="M692" t="s">
        <v>43</v>
      </c>
    </row>
    <row r="693" spans="1:18" ht="15.75" x14ac:dyDescent="0.25">
      <c r="A693" s="26"/>
      <c r="B693" s="26"/>
      <c r="C693" s="26"/>
      <c r="D693" s="26"/>
      <c r="E693" s="26"/>
      <c r="F693" s="26"/>
      <c r="G693" s="26"/>
      <c r="H693" s="1"/>
      <c r="I693" s="13"/>
      <c r="K693" s="26"/>
      <c r="L693" s="26"/>
    </row>
    <row r="694" spans="1:18" x14ac:dyDescent="0.25">
      <c r="K694" s="26"/>
    </row>
    <row r="695" spans="1:18" x14ac:dyDescent="0.25">
      <c r="K695" s="26"/>
    </row>
    <row r="696" spans="1:18" x14ac:dyDescent="0.25">
      <c r="K696" s="26"/>
    </row>
    <row r="697" spans="1:18" x14ac:dyDescent="0.25">
      <c r="K697" s="26"/>
    </row>
    <row r="698" spans="1:18" x14ac:dyDescent="0.25">
      <c r="K698" s="26"/>
    </row>
    <row r="699" spans="1:18" x14ac:dyDescent="0.25">
      <c r="K699" s="26"/>
    </row>
    <row r="700" spans="1:18" x14ac:dyDescent="0.25">
      <c r="K700" s="26"/>
    </row>
    <row r="701" spans="1:18" x14ac:dyDescent="0.25">
      <c r="K701" s="26"/>
    </row>
    <row r="702" spans="1:18" x14ac:dyDescent="0.25">
      <c r="K702" s="26"/>
    </row>
    <row r="703" spans="1:18" x14ac:dyDescent="0.25">
      <c r="K703" s="26"/>
    </row>
    <row r="704" spans="1:18" x14ac:dyDescent="0.25">
      <c r="K704" s="26"/>
    </row>
    <row r="705" spans="11:11" x14ac:dyDescent="0.25">
      <c r="K705" s="26"/>
    </row>
    <row r="706" spans="11:11" x14ac:dyDescent="0.25">
      <c r="K706" s="26"/>
    </row>
    <row r="707" spans="11:11" x14ac:dyDescent="0.25">
      <c r="K707" s="26"/>
    </row>
    <row r="708" spans="11:11" x14ac:dyDescent="0.25">
      <c r="K708" s="26"/>
    </row>
    <row r="709" spans="11:11" x14ac:dyDescent="0.25">
      <c r="K709" s="26"/>
    </row>
    <row r="710" spans="11:11" x14ac:dyDescent="0.25">
      <c r="K710" s="26"/>
    </row>
    <row r="711" spans="11:11" x14ac:dyDescent="0.25">
      <c r="K711" s="26"/>
    </row>
    <row r="712" spans="11:11" x14ac:dyDescent="0.25">
      <c r="K712" s="26"/>
    </row>
    <row r="713" spans="11:11" x14ac:dyDescent="0.25">
      <c r="K713" s="26"/>
    </row>
    <row r="714" spans="11:11" x14ac:dyDescent="0.25">
      <c r="K714" s="26"/>
    </row>
    <row r="715" spans="11:11" x14ac:dyDescent="0.25">
      <c r="K715" s="26"/>
    </row>
    <row r="716" spans="11:11" x14ac:dyDescent="0.25">
      <c r="K716" s="26"/>
    </row>
    <row r="717" spans="11:11" x14ac:dyDescent="0.25">
      <c r="K717" s="26"/>
    </row>
    <row r="718" spans="11:11" x14ac:dyDescent="0.25">
      <c r="K718" s="26"/>
    </row>
    <row r="719" spans="11:11" x14ac:dyDescent="0.25">
      <c r="K719" s="26"/>
    </row>
    <row r="720" spans="11:11" x14ac:dyDescent="0.25">
      <c r="K720" s="26"/>
    </row>
    <row r="721" spans="11:11" x14ac:dyDescent="0.25">
      <c r="K721" s="26"/>
    </row>
    <row r="722" spans="11:11" x14ac:dyDescent="0.25">
      <c r="K722" s="26"/>
    </row>
    <row r="723" spans="11:11" x14ac:dyDescent="0.25">
      <c r="K723" s="26"/>
    </row>
    <row r="724" spans="11:11" x14ac:dyDescent="0.25">
      <c r="K724" s="26"/>
    </row>
    <row r="725" spans="11:11" x14ac:dyDescent="0.25">
      <c r="K725" s="26"/>
    </row>
    <row r="726" spans="11:11" x14ac:dyDescent="0.25">
      <c r="K726" s="26"/>
    </row>
    <row r="727" spans="11:11" x14ac:dyDescent="0.25">
      <c r="K727" s="26"/>
    </row>
    <row r="728" spans="11:11" x14ac:dyDescent="0.25">
      <c r="K728" s="26"/>
    </row>
    <row r="729" spans="11:11" x14ac:dyDescent="0.25">
      <c r="K729" s="26"/>
    </row>
    <row r="730" spans="11:11" x14ac:dyDescent="0.25">
      <c r="K730" s="26"/>
    </row>
    <row r="731" spans="11:11" x14ac:dyDescent="0.25">
      <c r="K731" s="26"/>
    </row>
    <row r="732" spans="11:11" x14ac:dyDescent="0.25">
      <c r="K732" s="26"/>
    </row>
    <row r="733" spans="11:11" x14ac:dyDescent="0.25">
      <c r="K733" s="26"/>
    </row>
    <row r="734" spans="11:11" x14ac:dyDescent="0.25">
      <c r="K734" s="26"/>
    </row>
    <row r="735" spans="11:11" x14ac:dyDescent="0.25">
      <c r="K735" s="26"/>
    </row>
    <row r="736" spans="11:11" x14ac:dyDescent="0.25">
      <c r="K736" s="26"/>
    </row>
    <row r="737" spans="11:11" x14ac:dyDescent="0.25">
      <c r="K737" s="26"/>
    </row>
    <row r="738" spans="11:11" x14ac:dyDescent="0.25">
      <c r="K738" s="26"/>
    </row>
    <row r="739" spans="11:11" x14ac:dyDescent="0.25">
      <c r="K739" s="26"/>
    </row>
    <row r="740" spans="11:11" x14ac:dyDescent="0.25">
      <c r="K740" s="26"/>
    </row>
    <row r="741" spans="11:11" x14ac:dyDescent="0.25">
      <c r="K741" s="26"/>
    </row>
    <row r="742" spans="11:11" x14ac:dyDescent="0.25">
      <c r="K742" s="26"/>
    </row>
    <row r="743" spans="11:11" x14ac:dyDescent="0.25">
      <c r="K743" s="26"/>
    </row>
    <row r="744" spans="11:11" x14ac:dyDescent="0.25">
      <c r="K744" s="26"/>
    </row>
    <row r="745" spans="11:11" x14ac:dyDescent="0.25">
      <c r="K745" s="26"/>
    </row>
    <row r="746" spans="11:11" x14ac:dyDescent="0.25">
      <c r="K746" s="26"/>
    </row>
    <row r="747" spans="11:11" x14ac:dyDescent="0.25">
      <c r="K747" s="26"/>
    </row>
    <row r="748" spans="11:11" x14ac:dyDescent="0.25">
      <c r="K748" s="26"/>
    </row>
    <row r="749" spans="11:11" x14ac:dyDescent="0.25">
      <c r="K749" s="26"/>
    </row>
    <row r="750" spans="11:11" x14ac:dyDescent="0.25">
      <c r="K750" s="26"/>
    </row>
    <row r="751" spans="11:11" x14ac:dyDescent="0.25">
      <c r="K751" s="26"/>
    </row>
    <row r="752" spans="11:11" x14ac:dyDescent="0.25">
      <c r="K752" s="26"/>
    </row>
    <row r="753" spans="11:11" x14ac:dyDescent="0.25">
      <c r="K753" s="26"/>
    </row>
    <row r="754" spans="11:11" x14ac:dyDescent="0.25">
      <c r="K754" s="26"/>
    </row>
    <row r="755" spans="11:11" x14ac:dyDescent="0.25">
      <c r="K755" s="26"/>
    </row>
    <row r="756" spans="11:11" x14ac:dyDescent="0.25">
      <c r="K756" s="26"/>
    </row>
    <row r="757" spans="11:11" x14ac:dyDescent="0.25">
      <c r="K757" s="26"/>
    </row>
    <row r="758" spans="11:11" x14ac:dyDescent="0.25">
      <c r="K758" s="26"/>
    </row>
    <row r="759" spans="11:11" x14ac:dyDescent="0.25">
      <c r="K759" s="26"/>
    </row>
    <row r="760" spans="11:11" x14ac:dyDescent="0.25">
      <c r="K760" s="26"/>
    </row>
    <row r="761" spans="11:11" x14ac:dyDescent="0.25">
      <c r="K761" s="26"/>
    </row>
    <row r="762" spans="11:11" x14ac:dyDescent="0.25">
      <c r="K762" s="26"/>
    </row>
    <row r="763" spans="11:11" x14ac:dyDescent="0.25">
      <c r="K763" s="26"/>
    </row>
    <row r="764" spans="11:11" x14ac:dyDescent="0.25">
      <c r="K764" s="26"/>
    </row>
    <row r="765" spans="11:11" x14ac:dyDescent="0.25">
      <c r="K765" s="26"/>
    </row>
    <row r="766" spans="11:11" x14ac:dyDescent="0.25">
      <c r="K766" s="26"/>
    </row>
    <row r="767" spans="11:11" x14ac:dyDescent="0.25">
      <c r="K767" s="26"/>
    </row>
    <row r="768" spans="11:11" x14ac:dyDescent="0.25">
      <c r="K768" s="26"/>
    </row>
    <row r="769" spans="11:11" x14ac:dyDescent="0.25">
      <c r="K769" s="26"/>
    </row>
    <row r="770" spans="11:11" x14ac:dyDescent="0.25">
      <c r="K770" s="26"/>
    </row>
    <row r="771" spans="11:11" x14ac:dyDescent="0.25">
      <c r="K771" s="26"/>
    </row>
    <row r="772" spans="11:11" ht="15.75" x14ac:dyDescent="0.25">
      <c r="K772" s="12"/>
    </row>
    <row r="773" spans="11:11" ht="15.75" x14ac:dyDescent="0.25">
      <c r="K773" s="12"/>
    </row>
    <row r="774" spans="11:11" ht="15.75" x14ac:dyDescent="0.25">
      <c r="K774" s="12"/>
    </row>
    <row r="775" spans="11:11" ht="15.75" x14ac:dyDescent="0.25">
      <c r="K775" s="12"/>
    </row>
    <row r="776" spans="11:11" ht="15.75" x14ac:dyDescent="0.25">
      <c r="K776" s="12"/>
    </row>
    <row r="777" spans="11:11" ht="15.75" x14ac:dyDescent="0.25">
      <c r="K777" s="12"/>
    </row>
    <row r="778" spans="11:11" ht="15.75" x14ac:dyDescent="0.25">
      <c r="K778" s="12"/>
    </row>
    <row r="779" spans="11:11" ht="15.75" x14ac:dyDescent="0.25">
      <c r="K779" s="12"/>
    </row>
    <row r="780" spans="11:11" ht="15.75" x14ac:dyDescent="0.25">
      <c r="K780" s="12"/>
    </row>
    <row r="781" spans="11:11" ht="15.75" x14ac:dyDescent="0.25">
      <c r="K781" s="12"/>
    </row>
    <row r="782" spans="11:11" ht="15.75" x14ac:dyDescent="0.25">
      <c r="K782" s="12"/>
    </row>
    <row r="783" spans="11:11" ht="15.75" x14ac:dyDescent="0.25">
      <c r="K783" s="12"/>
    </row>
    <row r="784" spans="11:11" ht="15.75" x14ac:dyDescent="0.25">
      <c r="K784" s="12"/>
    </row>
    <row r="785" spans="11:11" ht="15.75" x14ac:dyDescent="0.25">
      <c r="K785" s="12"/>
    </row>
    <row r="786" spans="11:11" ht="15.75" x14ac:dyDescent="0.25">
      <c r="K786" s="12"/>
    </row>
    <row r="787" spans="11:11" ht="15.75" x14ac:dyDescent="0.25">
      <c r="K787" s="12"/>
    </row>
    <row r="788" spans="11:11" ht="15.75" x14ac:dyDescent="0.25">
      <c r="K788" s="12"/>
    </row>
    <row r="789" spans="11:11" ht="15.75" x14ac:dyDescent="0.25">
      <c r="K789" s="12"/>
    </row>
    <row r="790" spans="11:11" ht="15.75" x14ac:dyDescent="0.25">
      <c r="K790" s="12"/>
    </row>
    <row r="791" spans="11:11" ht="15.75" x14ac:dyDescent="0.25">
      <c r="K791" s="12"/>
    </row>
    <row r="792" spans="11:11" ht="15.75" x14ac:dyDescent="0.25">
      <c r="K792" s="12"/>
    </row>
    <row r="793" spans="11:11" ht="15.75" x14ac:dyDescent="0.25">
      <c r="K793" s="12"/>
    </row>
    <row r="794" spans="11:11" ht="15.75" x14ac:dyDescent="0.25">
      <c r="K794" s="12"/>
    </row>
    <row r="795" spans="11:11" ht="15.75" x14ac:dyDescent="0.25">
      <c r="K795" s="12"/>
    </row>
    <row r="796" spans="11:11" ht="15.75" x14ac:dyDescent="0.25">
      <c r="K796" s="12"/>
    </row>
    <row r="797" spans="11:11" ht="15.75" x14ac:dyDescent="0.25">
      <c r="K797" s="12"/>
    </row>
    <row r="798" spans="11:11" ht="15.75" x14ac:dyDescent="0.25">
      <c r="K798" s="12"/>
    </row>
    <row r="799" spans="11:11" ht="15.75" x14ac:dyDescent="0.25">
      <c r="K799" s="12"/>
    </row>
    <row r="800" spans="11:11" ht="15.75" x14ac:dyDescent="0.25">
      <c r="K800" s="12"/>
    </row>
    <row r="801" spans="11:11" ht="15.75" x14ac:dyDescent="0.25">
      <c r="K801" s="12"/>
    </row>
    <row r="802" spans="11:11" ht="15.75" x14ac:dyDescent="0.25">
      <c r="K802" s="12"/>
    </row>
    <row r="803" spans="11:11" ht="15.75" x14ac:dyDescent="0.25">
      <c r="K803" s="12"/>
    </row>
    <row r="804" spans="11:11" ht="15.75" x14ac:dyDescent="0.25">
      <c r="K804" s="12"/>
    </row>
    <row r="805" spans="11:11" ht="15.75" x14ac:dyDescent="0.25">
      <c r="K805" s="12"/>
    </row>
    <row r="806" spans="11:11" ht="15.75" x14ac:dyDescent="0.25">
      <c r="K806" s="12"/>
    </row>
    <row r="807" spans="11:11" ht="15.75" x14ac:dyDescent="0.25">
      <c r="K807" s="12"/>
    </row>
    <row r="808" spans="11:11" ht="15.75" x14ac:dyDescent="0.25">
      <c r="K808" s="12"/>
    </row>
    <row r="809" spans="11:11" ht="15.75" x14ac:dyDescent="0.25">
      <c r="K809" s="12"/>
    </row>
    <row r="810" spans="11:11" ht="15.75" x14ac:dyDescent="0.25">
      <c r="K810" s="12"/>
    </row>
    <row r="811" spans="11:11" ht="15.75" x14ac:dyDescent="0.25">
      <c r="K811" s="12"/>
    </row>
    <row r="812" spans="11:11" ht="15.75" x14ac:dyDescent="0.25">
      <c r="K812" s="12"/>
    </row>
    <row r="813" spans="11:11" ht="15.75" x14ac:dyDescent="0.25">
      <c r="K813" s="12"/>
    </row>
    <row r="814" spans="11:11" ht="15.75" x14ac:dyDescent="0.25">
      <c r="K814" s="12"/>
    </row>
    <row r="815" spans="11:11" ht="15.75" x14ac:dyDescent="0.25">
      <c r="K815" s="12"/>
    </row>
    <row r="816" spans="11:11" ht="15.75" x14ac:dyDescent="0.25">
      <c r="K816" s="12"/>
    </row>
    <row r="817" spans="11:11" ht="15.75" x14ac:dyDescent="0.25">
      <c r="K817" s="12"/>
    </row>
    <row r="818" spans="11:11" ht="15.75" x14ac:dyDescent="0.25">
      <c r="K818" s="12"/>
    </row>
    <row r="819" spans="11:11" ht="15.75" x14ac:dyDescent="0.25">
      <c r="K819" s="12"/>
    </row>
    <row r="820" spans="11:11" ht="15.75" x14ac:dyDescent="0.25">
      <c r="K820" s="12"/>
    </row>
    <row r="821" spans="11:11" x14ac:dyDescent="0.25">
      <c r="K821" s="25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ht="15.75" x14ac:dyDescent="0.25">
      <c r="K827" s="12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ht="15.75" x14ac:dyDescent="0.25">
      <c r="K837" s="12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  <row r="841" spans="11:11" ht="15.75" x14ac:dyDescent="0.25">
      <c r="K841" s="12"/>
    </row>
    <row r="842" spans="11:11" ht="15.75" x14ac:dyDescent="0.25">
      <c r="K842" s="12"/>
    </row>
    <row r="843" spans="11:11" ht="15.75" x14ac:dyDescent="0.25">
      <c r="K843" s="12"/>
    </row>
    <row r="844" spans="11:11" ht="15.75" x14ac:dyDescent="0.25">
      <c r="K844" s="12"/>
    </row>
    <row r="845" spans="11:11" ht="15.75" x14ac:dyDescent="0.25">
      <c r="K845" s="12"/>
    </row>
    <row r="846" spans="11:11" ht="15.75" x14ac:dyDescent="0.25">
      <c r="K846" s="12"/>
    </row>
    <row r="847" spans="11:11" ht="15.75" x14ac:dyDescent="0.25">
      <c r="K847" s="12"/>
    </row>
    <row r="848" spans="11:11" ht="15.75" x14ac:dyDescent="0.25">
      <c r="K848" s="12"/>
    </row>
    <row r="849" spans="11:11" ht="15.75" x14ac:dyDescent="0.25">
      <c r="K849" s="12"/>
    </row>
    <row r="850" spans="11:11" ht="15.75" x14ac:dyDescent="0.25">
      <c r="K850" s="12"/>
    </row>
    <row r="851" spans="11:11" ht="15.75" x14ac:dyDescent="0.25">
      <c r="K851" s="12"/>
    </row>
    <row r="852" spans="11:11" ht="15.75" x14ac:dyDescent="0.25">
      <c r="K852" s="12"/>
    </row>
    <row r="853" spans="11:11" ht="15.75" x14ac:dyDescent="0.25">
      <c r="K853" s="12"/>
    </row>
    <row r="854" spans="11:11" ht="15.75" x14ac:dyDescent="0.25">
      <c r="K854" s="12"/>
    </row>
    <row r="855" spans="11:11" ht="15.75" x14ac:dyDescent="0.25">
      <c r="K855" s="12"/>
    </row>
    <row r="856" spans="11:11" ht="15.75" x14ac:dyDescent="0.25">
      <c r="K856" s="12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</sheetData>
  <conditionalFormatting sqref="A645:F645 K652:K670 G664:J666 G667:H668 I667:J670 F669:H669 G670:H670 L679:R686 H683:H684 J683:J685 G685:H685 F686:J686 B687:R691 K694:K771">
    <cfRule type="expression" dxfId="28" priority="2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A564:A691 G565:H565 I565:J567 H566:H567 B568:J578 K577:L578 M577:R581 B577:G646 K578:K603 L579 G579:J580 K580:L580 L581 H581:J582 I581:I587 L582:R590 B583:J584 G585:H585 J585:J587 H586 G587:H587 B588:J589 H590:J590 I590:I602 J591:R591 H591:H594 J592:J602 L592:R603 B595:H597 G598:H598 H599:H600 G601:H602 G603:J603 H604:J606 K604:R612 G607:J607 F608:J608 E609:H609 I609:J612 H610 G611:H612 A613:B613 G613:R616 H617:R622 A619:B619 A623:B623 H623:J623 J623:R630 H624:H626 I624:I654 F627:H627 H628 G629:H630 K630:K644 F631:H631 J631:J632 L631:R632 G632:H632 H633 J633:R633 H634:R634 H635:H636 J635:J636 L635:R670 H637:K637 J638:K638 H638:I639 J639:J640 H640 H641:J641 K641:L644 G642:J642 J643:J644 G643:H648 J645:K653 E647:G651 B647:D653 J648:L648 B648:G671 H649:H650 F651:H651 E652:H653 G654:J655 G656:K658 B659:J662 I662:I663 B662:H666 J663 D667:D673 I670:I685 G671:L671 M671:R678 B672:C672 E672:H672 J672:J676 L673:L676 B673:H677 B673:G686 J677:R677 G678:H678 L678 J678:J681 F679:H679 H680:H681 H682:J682 I692 A692:G693 K692:L693">
    <cfRule type="expression" dxfId="27" priority="16">
      <formula>CELL("row")=ROW()</formula>
    </cfRule>
  </conditionalFormatting>
  <conditionalFormatting sqref="B257:G290 B291:B300 C291:G301">
    <cfRule type="expression" dxfId="26" priority="14">
      <formula>CELL("row")=ROW()</formula>
    </cfRule>
  </conditionalFormatting>
  <conditionalFormatting sqref="F398">
    <cfRule type="expression" dxfId="25" priority="9">
      <formula>CELL("row")=ROW()</formula>
    </cfRule>
  </conditionalFormatting>
  <conditionalFormatting sqref="F420">
    <cfRule type="expression" dxfId="24" priority="8">
      <formula>CELL("row")=ROW()</formula>
    </cfRule>
  </conditionalFormatting>
  <conditionalFormatting sqref="F326:G326">
    <cfRule type="expression" dxfId="23" priority="11">
      <formula>CELL("row")=ROW()</formula>
    </cfRule>
  </conditionalFormatting>
  <conditionalFormatting sqref="G266">
    <cfRule type="expression" dxfId="22" priority="13">
      <formula>CELL("row")=ROW()</formula>
    </cfRule>
  </conditionalFormatting>
  <conditionalFormatting sqref="I558">
    <cfRule type="expression" dxfId="21" priority="4">
      <formula>CELL("row")=ROW()</formula>
    </cfRule>
  </conditionalFormatting>
  <conditionalFormatting sqref="K672:K686">
    <cfRule type="expression" dxfId="20" priority="1">
      <formula>CELL("row")=ROW()</formula>
    </cfRule>
  </conditionalFormatting>
  <conditionalFormatting sqref="L532:L535">
    <cfRule type="expression" dxfId="19" priority="6">
      <formula>CELL("row")=ROW()</formula>
    </cfRule>
  </conditionalFormatting>
  <conditionalFormatting sqref="M692:O693">
    <cfRule type="expression" dxfId="18" priority="25">
      <formula>ROW(O93)=HighlightRow</formula>
    </cfRule>
  </conditionalFormatting>
  <conditionalFormatting sqref="P692:Q693">
    <cfRule type="expression" dxfId="17" priority="29">
      <formula>ROW(S93)=HighlightRow</formula>
    </cfRule>
  </conditionalFormatting>
  <conditionalFormatting sqref="S105:XFD105">
    <cfRule type="expression" dxfId="16" priority="30">
      <formula>ROW(T94)=HighlightRow</formula>
    </cfRule>
  </conditionalFormatting>
  <conditionalFormatting sqref="S106:XFD114">
    <cfRule type="expression" dxfId="15" priority="27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G1159" zoomScaleNormal="100" workbookViewId="0">
      <selection activeCell="I1171" sqref="I117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32"/>
  <sheetViews>
    <sheetView tabSelected="1" topLeftCell="A413" zoomScaleNormal="100" workbookViewId="0">
      <selection activeCell="B419" sqref="B419:E42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31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8155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26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6" t="s">
        <v>654</v>
      </c>
      <c r="C421" s="26"/>
      <c r="D421" s="26" t="s">
        <v>10173</v>
      </c>
      <c r="E421" s="26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6" t="s">
        <v>10176</v>
      </c>
      <c r="C422" s="26">
        <v>6005669330</v>
      </c>
      <c r="D422" s="26" t="s">
        <v>10174</v>
      </c>
      <c r="E422" s="26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6" t="s">
        <v>10150</v>
      </c>
      <c r="C423" s="26">
        <v>6005538221</v>
      </c>
      <c r="D423" s="26" t="s">
        <v>10175</v>
      </c>
      <c r="E423" s="26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6" t="s">
        <v>10187</v>
      </c>
      <c r="C424" s="26">
        <v>9622844543</v>
      </c>
      <c r="D424" s="26" t="s">
        <v>10192</v>
      </c>
      <c r="E424" s="26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6" t="s">
        <v>10194</v>
      </c>
      <c r="C425" s="26">
        <v>9797996370</v>
      </c>
      <c r="D425" s="26" t="s">
        <v>10193</v>
      </c>
      <c r="E425" s="26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6" t="s">
        <v>10184</v>
      </c>
      <c r="C426" s="26">
        <v>7780959516</v>
      </c>
      <c r="D426" s="26" t="s">
        <v>10195</v>
      </c>
      <c r="E426" s="26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6" t="s">
        <v>10214</v>
      </c>
      <c r="C427" s="26">
        <v>8825098042</v>
      </c>
      <c r="D427" s="26" t="s">
        <v>10215</v>
      </c>
      <c r="E427" s="26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12"/>
      <c r="C428" s="12"/>
      <c r="D428" s="12"/>
      <c r="E428" s="12"/>
      <c r="F428" s="14"/>
      <c r="G428" s="14"/>
      <c r="H428" s="12"/>
    </row>
    <row r="429" spans="1:8" ht="15.75" x14ac:dyDescent="0.25">
      <c r="A429" s="12">
        <f t="shared" si="6"/>
        <v>427</v>
      </c>
      <c r="B429" s="12"/>
      <c r="C429" s="12"/>
      <c r="D429" s="12"/>
      <c r="E429" s="12"/>
      <c r="F429" s="14"/>
      <c r="G429" s="14"/>
      <c r="H429" s="12"/>
    </row>
    <row r="430" spans="1:8" ht="15.75" x14ac:dyDescent="0.25">
      <c r="A430" s="12">
        <f t="shared" si="6"/>
        <v>428</v>
      </c>
      <c r="B430" s="12"/>
      <c r="C430" s="12"/>
      <c r="D430" s="12"/>
      <c r="E430" s="12"/>
      <c r="F430" s="14"/>
      <c r="G430" s="14"/>
      <c r="H430" s="12"/>
    </row>
    <row r="431" spans="1:8" ht="15.75" x14ac:dyDescent="0.25">
      <c r="A431" s="12">
        <f t="shared" si="6"/>
        <v>429</v>
      </c>
      <c r="B431" s="12"/>
      <c r="C431" s="12"/>
      <c r="D431" s="12"/>
      <c r="E431" s="12"/>
      <c r="F431" s="14"/>
      <c r="G431" s="14"/>
      <c r="H431" s="12"/>
    </row>
    <row r="432" spans="1:8" x14ac:dyDescent="0.25">
      <c r="B432" s="26"/>
      <c r="C432" s="26"/>
      <c r="D432" s="26"/>
    </row>
  </sheetData>
  <mergeCells count="1">
    <mergeCell ref="A1:H1"/>
  </mergeCells>
  <phoneticPr fontId="27" type="noConversion"/>
  <conditionalFormatting sqref="B419:B420">
    <cfRule type="expression" dxfId="14" priority="5">
      <formula>CELL("row")=ROW()</formula>
    </cfRule>
  </conditionalFormatting>
  <conditionalFormatting sqref="B426">
    <cfRule type="expression" dxfId="13" priority="1">
      <formula>CELL("row")=ROW()</formula>
    </cfRule>
  </conditionalFormatting>
  <conditionalFormatting sqref="B252:C252 B432:D432">
    <cfRule type="expression" dxfId="12" priority="21">
      <formula>CELL("row")=ROW()</formula>
    </cfRule>
  </conditionalFormatting>
  <conditionalFormatting sqref="B192:D193 D194:D195 B196:D211">
    <cfRule type="expression" dxfId="11" priority="27">
      <formula>CELL("row")=ROW()</formula>
    </cfRule>
  </conditionalFormatting>
  <conditionalFormatting sqref="B3:E309 B304:C313 D310:E310">
    <cfRule type="expression" dxfId="10" priority="48">
      <formula>CELL("row")=ROW()</formula>
    </cfRule>
  </conditionalFormatting>
  <conditionalFormatting sqref="B311:E431">
    <cfRule type="expression" dxfId="9" priority="7">
      <formula>CELL("row")=ROW()</formula>
    </cfRule>
  </conditionalFormatting>
  <conditionalFormatting sqref="C104">
    <cfRule type="expression" dxfId="8" priority="47">
      <formula>CELL("row")=ROW()</formula>
    </cfRule>
  </conditionalFormatting>
  <conditionalFormatting sqref="C123">
    <cfRule type="expression" dxfId="7" priority="44">
      <formula>CELL("row")=ROW()</formula>
    </cfRule>
  </conditionalFormatting>
  <conditionalFormatting sqref="C208:C209">
    <cfRule type="expression" dxfId="6" priority="25">
      <formula>CELL("row")=ROW()</formula>
    </cfRule>
  </conditionalFormatting>
  <conditionalFormatting sqref="C418:C423">
    <cfRule type="expression" dxfId="5" priority="3">
      <formula>CELL("row")=ROW()</formula>
    </cfRule>
  </conditionalFormatting>
  <conditionalFormatting sqref="C239:E244 C252:E252">
    <cfRule type="expression" dxfId="4" priority="19">
      <formula>CELL("row")=ROW()</formula>
    </cfRule>
  </conditionalFormatting>
  <conditionalFormatting sqref="D422:D423">
    <cfRule type="expression" dxfId="3" priority="2">
      <formula>CELL("row")=ROW()</formula>
    </cfRule>
  </conditionalFormatting>
  <conditionalFormatting sqref="E123">
    <cfRule type="expression" dxfId="2" priority="45">
      <formula>CELL("row")=ROW()</formula>
    </cfRule>
  </conditionalFormatting>
  <conditionalFormatting sqref="E289:E295">
    <cfRule type="expression" dxfId="1" priority="9">
      <formula>CELL("row")=ROW()</formula>
    </cfRule>
  </conditionalFormatting>
  <conditionalFormatting sqref="E416">
    <cfRule type="expression" dxfId="0" priority="6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2026-04-24T12:49:20Z</dcterms:modified>
</cp:coreProperties>
</file>