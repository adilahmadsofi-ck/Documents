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FC99C17-0F79-45B5-B273-68EDF374D21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1" i="7" l="1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H358" i="4"/>
  <c r="H359" i="4"/>
  <c r="H333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4" i="7"/>
  <c r="A3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H271" i="4"/>
  <c r="H284" i="4"/>
  <c r="H285" i="4"/>
  <c r="H286" i="4"/>
  <c r="A271" i="4"/>
  <c r="A284" i="4"/>
  <c r="A285" i="4"/>
  <c r="A286" i="4"/>
  <c r="H275" i="4"/>
  <c r="H276" i="4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H218" i="4"/>
  <c r="H217" i="4"/>
  <c r="H214" i="4"/>
  <c r="H215" i="4"/>
  <c r="H216" i="4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H195" i="4"/>
  <c r="H196" i="4"/>
  <c r="H197" i="4"/>
  <c r="H198" i="4"/>
  <c r="H199" i="4"/>
  <c r="H200" i="4"/>
  <c r="H201" i="4"/>
  <c r="H202" i="4"/>
  <c r="H194" i="4"/>
  <c r="H193" i="4"/>
  <c r="H192" i="4"/>
  <c r="H191" i="4"/>
  <c r="H190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H130" i="4"/>
  <c r="H6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<sst xmlns="http://schemas.openxmlformats.org/spreadsheetml/2006/main" count="20971" uniqueCount="8188">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</sst>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10"/>
      <color rgb="FF00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31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8" dataDxfId="87">
  <autoFilter ref="A1:R374" xr:uid="{97E63F84-BDFB-4C38-B1FD-28318E0D1D3F}"/>
  <tableColumns count="18">
    <tableColumn id="1" xr3:uid="{DEBB3640-E433-4779-93BC-95B8FB492623}" name="S.NO" dataDxfId="86">
      <calculatedColumnFormula>ROW()-1</calculatedColumnFormula>
    </tableColumn>
    <tableColumn id="13" xr3:uid="{86C56767-9BFE-4154-9FC1-CEA7C183815E}" name="APPLICATION NO." dataDxfId="85"/>
    <tableColumn id="2" xr3:uid="{6ABB4EDF-0F58-40D7-979C-D37D8D91A6BC}" name="CHASSIS" dataDxfId="84"/>
    <tableColumn id="17" xr3:uid="{0BBF5E4D-B8B0-4055-8D5F-3A6BB4D4A4DA}" name="ENGINE NO." dataDxfId="83"/>
    <tableColumn id="3" xr3:uid="{285CC4F4-4CD1-4FFC-A101-ED051DA40438}" name="NAME" dataDxfId="82"/>
    <tableColumn id="4" xr3:uid="{28DC8B59-EFA0-4502-86B0-033B0B60D615}" name="MODEL" dataDxfId="81"/>
    <tableColumn id="14" xr3:uid="{B25F5A6A-3B72-4772-B75C-D86670F35131}" name="COLOR" dataDxfId="80"/>
    <tableColumn id="15" xr3:uid="{22F5E9AE-FC4E-4EBD-ADBF-5C93F85B331F}" name="RTO" dataDxfId="7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8"/>
    <tableColumn id="6" xr3:uid="{9942893D-0703-456F-8072-CD136C7B4052}" name="DATE OF REG" dataDxfId="77"/>
    <tableColumn id="12" xr3:uid="{CC83ADC7-1924-4CE0-83FB-B2DFBEF7A193}" name="CONTACT" dataDxfId="76"/>
    <tableColumn id="7" xr3:uid="{3AD2B0D9-D7A5-46E0-B596-F6B7F1CDDEA6}" name="DSE" dataDxfId="75"/>
    <tableColumn id="8" xr3:uid="{475221AE-3FDC-4CED-B76C-4DA1DD4F8AD9}" name="RC RECEIVED BY" dataDxfId="74"/>
    <tableColumn id="9" xr3:uid="{F594ED7D-6966-47AC-A5C3-25754B73A3CC}" name="DATE" dataDxfId="73"/>
    <tableColumn id="10" xr3:uid="{452E3ECD-E927-4EC7-A8A2-4A866233750E}" name="FASTTAG" dataDxfId="72"/>
    <tableColumn id="11" xr3:uid="{CFEE5573-D700-4B26-B382-BCA8210C54C2}" name="DATED" dataDxfId="71"/>
    <tableColumn id="16" xr3:uid="{07363D0C-2FBE-403B-A617-BDB5768FAC43}" name="FT STATUS" dataDxfId="70"/>
    <tableColumn id="19" xr3:uid="{9456CF5E-F4D1-41FB-BAEA-332735A8583D}" name="REMARKS" dataDxfId="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8" dataDxfId="66" headerRowBorderDxfId="67" tableBorderDxfId="65">
  <autoFilter ref="A1:U1475" xr:uid="{D370B51C-D08F-47BE-AAB1-EC19B1CB5D0A}"/>
  <tableColumns count="21">
    <tableColumn id="1" xr3:uid="{F2AB5776-2910-4922-8F7A-A29B241AFBFB}" name="S.NO" dataDxfId="64"/>
    <tableColumn id="2" xr3:uid="{BD6FD91D-E737-4D6A-B00A-D80EC1A61CA8}" name="DATE" dataDxfId="63"/>
    <tableColumn id="3" xr3:uid="{523BFE7D-9361-4DD0-92B3-69A6F8F0C3E9}" name="CUSTOMER NAME" dataDxfId="62"/>
    <tableColumn id="4" xr3:uid="{D470DE80-5E84-419F-ABF9-6269311CD45E}" name="MARUTI" dataDxfId="61"/>
    <tableColumn id="5" xr3:uid="{89C10B6F-C9EE-4AD2-A610-262BFCF29B4E}" name="MODEL OR VARIANT" dataDxfId="60"/>
    <tableColumn id="6" xr3:uid="{9CB69D3E-706F-4EED-A315-D5399BE00D5C}" name="RTO" dataDxfId="59"/>
    <tableColumn id="7" xr3:uid="{2FB81954-C8D6-43B3-92E2-574B07BBFCCB}" name="VEHICLE CLASS" dataDxfId="58"/>
    <tableColumn id="8" xr3:uid="{1892A735-1187-4E6C-8786-9B173567AAD2}" name="REG. NO" dataDxfId="57"/>
    <tableColumn id="9" xr3:uid="{AFB37B1C-50E7-42BE-BC49-27B4D7E4E829}" name="VIN" dataDxfId="56"/>
    <tableColumn id="10" xr3:uid="{A3569458-1056-4E90-B079-94E3430A5743}" name="APPLICATION NO." dataDxfId="55"/>
    <tableColumn id="11" xr3:uid="{E25E7D92-4EC4-485D-93B8-A15B0538604A}" name="RTO AMMOUNT " dataDxfId="54"/>
    <tableColumn id="12" xr3:uid="{DB89535A-8F36-4EF8-B62C-86ABB378F51F}" name="HSRP" dataDxfId="53"/>
    <tableColumn id="13" xr3:uid="{6BD25826-954F-49C4-BE9E-24422B1B85BE}" name="ACCOUNT" dataDxfId="52"/>
    <tableColumn id="14" xr3:uid="{974951AE-D99C-487A-9DB5-065DA8DD25D4}" name="RM NAME" dataDxfId="51"/>
    <tableColumn id="15" xr3:uid="{FA4014CD-BE60-4554-9D6D-C0CC54B2CA05}" name="PAYMENT MODE" dataDxfId="50"/>
    <tableColumn id="16" xr3:uid="{84C48B22-72C9-4BD7-86AD-D8ECD87C3A64}" name="FILE PUNCHED BY" dataDxfId="49"/>
    <tableColumn id="17" xr3:uid="{87E46E14-6F6C-41D4-BBF8-CEAFAFE4CA8F}" name="PAYMENT ID" dataDxfId="48"/>
    <tableColumn id="18" xr3:uid="{0F2CD467-C868-4769-B436-AE2A25413B52}" name="RC STATUS" dataDxfId="47"/>
    <tableColumn id="19" xr3:uid="{0A9FDBF9-6418-4F2B-8B46-BE05C8150A04}" name="RC GIVEN DATE" dataDxfId="46"/>
    <tableColumn id="20" xr3:uid="{3A50F2B6-47D6-4A09-AA43-188FC568EA57}" name="FASTTAG ISSUE" dataDxfId="45"/>
    <tableColumn id="21" xr3:uid="{E4802D5D-D65F-42D3-B57E-E27729185964}" name="FASTTAG ISSUE DATE 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70" totalsRowShown="0" headerRowDxfId="43" dataDxfId="42">
  <autoFilter ref="A2:H170" xr:uid="{B21CDF53-EB04-406A-8D52-FCF5CCB609E9}"/>
  <sortState xmlns:xlrd2="http://schemas.microsoft.com/office/spreadsheetml/2017/richdata2" ref="A3:H166">
    <sortCondition ref="D2:D166"/>
  </sortState>
  <tableColumns count="8">
    <tableColumn id="1" xr3:uid="{E7104F17-DBE3-4DF1-9933-FFCDDC61A4A1}" name="S.No." dataDxfId="41"/>
    <tableColumn id="11" xr3:uid="{7AA66E15-5D81-45A6-A480-BC2F7EFDEB4C}" name="Name" dataDxfId="40"/>
    <tableColumn id="10" xr3:uid="{DA1D923C-25B3-4F76-823C-435E6464FF55}" name="Contact" dataDxfId="39"/>
    <tableColumn id="2" xr3:uid="{5FEBD558-5EB7-4421-BA25-DCAC1134B168}" name="Barcode No." dataDxfId="38"/>
    <tableColumn id="12" xr3:uid="{77758C8B-F2C8-47C0-B104-570729F9693B}" name="Reg Num" dataDxfId="37"/>
    <tableColumn id="5" xr3:uid="{9AC97A3F-3009-4A59-ACCF-A178780E6F61}" name="Date" dataDxfId="36"/>
    <tableColumn id="7" xr3:uid="{82C8F4C5-8489-4228-83CC-0B9666328CDD}" name="CHANNEL" dataDxfId="35"/>
    <tableColumn id="8" xr3:uid="{DDF1FC61-A0D6-46E9-9515-6DDC5AB1E932}" name="Statu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2"/>
    <tableColumn id="2" xr3:uid="{1E57C5CE-907A-4DF0-BCA2-BBCD2651216C}" name="APPLICATION NO." dataDxfId="31"/>
    <tableColumn id="3" xr3:uid="{F626713A-3C61-423D-BD37-451203C3E29C}" name="CHASSIS" dataDxfId="30"/>
    <tableColumn id="4" xr3:uid="{32C5A048-ADD8-4648-8106-9F20D6757D66}" name="NAME" dataDxfId="29"/>
    <tableColumn id="5" xr3:uid="{BA1FDE8E-99ED-4918-A545-B2E041B306D6}" name="MODEL" dataDxfId="28"/>
    <tableColumn id="6" xr3:uid="{872ECA2D-515D-4EDE-B60A-82A8BDEFEDCC}" name="COLOR" dataDxfId="27"/>
    <tableColumn id="7" xr3:uid="{C729A2AA-8F61-4959-9BE7-9F1BD3A49990}" name="RTO" dataDxfId="26"/>
    <tableColumn id="8" xr3:uid="{49CDED17-8118-4E4F-BBF5-6407D0788647}" name="REG NUM" dataDxfId="25"/>
    <tableColumn id="9" xr3:uid="{6E044422-F791-464A-944A-0668F0C8112F}" name="DATE OF REG" dataDxfId="24"/>
    <tableColumn id="11" xr3:uid="{942D52E6-8B19-4B1A-ADDF-6D959D8E7BE1}" name="DSE" dataDxfId="23"/>
    <tableColumn id="12" xr3:uid="{04B58679-3282-4D6D-BF3E-2233E3C4DC81}" name="RC RECEIVED BY" dataDxfId="2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1" tableBorderDxfId="20" totalsRowBorderDxfId="19">
  <autoFilter ref="B27:E32" xr:uid="{859DCBAE-920B-4469-9E0B-BF5ADC0248E9}"/>
  <tableColumns count="4">
    <tableColumn id="1" xr3:uid="{898528DA-B3AC-435C-B00C-9234887E5F11}" name="REG NUM" dataDxfId="18"/>
    <tableColumn id="2" xr3:uid="{89440296-A536-440E-A74B-186B5A98AE6C}" name="DATE OF REG" dataDxfId="17"/>
    <tableColumn id="3" xr3:uid="{7A04E3EB-93DA-4428-AB0C-3D251E144655}" name="RC RECEIVED BY" dataDxfId="16"/>
    <tableColumn id="4" xr3:uid="{0D350352-EB5F-413B-8CE6-3B46D80C3172}" name="DAT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G352" zoomScaleNormal="100" workbookViewId="0">
      <selection activeCell="J369" sqref="J3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 t="s">
        <v>7456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 t="s">
        <v>7618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 t="s">
        <v>8076</v>
      </c>
      <c r="N185" s="48">
        <v>46027</v>
      </c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 t="s">
        <v>7602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 t="s">
        <v>8095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 t="s">
        <v>8174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8124</v>
      </c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 t="s">
        <v>7774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 t="s">
        <v>7955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 t="s">
        <v>8125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8168</v>
      </c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 t="s">
        <v>7716</v>
      </c>
      <c r="N304" s="48">
        <v>46028</v>
      </c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 t="s">
        <v>7602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 t="s">
        <v>8165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 t="s">
        <v>8094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 t="s">
        <v>7774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 t="s">
        <v>7774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 t="s">
        <v>7774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 t="s">
        <v>8165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 t="s">
        <v>8165</v>
      </c>
      <c r="N323" s="48">
        <v>46029</v>
      </c>
      <c r="O323" s="47" t="s">
        <v>23</v>
      </c>
      <c r="P323" s="50">
        <v>46029</v>
      </c>
      <c r="Q323" s="47" t="s">
        <v>8168</v>
      </c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 t="s">
        <v>8094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9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 t="s">
        <v>7618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 t="s">
        <v>7776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 t="s">
        <v>7596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6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21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21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 t="s">
        <v>7966</v>
      </c>
      <c r="C335" s="47" t="s">
        <v>7963</v>
      </c>
      <c r="D335" s="47" t="s">
        <v>7964</v>
      </c>
      <c r="E335" s="47" t="s">
        <v>7965</v>
      </c>
      <c r="F335" s="47" t="s">
        <v>119</v>
      </c>
      <c r="G335" s="47" t="s">
        <v>200</v>
      </c>
      <c r="H335" s="47" t="str">
        <f t="shared" si="21"/>
        <v>PULWAMA</v>
      </c>
      <c r="I335" s="47" t="s">
        <v>7967</v>
      </c>
      <c r="J335" s="48">
        <v>46025</v>
      </c>
      <c r="K335" s="47">
        <v>7006861153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21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21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 t="s">
        <v>7596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6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21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 t="s">
        <v>7774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21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 t="s">
        <v>7602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6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21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 t="s">
        <v>7602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6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21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 t="s">
        <v>7715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21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21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6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21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 t="s">
        <v>7618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6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21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21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 t="s">
        <v>7618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21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 t="s">
        <v>8035</v>
      </c>
      <c r="C348" s="47" t="s">
        <v>8033</v>
      </c>
      <c r="D348" s="47" t="s">
        <v>8034</v>
      </c>
      <c r="E348" s="47" t="s">
        <v>6433</v>
      </c>
      <c r="F348" s="47" t="s">
        <v>7402</v>
      </c>
      <c r="G348" s="47" t="s">
        <v>200</v>
      </c>
      <c r="H348" s="47" t="str">
        <f t="shared" si="21"/>
        <v>BARAMULLA</v>
      </c>
      <c r="I348" s="47" t="s">
        <v>8081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 t="s">
        <v>8039</v>
      </c>
      <c r="C349" s="47" t="s">
        <v>8036</v>
      </c>
      <c r="D349" s="47" t="s">
        <v>8037</v>
      </c>
      <c r="E349" s="47" t="s">
        <v>8038</v>
      </c>
      <c r="F349" s="47" t="s">
        <v>102</v>
      </c>
      <c r="G349" s="47" t="s">
        <v>181</v>
      </c>
      <c r="H349" s="47" t="str">
        <f t="shared" si="21"/>
        <v>NEW</v>
      </c>
      <c r="I349" s="47" t="s">
        <v>8082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 t="s">
        <v>8042</v>
      </c>
      <c r="C350" s="47" t="s">
        <v>8040</v>
      </c>
      <c r="D350" s="47" t="s">
        <v>8041</v>
      </c>
      <c r="E350" s="47" t="s">
        <v>556</v>
      </c>
      <c r="F350" s="47" t="s">
        <v>119</v>
      </c>
      <c r="G350" s="47" t="s">
        <v>200</v>
      </c>
      <c r="H350" s="47" t="str">
        <f t="shared" si="21"/>
        <v>PULWAMA</v>
      </c>
      <c r="I350" s="47" t="s">
        <v>8083</v>
      </c>
      <c r="J350" s="48">
        <v>46027</v>
      </c>
      <c r="K350" s="47">
        <v>7780961447</v>
      </c>
      <c r="L350" s="47" t="s">
        <v>6521</v>
      </c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 t="s">
        <v>8046</v>
      </c>
      <c r="C351" s="47" t="s">
        <v>8043</v>
      </c>
      <c r="D351" s="47" t="s">
        <v>8044</v>
      </c>
      <c r="E351" s="47" t="s">
        <v>8045</v>
      </c>
      <c r="F351" s="47" t="s">
        <v>31</v>
      </c>
      <c r="G351" s="47" t="s">
        <v>199</v>
      </c>
      <c r="H351" s="47" t="str">
        <f t="shared" si="21"/>
        <v>NEW</v>
      </c>
      <c r="I351" s="47" t="s">
        <v>8086</v>
      </c>
      <c r="J351" s="48">
        <v>46027</v>
      </c>
      <c r="K351" s="47">
        <v>9906284454</v>
      </c>
      <c r="L351" s="47" t="s">
        <v>2172</v>
      </c>
      <c r="M351" s="49" t="s">
        <v>8165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6"/>
        <v>351</v>
      </c>
      <c r="B352" s="47" t="s">
        <v>8047</v>
      </c>
      <c r="C352" s="47" t="s">
        <v>8048</v>
      </c>
      <c r="D352" s="47" t="s">
        <v>8049</v>
      </c>
      <c r="E352" s="47" t="s">
        <v>8050</v>
      </c>
      <c r="F352" s="47" t="s">
        <v>119</v>
      </c>
      <c r="G352" s="47" t="s">
        <v>175</v>
      </c>
      <c r="H352" s="47" t="str">
        <f t="shared" si="21"/>
        <v>SRINAGAR</v>
      </c>
      <c r="I352" s="47" t="s">
        <v>8091</v>
      </c>
      <c r="J352" s="48">
        <v>46027</v>
      </c>
      <c r="K352" s="47">
        <v>9070111588</v>
      </c>
      <c r="L352" s="47" t="s">
        <v>194</v>
      </c>
      <c r="M352" s="49" t="s">
        <v>7596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6"/>
        <v>352</v>
      </c>
      <c r="B353" s="47" t="s">
        <v>8051</v>
      </c>
      <c r="C353" s="47" t="s">
        <v>8052</v>
      </c>
      <c r="D353" s="47" t="s">
        <v>8053</v>
      </c>
      <c r="E353" s="47" t="s">
        <v>8054</v>
      </c>
      <c r="F353" s="47" t="s">
        <v>8055</v>
      </c>
      <c r="G353" s="47" t="s">
        <v>226</v>
      </c>
      <c r="H353" s="47" t="str">
        <f t="shared" si="21"/>
        <v>SRINAGAR</v>
      </c>
      <c r="I353" s="47" t="s">
        <v>8090</v>
      </c>
      <c r="J353" s="48">
        <v>46027</v>
      </c>
      <c r="K353" s="47">
        <v>9797897619</v>
      </c>
      <c r="L353" s="47" t="s">
        <v>26</v>
      </c>
      <c r="M353" s="49" t="s">
        <v>7456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 t="s">
        <v>8059</v>
      </c>
      <c r="C354" s="47" t="s">
        <v>8056</v>
      </c>
      <c r="D354" s="47" t="s">
        <v>8057</v>
      </c>
      <c r="E354" s="47" t="s">
        <v>8058</v>
      </c>
      <c r="F354" s="47" t="s">
        <v>12</v>
      </c>
      <c r="G354" s="47" t="s">
        <v>200</v>
      </c>
      <c r="H354" s="47" t="str">
        <f t="shared" si="21"/>
        <v>PULWAMA</v>
      </c>
      <c r="I354" s="47" t="s">
        <v>8084</v>
      </c>
      <c r="J354" s="48">
        <v>46027</v>
      </c>
      <c r="K354" s="47">
        <v>7298487838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 t="s">
        <v>8060</v>
      </c>
      <c r="C355" s="47" t="s">
        <v>8061</v>
      </c>
      <c r="D355" s="47" t="s">
        <v>8062</v>
      </c>
      <c r="E355" s="47" t="s">
        <v>8063</v>
      </c>
      <c r="F355" s="47" t="s">
        <v>31</v>
      </c>
      <c r="G355" s="47" t="s">
        <v>221</v>
      </c>
      <c r="H355" s="47" t="str">
        <f t="shared" si="21"/>
        <v>SRINAGAR</v>
      </c>
      <c r="I355" s="47" t="s">
        <v>8087</v>
      </c>
      <c r="J355" s="48">
        <v>46027</v>
      </c>
      <c r="K355" s="47">
        <v>9070599346</v>
      </c>
      <c r="L355" s="47" t="s">
        <v>166</v>
      </c>
      <c r="M355" s="49"/>
      <c r="N355" s="48"/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6"/>
        <v>355</v>
      </c>
      <c r="B356" s="47" t="s">
        <v>8064</v>
      </c>
      <c r="C356" s="47" t="s">
        <v>8065</v>
      </c>
      <c r="D356" s="47" t="s">
        <v>8066</v>
      </c>
      <c r="E356" s="47" t="s">
        <v>8067</v>
      </c>
      <c r="F356" s="47" t="s">
        <v>119</v>
      </c>
      <c r="G356" s="47" t="s">
        <v>200</v>
      </c>
      <c r="H356" s="47" t="str">
        <f t="shared" si="21"/>
        <v>SHOPIAN</v>
      </c>
      <c r="I356" s="47" t="s">
        <v>8089</v>
      </c>
      <c r="J356" s="48">
        <v>46027</v>
      </c>
      <c r="K356" s="47">
        <v>9797071432</v>
      </c>
      <c r="L356" s="47" t="s">
        <v>6540</v>
      </c>
      <c r="M356" s="49"/>
      <c r="N356" s="48"/>
      <c r="O356" s="47" t="s">
        <v>23</v>
      </c>
      <c r="P356" s="50">
        <v>46028</v>
      </c>
      <c r="Q356" s="47" t="s">
        <v>6460</v>
      </c>
      <c r="R356" s="47" t="s">
        <v>8124</v>
      </c>
    </row>
    <row r="357" spans="1:18" x14ac:dyDescent="0.25">
      <c r="A357" s="47">
        <f t="shared" si="16"/>
        <v>356</v>
      </c>
      <c r="B357" s="47" t="s">
        <v>8068</v>
      </c>
      <c r="C357" s="47" t="s">
        <v>8069</v>
      </c>
      <c r="D357" s="47" t="s">
        <v>8070</v>
      </c>
      <c r="E357" s="47" t="s">
        <v>8071</v>
      </c>
      <c r="F357" s="47" t="s">
        <v>5</v>
      </c>
      <c r="G357" s="47" t="s">
        <v>200</v>
      </c>
      <c r="H357" s="47" t="str">
        <f t="shared" si="21"/>
        <v>PULWAMA</v>
      </c>
      <c r="I357" s="47" t="s">
        <v>8085</v>
      </c>
      <c r="J357" s="48">
        <v>46027</v>
      </c>
      <c r="K357" s="47">
        <v>9419278824</v>
      </c>
      <c r="L357" s="47" t="s">
        <v>6521</v>
      </c>
      <c r="M357" s="49"/>
      <c r="N357" s="48"/>
      <c r="O357" s="47"/>
      <c r="P357" s="50"/>
      <c r="Q357" s="47"/>
      <c r="R357" s="47" t="s">
        <v>8093</v>
      </c>
    </row>
    <row r="358" spans="1:18" x14ac:dyDescent="0.25">
      <c r="A358" s="47">
        <f t="shared" si="16"/>
        <v>357</v>
      </c>
      <c r="B358" s="47" t="s">
        <v>8072</v>
      </c>
      <c r="C358" s="47" t="s">
        <v>8073</v>
      </c>
      <c r="D358" s="47" t="s">
        <v>8074</v>
      </c>
      <c r="E358" s="47" t="s">
        <v>8075</v>
      </c>
      <c r="F358" s="47" t="s">
        <v>31</v>
      </c>
      <c r="G358" s="47" t="s">
        <v>199</v>
      </c>
      <c r="H358" s="47" t="str">
        <f t="shared" si="21"/>
        <v>NEW</v>
      </c>
      <c r="I358" s="47" t="s">
        <v>8088</v>
      </c>
      <c r="J358" s="48">
        <v>46027</v>
      </c>
      <c r="K358" s="47">
        <v>6005254071</v>
      </c>
      <c r="L358" s="47" t="s">
        <v>194</v>
      </c>
      <c r="M358" s="49" t="s">
        <v>7596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6"/>
        <v>358</v>
      </c>
      <c r="B359" s="47" t="s">
        <v>8080</v>
      </c>
      <c r="C359" s="47" t="s">
        <v>8077</v>
      </c>
      <c r="D359" s="47" t="s">
        <v>8078</v>
      </c>
      <c r="E359" s="47" t="s">
        <v>8079</v>
      </c>
      <c r="F359" s="47" t="s">
        <v>37</v>
      </c>
      <c r="G359" s="47" t="s">
        <v>199</v>
      </c>
      <c r="H359" s="47" t="str">
        <f t="shared" si="21"/>
        <v>NEW</v>
      </c>
      <c r="I359" s="47" t="s">
        <v>8132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 t="s">
        <v>8099</v>
      </c>
      <c r="C360" s="47" t="s">
        <v>8096</v>
      </c>
      <c r="D360" s="47" t="s">
        <v>8097</v>
      </c>
      <c r="E360" s="47" t="s">
        <v>8098</v>
      </c>
      <c r="F360" s="47" t="s">
        <v>31</v>
      </c>
      <c r="G360" s="47" t="s">
        <v>200</v>
      </c>
      <c r="H360" s="47" t="str">
        <f t="shared" ref="H360:H374" si="22">IF(LEFT(I360,4)="JK13","PULWAMA",IF(LEFT(I360,4)="JK01","SRINAGAR",IF(LEFT(I360,4)="JK04","BUDGAM",IF(LEFT(I360,4)="JK03","ANANTNAG",IF(LEFT(I360,4)="JK05","BARAMULLA",IF(LEFT(I360,4)="25BH","BHARAT",IF(LEFT(I360,4)="JK12","POONCH",IF(LEFT(I360,4)="JK18","KULGAM",IF(LEFT(I360,4)="JK22","SHOPIAN",IF(LEFT(I360,4)="T102","TEMP",IF(LEFT(I360,4)="JK09","KUPWARA",IF(LEFT(I360,4)="JK15","BANDIPORA",IF(LEFT(I360,4)="T112","KARGIL","NEW")))))))))))))</f>
        <v>BUDGAM</v>
      </c>
      <c r="I360" s="47" t="s">
        <v>8119</v>
      </c>
      <c r="J360" s="48">
        <v>46028</v>
      </c>
      <c r="K360" s="47">
        <v>7780804850</v>
      </c>
      <c r="L360" s="47" t="s">
        <v>2172</v>
      </c>
      <c r="M360" s="49"/>
      <c r="N360" s="48"/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6"/>
        <v>360</v>
      </c>
      <c r="B361" s="47" t="s">
        <v>8100</v>
      </c>
      <c r="C361" s="47" t="s">
        <v>8101</v>
      </c>
      <c r="D361" s="47" t="s">
        <v>8102</v>
      </c>
      <c r="E361" s="47" t="s">
        <v>8103</v>
      </c>
      <c r="F361" s="47" t="s">
        <v>31</v>
      </c>
      <c r="G361" s="47" t="s">
        <v>200</v>
      </c>
      <c r="H361" s="47" t="str">
        <f t="shared" si="22"/>
        <v>BUDGAM</v>
      </c>
      <c r="I361" s="47" t="s">
        <v>8118</v>
      </c>
      <c r="J361" s="48">
        <v>46028</v>
      </c>
      <c r="K361" s="47">
        <v>9622595048</v>
      </c>
      <c r="L361" s="47" t="s">
        <v>8104</v>
      </c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 t="s">
        <v>8105</v>
      </c>
      <c r="C362" s="47" t="s">
        <v>8106</v>
      </c>
      <c r="D362" s="47" t="s">
        <v>8107</v>
      </c>
      <c r="E362" s="47" t="s">
        <v>8108</v>
      </c>
      <c r="F362" s="47" t="s">
        <v>238</v>
      </c>
      <c r="G362" s="47" t="s">
        <v>200</v>
      </c>
      <c r="H362" s="47" t="str">
        <f t="shared" si="22"/>
        <v>SRINAGAR</v>
      </c>
      <c r="I362" s="47" t="s">
        <v>8120</v>
      </c>
      <c r="J362" s="48">
        <v>46028</v>
      </c>
      <c r="K362" s="47">
        <v>8899110779</v>
      </c>
      <c r="L362" s="47" t="s">
        <v>48</v>
      </c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 t="s">
        <v>8109</v>
      </c>
      <c r="C363" s="47" t="s">
        <v>8110</v>
      </c>
      <c r="D363" s="47" t="s">
        <v>8111</v>
      </c>
      <c r="E363" s="47" t="s">
        <v>2303</v>
      </c>
      <c r="F363" s="47" t="s">
        <v>31</v>
      </c>
      <c r="G363" s="47" t="s">
        <v>175</v>
      </c>
      <c r="H363" s="47" t="str">
        <f t="shared" si="22"/>
        <v>POONCH</v>
      </c>
      <c r="I363" s="47" t="s">
        <v>8117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 t="s">
        <v>8112</v>
      </c>
      <c r="C364" s="47" t="s">
        <v>8113</v>
      </c>
      <c r="D364" s="47" t="s">
        <v>8114</v>
      </c>
      <c r="E364" s="47" t="s">
        <v>8115</v>
      </c>
      <c r="F364" s="47" t="s">
        <v>102</v>
      </c>
      <c r="G364" s="47" t="s">
        <v>199</v>
      </c>
      <c r="H364" s="47" t="str">
        <f t="shared" si="22"/>
        <v>PULWAMA</v>
      </c>
      <c r="I364" s="47" t="s">
        <v>8116</v>
      </c>
      <c r="J364" s="48">
        <v>46028</v>
      </c>
      <c r="K364" s="47">
        <v>7889385453</v>
      </c>
      <c r="L364" s="47" t="s">
        <v>6451</v>
      </c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 t="s">
        <v>8039</v>
      </c>
      <c r="C365" s="47" t="s">
        <v>8126</v>
      </c>
      <c r="D365" s="47" t="s">
        <v>8127</v>
      </c>
      <c r="E365" s="47" t="s">
        <v>3192</v>
      </c>
      <c r="F365" s="47" t="s">
        <v>119</v>
      </c>
      <c r="G365" s="47" t="s">
        <v>221</v>
      </c>
      <c r="H365" s="47" t="str">
        <f t="shared" si="22"/>
        <v>SRINAGAR</v>
      </c>
      <c r="I365" s="47" t="s">
        <v>8166</v>
      </c>
      <c r="J365" s="48">
        <v>46028</v>
      </c>
      <c r="K365" s="47">
        <v>9906796717</v>
      </c>
      <c r="L365" s="47" t="s">
        <v>75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 t="s">
        <v>8128</v>
      </c>
      <c r="C366" s="47" t="s">
        <v>8129</v>
      </c>
      <c r="D366" s="47" t="s">
        <v>8130</v>
      </c>
      <c r="E366" s="47" t="s">
        <v>8131</v>
      </c>
      <c r="F366" s="47" t="s">
        <v>119</v>
      </c>
      <c r="G366" s="47" t="s">
        <v>175</v>
      </c>
      <c r="H366" s="47" t="str">
        <f t="shared" si="22"/>
        <v>PULWAMA</v>
      </c>
      <c r="I366" s="47" t="s">
        <v>8167</v>
      </c>
      <c r="J366" s="48">
        <v>46028</v>
      </c>
      <c r="K366" s="47">
        <v>9018734100</v>
      </c>
      <c r="L366" s="47" t="s">
        <v>166</v>
      </c>
      <c r="M366" s="49" t="s">
        <v>7776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23"/>
        <v>366</v>
      </c>
      <c r="B367" s="47" t="s">
        <v>8172</v>
      </c>
      <c r="C367" s="47" t="s">
        <v>8169</v>
      </c>
      <c r="D367" s="47" t="s">
        <v>8170</v>
      </c>
      <c r="E367" s="47" t="s">
        <v>8171</v>
      </c>
      <c r="F367" s="47" t="s">
        <v>3130</v>
      </c>
      <c r="G367" s="47" t="s">
        <v>6475</v>
      </c>
      <c r="H367" s="47" t="str">
        <f t="shared" si="22"/>
        <v>BANDIPORA</v>
      </c>
      <c r="I367" s="47" t="s">
        <v>8173</v>
      </c>
      <c r="J367" s="48">
        <v>46029</v>
      </c>
      <c r="K367" s="47">
        <v>9596443329</v>
      </c>
      <c r="L367" s="47" t="s">
        <v>6833</v>
      </c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 t="s">
        <v>8183</v>
      </c>
      <c r="C368" s="47" t="s">
        <v>8179</v>
      </c>
      <c r="D368" s="47" t="s">
        <v>8180</v>
      </c>
      <c r="E368" s="47" t="s">
        <v>8182</v>
      </c>
      <c r="F368" s="47" t="s">
        <v>8181</v>
      </c>
      <c r="G368" s="47" t="s">
        <v>200</v>
      </c>
      <c r="H368" s="47" t="str">
        <f t="shared" si="22"/>
        <v>NEW</v>
      </c>
      <c r="I368" s="47"/>
      <c r="J368" s="48">
        <v>46029</v>
      </c>
      <c r="K368" s="47">
        <v>9906409906</v>
      </c>
      <c r="L368" s="47" t="s">
        <v>61</v>
      </c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57" t="s">
        <v>8184</v>
      </c>
      <c r="C369" s="47" t="s">
        <v>8186</v>
      </c>
      <c r="D369" s="47" t="s">
        <v>8186</v>
      </c>
      <c r="E369" s="47" t="s">
        <v>8185</v>
      </c>
      <c r="F369" s="47" t="s">
        <v>5</v>
      </c>
      <c r="G369" s="47"/>
      <c r="H369" s="47" t="str">
        <f t="shared" si="22"/>
        <v>SRINAGAR</v>
      </c>
      <c r="I369" s="47" t="s">
        <v>8187</v>
      </c>
      <c r="J369" s="48"/>
      <c r="K369" s="47">
        <v>7889664350</v>
      </c>
      <c r="L369" s="47" t="s">
        <v>18</v>
      </c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4 I308:I317 H313:H314 J313:J314 H315:J328 I325:I332 K326:R330 H329:H330 J329:J333 H331:J332 L331:R374 H333 H334:J360 I375 K375:K464 H369:J374 H361:H368 J361:J368 I357:I368 K331:K370">
    <cfRule type="expression" dxfId="14" priority="7">
      <formula>CELL("row")=ROW()</formula>
    </cfRule>
  </conditionalFormatting>
  <conditionalFormatting sqref="B257:G290 B291:B300 C291:G301">
    <cfRule type="expression" dxfId="13" priority="5">
      <formula>CELL("row")=ROW()</formula>
    </cfRule>
  </conditionalFormatting>
  <conditionalFormatting sqref="B297:G368 B370:G374 C369:G369">
    <cfRule type="expression" dxfId="12" priority="1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76:O386 L375:O375">
    <cfRule type="expression" dxfId="9" priority="16">
      <formula>ROW(M93)=HighlightRow</formula>
    </cfRule>
  </conditionalFormatting>
  <conditionalFormatting sqref="P375:Q386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70"/>
  <sheetViews>
    <sheetView topLeftCell="A148" zoomScale="85" zoomScaleNormal="85" workbookViewId="0">
      <selection activeCell="B167" sqref="B167:E17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>ROW()-2</f>
        <v>1</v>
      </c>
      <c r="B3" s="19" t="s">
        <v>7939</v>
      </c>
      <c r="C3" s="19">
        <v>7006955275</v>
      </c>
      <c r="D3" s="19" t="s">
        <v>7940</v>
      </c>
      <c r="E3" s="19" t="s">
        <v>7941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>ROW()-2</f>
        <v>2</v>
      </c>
      <c r="B4" s="19" t="s">
        <v>7806</v>
      </c>
      <c r="C4" s="19">
        <v>7889324122</v>
      </c>
      <c r="D4" s="19" t="s">
        <v>7815</v>
      </c>
      <c r="E4" s="19" t="s">
        <v>7812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ref="A5:A68" si="0">ROW()-2</f>
        <v>3</v>
      </c>
      <c r="B5" s="19" t="s">
        <v>7820</v>
      </c>
      <c r="C5" s="19">
        <v>7006000499</v>
      </c>
      <c r="D5" s="19" t="s">
        <v>8153</v>
      </c>
      <c r="E5" s="19" t="s">
        <v>7847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8154</v>
      </c>
      <c r="C6" s="19">
        <v>7006582052</v>
      </c>
      <c r="D6" s="19" t="s">
        <v>8155</v>
      </c>
      <c r="E6" s="19" t="s">
        <v>7850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7886</v>
      </c>
      <c r="C7" s="19">
        <v>8082623899</v>
      </c>
      <c r="D7" s="19" t="s">
        <v>8156</v>
      </c>
      <c r="E7" s="19" t="s">
        <v>7879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7793</v>
      </c>
      <c r="C8" s="19">
        <v>7780996739</v>
      </c>
      <c r="D8" s="19" t="s">
        <v>8157</v>
      </c>
      <c r="E8" s="19" t="s">
        <v>7848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7878</v>
      </c>
      <c r="C9" s="19">
        <v>7889588496</v>
      </c>
      <c r="D9" s="19" t="s">
        <v>7938</v>
      </c>
      <c r="E9" s="19" t="s">
        <v>7892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7933</v>
      </c>
      <c r="C10" s="19">
        <v>7006197341</v>
      </c>
      <c r="D10" s="19" t="s">
        <v>8158</v>
      </c>
      <c r="E10" s="19" t="s">
        <v>7934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7922</v>
      </c>
      <c r="C11" s="19">
        <v>9906605048</v>
      </c>
      <c r="D11" s="19" t="s">
        <v>8159</v>
      </c>
      <c r="E11" s="19" t="s">
        <v>7923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7907</v>
      </c>
      <c r="C12" s="19">
        <v>9906473272</v>
      </c>
      <c r="D12" s="19" t="s">
        <v>8150</v>
      </c>
      <c r="E12" s="19" t="s">
        <v>7926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8160</v>
      </c>
      <c r="C13" s="19">
        <v>9906786675</v>
      </c>
      <c r="D13" s="19" t="s">
        <v>8161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7855</v>
      </c>
      <c r="C14" s="19">
        <v>9622459354</v>
      </c>
      <c r="D14" s="19" t="s">
        <v>8162</v>
      </c>
      <c r="E14" s="19" t="s">
        <v>7861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7891</v>
      </c>
      <c r="C15" s="19">
        <v>7006616090</v>
      </c>
      <c r="D15" s="19" t="s">
        <v>8122</v>
      </c>
      <c r="E15" s="19" t="s">
        <v>7894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8151</v>
      </c>
      <c r="C16" s="19">
        <v>9906730950</v>
      </c>
      <c r="D16" s="19" t="s">
        <v>8152</v>
      </c>
      <c r="E16" s="19" t="s">
        <v>7999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8163</v>
      </c>
      <c r="C17" s="19">
        <v>7006441266</v>
      </c>
      <c r="D17" s="19" t="s">
        <v>8164</v>
      </c>
      <c r="E17" s="19" t="s">
        <v>8013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6748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6746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6745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6747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6777</v>
      </c>
      <c r="C36" s="43">
        <v>7780824558</v>
      </c>
      <c r="D36" s="43" t="s">
        <v>6778</v>
      </c>
      <c r="E36" s="43" t="s">
        <v>6764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6756</v>
      </c>
      <c r="C37" s="43">
        <v>8899778092</v>
      </c>
      <c r="D37" s="43" t="s">
        <v>6776</v>
      </c>
      <c r="E37" s="43" t="s">
        <v>6763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6779</v>
      </c>
      <c r="C38" s="43">
        <v>9906337730</v>
      </c>
      <c r="D38" s="43" t="s">
        <v>6780</v>
      </c>
      <c r="E38" s="43" t="s">
        <v>6765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6769</v>
      </c>
      <c r="C39" s="43">
        <v>9606595001</v>
      </c>
      <c r="D39" s="43" t="s">
        <v>6781</v>
      </c>
      <c r="E39" s="43" t="s">
        <v>6770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6792</v>
      </c>
      <c r="C40" s="43">
        <v>7006748463</v>
      </c>
      <c r="D40" s="43" t="s">
        <v>6796</v>
      </c>
      <c r="E40" s="43" t="s">
        <v>6795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6797</v>
      </c>
      <c r="E41" s="43" t="s">
        <v>6789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6804</v>
      </c>
      <c r="C42" s="43">
        <v>7006009589</v>
      </c>
      <c r="D42" s="43" t="s">
        <v>6837</v>
      </c>
      <c r="E42" s="43" t="s">
        <v>6821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6829</v>
      </c>
      <c r="C43" s="43">
        <v>7006154383</v>
      </c>
      <c r="D43" s="43" t="s">
        <v>6880</v>
      </c>
      <c r="E43" s="43" t="s">
        <v>6842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6817</v>
      </c>
      <c r="C44" s="43">
        <v>8493043123</v>
      </c>
      <c r="D44" s="43" t="s">
        <v>6879</v>
      </c>
      <c r="E44" s="43" t="s">
        <v>6822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6887</v>
      </c>
      <c r="C45" s="43">
        <v>9149984428</v>
      </c>
      <c r="D45" s="43" t="s">
        <v>6888</v>
      </c>
      <c r="E45" s="43" t="s">
        <v>6889</v>
      </c>
      <c r="F45" s="21">
        <v>45999</v>
      </c>
      <c r="G45" s="21" t="s">
        <v>341</v>
      </c>
      <c r="H45" s="19" t="s">
        <v>6665</v>
      </c>
    </row>
    <row r="46" spans="1:14" ht="15.75" x14ac:dyDescent="0.25">
      <c r="A46" s="19">
        <f t="shared" si="0"/>
        <v>44</v>
      </c>
      <c r="B46" s="43" t="s">
        <v>6832</v>
      </c>
      <c r="C46" s="43">
        <v>9797004941</v>
      </c>
      <c r="D46" s="43" t="s">
        <v>6890</v>
      </c>
      <c r="E46" s="43" t="s">
        <v>6849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6936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6898</v>
      </c>
      <c r="C48" s="43">
        <v>9906488569</v>
      </c>
      <c r="D48" s="43" t="s">
        <v>6947</v>
      </c>
      <c r="E48" s="43" t="s">
        <v>6899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6949</v>
      </c>
      <c r="E49" s="43" t="s">
        <v>6941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6932</v>
      </c>
      <c r="C50" s="43">
        <v>9419052455</v>
      </c>
      <c r="D50" s="43" t="s">
        <v>6950</v>
      </c>
      <c r="E50" s="43" t="s">
        <v>6937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6840</v>
      </c>
      <c r="C51" s="43">
        <v>9682362746</v>
      </c>
      <c r="D51" s="43" t="s">
        <v>6957</v>
      </c>
      <c r="E51" s="43" t="s">
        <v>6848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6958</v>
      </c>
      <c r="C52" s="43">
        <v>7889471670</v>
      </c>
      <c r="D52" s="43" t="s">
        <v>6959</v>
      </c>
      <c r="E52" s="43" t="s">
        <v>6946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6966</v>
      </c>
      <c r="C53" s="43">
        <v>7889467793</v>
      </c>
      <c r="D53" s="43" t="s">
        <v>6978</v>
      </c>
      <c r="E53" s="43" t="s">
        <v>6974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6962</v>
      </c>
      <c r="C55" s="43">
        <v>9103172002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6981</v>
      </c>
      <c r="C56" s="43">
        <v>9797126573</v>
      </c>
      <c r="D56" s="43" t="s">
        <v>6991</v>
      </c>
      <c r="E56" s="43" t="s">
        <v>6985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7030</v>
      </c>
      <c r="C57" s="43">
        <v>8082636745</v>
      </c>
      <c r="D57" s="43" t="s">
        <v>7034</v>
      </c>
      <c r="E57" s="43" t="s">
        <v>7028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7029</v>
      </c>
      <c r="C58" s="43">
        <v>9541537572</v>
      </c>
      <c r="D58" s="43" t="s">
        <v>7033</v>
      </c>
      <c r="E58" s="43" t="s">
        <v>7009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7032</v>
      </c>
      <c r="E59" s="43" t="s">
        <v>7026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7004</v>
      </c>
      <c r="C60" s="43">
        <v>9149852485</v>
      </c>
      <c r="D60" s="43" t="s">
        <v>7031</v>
      </c>
      <c r="E60" s="43" t="s">
        <v>7027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7036</v>
      </c>
      <c r="C61" s="43">
        <v>9469001234</v>
      </c>
      <c r="D61" s="43" t="s">
        <v>7037</v>
      </c>
      <c r="E61" s="43" t="s">
        <v>7038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7047</v>
      </c>
      <c r="C62" s="43">
        <v>9622901567</v>
      </c>
      <c r="D62" s="43" t="s">
        <v>7078</v>
      </c>
      <c r="E62" s="43" t="s">
        <v>7065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7079</v>
      </c>
      <c r="C63" s="43">
        <v>9419015767</v>
      </c>
      <c r="D63" s="43" t="s">
        <v>7080</v>
      </c>
      <c r="E63" s="43" t="s">
        <v>7063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7081</v>
      </c>
      <c r="C64" s="43">
        <v>9419705595</v>
      </c>
      <c r="D64" s="43" t="s">
        <v>7082</v>
      </c>
      <c r="E64" s="43" t="s">
        <v>7075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7061</v>
      </c>
      <c r="C65" s="43">
        <v>9682101195</v>
      </c>
      <c r="D65" s="43" t="s">
        <v>7083</v>
      </c>
      <c r="E65" s="43" t="s">
        <v>7076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7087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si="0"/>
        <v>65</v>
      </c>
      <c r="B67" s="43" t="s">
        <v>1971</v>
      </c>
      <c r="C67" s="43">
        <v>9797764631</v>
      </c>
      <c r="D67" s="43" t="s">
        <v>7088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0"/>
        <v>66</v>
      </c>
      <c r="B68" s="43" t="s">
        <v>7093</v>
      </c>
      <c r="C68" s="43">
        <v>7006296665</v>
      </c>
      <c r="D68" s="43" t="s">
        <v>7111</v>
      </c>
      <c r="E68" s="43" t="s">
        <v>7094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ref="A69:A132" si="1">ROW()-2</f>
        <v>67</v>
      </c>
      <c r="B69" s="43" t="s">
        <v>7102</v>
      </c>
      <c r="C69" s="43">
        <v>7006224132</v>
      </c>
      <c r="D69" s="43" t="s">
        <v>7110</v>
      </c>
      <c r="E69" s="43" t="s">
        <v>7109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7116</v>
      </c>
      <c r="E70" s="43" t="s">
        <v>6983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7119</v>
      </c>
      <c r="C71" s="43">
        <v>7006159140</v>
      </c>
      <c r="D71" s="43" t="s">
        <v>7137</v>
      </c>
      <c r="E71" s="43" t="s">
        <v>7121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7125</v>
      </c>
      <c r="C72" s="43">
        <v>7006417231</v>
      </c>
      <c r="D72" s="43" t="s">
        <v>7138</v>
      </c>
      <c r="E72" s="43" t="s">
        <v>7127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7134</v>
      </c>
      <c r="C73" s="43">
        <v>9419007332</v>
      </c>
      <c r="D73" s="43" t="s">
        <v>7139</v>
      </c>
      <c r="E73" s="43" t="s">
        <v>7135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7130</v>
      </c>
      <c r="C74" s="43">
        <v>6006807265</v>
      </c>
      <c r="D74" s="43" t="s">
        <v>7140</v>
      </c>
      <c r="E74" s="43" t="s">
        <v>7136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7163</v>
      </c>
      <c r="C75" s="43">
        <v>8493000467</v>
      </c>
      <c r="D75" s="43" t="s">
        <v>7176</v>
      </c>
      <c r="E75" s="43" t="s">
        <v>7170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7148</v>
      </c>
      <c r="C76" s="43">
        <v>7889821425</v>
      </c>
      <c r="D76" s="43" t="s">
        <v>7175</v>
      </c>
      <c r="E76" s="43" t="s">
        <v>7173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7180</v>
      </c>
      <c r="C77" s="43">
        <v>8825095120</v>
      </c>
      <c r="D77" s="43" t="s">
        <v>7191</v>
      </c>
      <c r="E77" s="43" t="s">
        <v>7189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7190</v>
      </c>
      <c r="C78" s="43">
        <v>9622347307</v>
      </c>
      <c r="D78" s="43" t="s">
        <v>7192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7169</v>
      </c>
      <c r="C79" s="43">
        <v>9797255546</v>
      </c>
      <c r="D79" s="43" t="s">
        <v>7193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7185</v>
      </c>
      <c r="C80" s="43">
        <v>6005890836</v>
      </c>
      <c r="D80" s="43" t="s">
        <v>7194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7256</v>
      </c>
      <c r="C81" s="43">
        <v>6005634614</v>
      </c>
      <c r="D81" s="43" t="s">
        <v>7257</v>
      </c>
      <c r="E81" s="43" t="s">
        <v>7209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7254</v>
      </c>
      <c r="C82" s="43">
        <v>9419273796</v>
      </c>
      <c r="D82" s="43" t="s">
        <v>7255</v>
      </c>
      <c r="E82" s="43" t="s">
        <v>7232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7220</v>
      </c>
      <c r="C83" s="43">
        <v>6005112387</v>
      </c>
      <c r="D83" s="43" t="s">
        <v>7252</v>
      </c>
      <c r="E83" s="43" t="s">
        <v>7230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7253</v>
      </c>
      <c r="E84" s="43" t="s">
        <v>7235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7204</v>
      </c>
      <c r="C85" s="43">
        <v>7006565352</v>
      </c>
      <c r="D85" s="43" t="s">
        <v>7262</v>
      </c>
      <c r="E85" s="43" t="s">
        <v>7210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7264</v>
      </c>
      <c r="C86" s="43">
        <v>7006646319</v>
      </c>
      <c r="D86" s="43" t="s">
        <v>7265</v>
      </c>
      <c r="E86" s="43" t="s">
        <v>7062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7199</v>
      </c>
      <c r="C87" s="43">
        <v>9906946331</v>
      </c>
      <c r="D87" s="43" t="s">
        <v>7272</v>
      </c>
      <c r="E87" s="43" t="s">
        <v>7231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7273</v>
      </c>
      <c r="E88" s="43" t="s">
        <v>7258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7229</v>
      </c>
      <c r="C89" s="43">
        <v>8825002572</v>
      </c>
      <c r="D89" s="43" t="s">
        <v>7279</v>
      </c>
      <c r="E89" s="43" t="s">
        <v>7234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7298</v>
      </c>
      <c r="C90" s="43">
        <v>9797150382</v>
      </c>
      <c r="D90" s="43" t="s">
        <v>7319</v>
      </c>
      <c r="E90" s="43" t="s">
        <v>7299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7310</v>
      </c>
      <c r="C91" s="43">
        <v>9797913220</v>
      </c>
      <c r="D91" s="43" t="s">
        <v>7333</v>
      </c>
      <c r="E91" s="43" t="s">
        <v>7322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7328</v>
      </c>
      <c r="C92" s="43">
        <v>9622755213</v>
      </c>
      <c r="D92" s="43" t="s">
        <v>7334</v>
      </c>
      <c r="E92" s="43" t="s">
        <v>7329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7331</v>
      </c>
      <c r="C93" s="43">
        <v>9596209114</v>
      </c>
      <c r="D93" s="43" t="s">
        <v>7335</v>
      </c>
      <c r="E93" s="43" t="s">
        <v>7332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7313</v>
      </c>
      <c r="C94" s="43">
        <v>7006878734</v>
      </c>
      <c r="D94" s="43" t="s">
        <v>7336</v>
      </c>
      <c r="E94" s="43" t="s">
        <v>7321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7338</v>
      </c>
      <c r="C95" s="43">
        <v>8899903781</v>
      </c>
      <c r="D95" s="43" t="s">
        <v>7337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7291</v>
      </c>
      <c r="C96" s="43">
        <v>9018112121</v>
      </c>
      <c r="D96" s="43" t="s">
        <v>7349</v>
      </c>
      <c r="E96" s="43" t="s">
        <v>7293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7350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7366</v>
      </c>
      <c r="C98" s="43">
        <v>7780927793</v>
      </c>
      <c r="D98" s="43" t="s">
        <v>7388</v>
      </c>
      <c r="E98" s="43" t="s">
        <v>7377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7354</v>
      </c>
      <c r="C99" s="43">
        <v>7006028890</v>
      </c>
      <c r="D99" s="43" t="s">
        <v>7389</v>
      </c>
      <c r="E99" s="43" t="s">
        <v>7375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7417</v>
      </c>
      <c r="C100" s="43">
        <v>8491813907</v>
      </c>
      <c r="D100" s="43" t="s">
        <v>7418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7396</v>
      </c>
      <c r="C101" s="43">
        <v>7006740143</v>
      </c>
      <c r="D101" s="43" t="s">
        <v>7423</v>
      </c>
      <c r="E101" s="43" t="s">
        <v>7397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7401</v>
      </c>
      <c r="C102" s="43">
        <v>9906387311</v>
      </c>
      <c r="D102" s="43" t="s">
        <v>7422</v>
      </c>
      <c r="E102" s="43" t="s">
        <v>7405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7411</v>
      </c>
      <c r="C103" s="43">
        <v>8899080830</v>
      </c>
      <c r="D103" s="43" t="s">
        <v>7424</v>
      </c>
      <c r="E103" s="43" t="s">
        <v>7420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7425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7415</v>
      </c>
      <c r="C105" s="43">
        <v>7780857793</v>
      </c>
      <c r="D105" s="43" t="s">
        <v>7439</v>
      </c>
      <c r="E105" s="43" t="s">
        <v>7421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7393</v>
      </c>
      <c r="C106" s="43">
        <v>9622737390</v>
      </c>
      <c r="D106" s="43" t="s">
        <v>7440</v>
      </c>
      <c r="E106" s="43" t="s">
        <v>7404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7437</v>
      </c>
      <c r="C107" s="43">
        <v>9906998728</v>
      </c>
      <c r="D107" s="43" t="s">
        <v>7442</v>
      </c>
      <c r="E107" s="43" t="s">
        <v>7441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7432</v>
      </c>
      <c r="C108" s="43">
        <v>7889474847</v>
      </c>
      <c r="D108" s="43" t="s">
        <v>7452</v>
      </c>
      <c r="E108" s="43" t="s">
        <v>7376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7247</v>
      </c>
      <c r="C109" s="43">
        <v>7889801873</v>
      </c>
      <c r="D109" s="43" t="s">
        <v>7553</v>
      </c>
      <c r="E109" s="43" t="s">
        <v>7261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7357</v>
      </c>
      <c r="C110" s="43">
        <v>8491929306</v>
      </c>
      <c r="D110" s="43" t="s">
        <v>7453</v>
      </c>
      <c r="E110" s="43" t="s">
        <v>7438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7464</v>
      </c>
      <c r="C111" s="43">
        <v>7889383674</v>
      </c>
      <c r="D111" s="43" t="s">
        <v>7551</v>
      </c>
      <c r="E111" s="43" t="s">
        <v>7490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7468</v>
      </c>
      <c r="C112" s="43">
        <v>9541622336</v>
      </c>
      <c r="D112" s="43" t="s">
        <v>7550</v>
      </c>
      <c r="E112" s="43" t="s">
        <v>7494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7346</v>
      </c>
      <c r="C113" s="43">
        <v>7006565342</v>
      </c>
      <c r="D113" s="43" t="s">
        <v>7548</v>
      </c>
      <c r="E113" s="43" t="s">
        <v>7348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7546</v>
      </c>
      <c r="C114" s="43">
        <v>7889605207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7463</v>
      </c>
      <c r="C115" s="43">
        <v>9018754974</v>
      </c>
      <c r="D115" s="43" t="s">
        <v>7549</v>
      </c>
      <c r="E115" s="43" t="s">
        <v>7489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7572</v>
      </c>
      <c r="E116" s="43" t="s">
        <v>6500</v>
      </c>
      <c r="F116" s="21"/>
      <c r="G116" s="21"/>
      <c r="H116" s="19" t="s">
        <v>7573</v>
      </c>
    </row>
    <row r="117" spans="1:8" ht="15.75" x14ac:dyDescent="0.25">
      <c r="A117" s="19">
        <f t="shared" si="1"/>
        <v>115</v>
      </c>
      <c r="B117" s="43" t="s">
        <v>7503</v>
      </c>
      <c r="C117" s="43">
        <v>6005068829</v>
      </c>
      <c r="D117" s="43" t="s">
        <v>7552</v>
      </c>
      <c r="E117" s="43" t="s">
        <v>7517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7570</v>
      </c>
      <c r="C118" s="43">
        <v>7889559968</v>
      </c>
      <c r="D118" s="43" t="s">
        <v>7571</v>
      </c>
      <c r="E118" s="43" t="s">
        <v>7554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7569</v>
      </c>
      <c r="E119" s="43" t="s">
        <v>7555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7451</v>
      </c>
      <c r="C120" s="43">
        <v>7298772174</v>
      </c>
      <c r="D120" s="43" t="s">
        <v>7567</v>
      </c>
      <c r="E120" s="43" t="s">
        <v>7458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7462</v>
      </c>
      <c r="C121" s="43">
        <v>9906539681</v>
      </c>
      <c r="D121" s="43" t="s">
        <v>7568</v>
      </c>
      <c r="E121" s="43" t="s">
        <v>7488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7544</v>
      </c>
      <c r="C122" s="43">
        <v>8825061187</v>
      </c>
      <c r="D122" s="43" t="s">
        <v>7624</v>
      </c>
      <c r="E122" s="43" t="s">
        <v>7556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7622</v>
      </c>
      <c r="C123" s="43">
        <v>7889773670</v>
      </c>
      <c r="D123" s="43" t="s">
        <v>7623</v>
      </c>
      <c r="E123" s="43" t="s">
        <v>7594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7575</v>
      </c>
      <c r="C124" s="43">
        <v>9419002237</v>
      </c>
      <c r="D124" s="43" t="s">
        <v>7614</v>
      </c>
      <c r="E124" s="43" t="s">
        <v>7592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7609</v>
      </c>
      <c r="C125" s="43">
        <v>9149416177</v>
      </c>
      <c r="D125" s="43" t="s">
        <v>7621</v>
      </c>
      <c r="E125" s="43" t="s">
        <v>7610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6865</v>
      </c>
      <c r="C126" s="43">
        <v>9596341802</v>
      </c>
      <c r="D126" s="43" t="s">
        <v>7619</v>
      </c>
      <c r="E126" s="43" t="s">
        <v>6873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7565</v>
      </c>
      <c r="C127" s="43">
        <v>9906918176</v>
      </c>
      <c r="D127" s="43" t="s">
        <v>7620</v>
      </c>
      <c r="E127" s="43" t="s">
        <v>7591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7601</v>
      </c>
      <c r="C128" s="43">
        <v>9797222635</v>
      </c>
      <c r="D128" s="43" t="s">
        <v>7686</v>
      </c>
      <c r="E128" s="43" t="s">
        <v>7612</v>
      </c>
      <c r="F128" s="21"/>
      <c r="G128" s="21" t="s">
        <v>341</v>
      </c>
      <c r="H128" s="19" t="s">
        <v>7778</v>
      </c>
    </row>
    <row r="129" spans="1:8" ht="15.75" x14ac:dyDescent="0.25">
      <c r="A129" s="19">
        <f t="shared" si="1"/>
        <v>127</v>
      </c>
      <c r="B129" s="43" t="s">
        <v>7582</v>
      </c>
      <c r="C129" s="43">
        <v>7006907205</v>
      </c>
      <c r="D129" s="43" t="s">
        <v>7638</v>
      </c>
      <c r="E129" s="43" t="s">
        <v>7593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7633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si="1"/>
        <v>129</v>
      </c>
      <c r="B131" s="43" t="s">
        <v>6486</v>
      </c>
      <c r="C131" s="43">
        <v>7051606206</v>
      </c>
      <c r="D131" s="43" t="s">
        <v>7635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1"/>
        <v>130</v>
      </c>
      <c r="B132" s="43" t="s">
        <v>7467</v>
      </c>
      <c r="C132" s="43">
        <v>9205000009</v>
      </c>
      <c r="D132" s="43" t="s">
        <v>7674</v>
      </c>
      <c r="E132" s="43" t="s">
        <v>7493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ref="A133:A170" si="2">ROW()-2</f>
        <v>131</v>
      </c>
      <c r="B133" s="43" t="s">
        <v>7429</v>
      </c>
      <c r="C133" s="43">
        <v>9797999350</v>
      </c>
      <c r="D133" s="43" t="s">
        <v>7676</v>
      </c>
      <c r="E133" s="43" t="s">
        <v>7443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7507</v>
      </c>
      <c r="C134" s="43">
        <v>9858727429</v>
      </c>
      <c r="D134" s="43" t="s">
        <v>7675</v>
      </c>
      <c r="E134" s="43" t="s">
        <v>7518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/>
      <c r="D135" s="43" t="s">
        <v>7685</v>
      </c>
      <c r="E135" s="43" t="s">
        <v>3776</v>
      </c>
      <c r="F135" s="21"/>
      <c r="G135" s="21" t="s">
        <v>341</v>
      </c>
      <c r="H135" s="19" t="s">
        <v>7573</v>
      </c>
    </row>
    <row r="136" spans="1:8" ht="15.75" x14ac:dyDescent="0.25">
      <c r="A136" s="19">
        <f t="shared" si="2"/>
        <v>134</v>
      </c>
      <c r="B136" s="43" t="s">
        <v>7628</v>
      </c>
      <c r="C136" s="43">
        <v>9596366782</v>
      </c>
      <c r="D136" s="43" t="s">
        <v>7679</v>
      </c>
      <c r="E136" s="43" t="s">
        <v>7636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7362</v>
      </c>
      <c r="C137" s="43">
        <v>6005579912</v>
      </c>
      <c r="D137" s="43" t="s">
        <v>7677</v>
      </c>
      <c r="E137" s="43" t="s">
        <v>7380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7680</v>
      </c>
      <c r="C138" s="43">
        <v>9906687592</v>
      </c>
      <c r="D138" s="43" t="s">
        <v>7681</v>
      </c>
      <c r="E138" s="43" t="s">
        <v>7637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7642</v>
      </c>
      <c r="C139" s="43">
        <v>7006141977</v>
      </c>
      <c r="D139" s="43" t="s">
        <v>7678</v>
      </c>
      <c r="E139" s="43" t="s">
        <v>7652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7682</v>
      </c>
      <c r="C140" s="43">
        <v>9622531795</v>
      </c>
      <c r="D140" s="43" t="s">
        <v>7683</v>
      </c>
      <c r="E140" s="43" t="s">
        <v>7662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7656</v>
      </c>
      <c r="C141" s="43">
        <v>8715929114</v>
      </c>
      <c r="D141" s="43" t="s">
        <v>7708</v>
      </c>
      <c r="E141" s="43" t="s">
        <v>7658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7693</v>
      </c>
      <c r="C142" s="43">
        <v>9622716592</v>
      </c>
      <c r="D142" s="43" t="s">
        <v>7707</v>
      </c>
      <c r="E142" s="43" t="s">
        <v>7704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7729</v>
      </c>
      <c r="C143" s="43">
        <v>9541083744</v>
      </c>
      <c r="D143" s="43" t="s">
        <v>7786</v>
      </c>
      <c r="E143" s="43" t="s">
        <v>7748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7743</v>
      </c>
      <c r="C144" s="43">
        <v>7006409005</v>
      </c>
      <c r="D144" s="43" t="s">
        <v>7785</v>
      </c>
      <c r="E144" s="43" t="s">
        <v>7751</v>
      </c>
      <c r="F144" s="21">
        <v>46021</v>
      </c>
      <c r="G144" s="21" t="s">
        <v>341</v>
      </c>
      <c r="H144" s="19" t="s">
        <v>6665</v>
      </c>
    </row>
    <row r="145" spans="1:8" ht="15.75" x14ac:dyDescent="0.25">
      <c r="A145" s="19">
        <f t="shared" si="2"/>
        <v>143</v>
      </c>
      <c r="B145" s="43" t="s">
        <v>7766</v>
      </c>
      <c r="C145" s="43">
        <v>9622775800</v>
      </c>
      <c r="D145" s="43" t="s">
        <v>7816</v>
      </c>
      <c r="E145" s="43" t="s">
        <v>7768</v>
      </c>
      <c r="F145" s="21">
        <v>46022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2915</v>
      </c>
      <c r="C146" s="43">
        <v>9906625047</v>
      </c>
      <c r="D146" s="43" t="s">
        <v>7817</v>
      </c>
      <c r="E146" s="43" t="s">
        <v>7749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6391</v>
      </c>
      <c r="C147" s="43">
        <v>8493055195</v>
      </c>
      <c r="D147" s="43" t="s">
        <v>7813</v>
      </c>
      <c r="E147" s="43" t="s">
        <v>6393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7790</v>
      </c>
      <c r="C148" s="43">
        <v>9419070393</v>
      </c>
      <c r="D148" s="43" t="s">
        <v>7814</v>
      </c>
      <c r="E148" s="43" t="s">
        <v>7795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658</v>
      </c>
      <c r="C149" s="43">
        <v>7006898324</v>
      </c>
      <c r="D149" s="43" t="s">
        <v>8145</v>
      </c>
      <c r="E149" s="43" t="s">
        <v>7927</v>
      </c>
      <c r="F149" s="21">
        <v>46029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3624</v>
      </c>
      <c r="C150" s="43">
        <v>7006928931</v>
      </c>
      <c r="D150" s="43" t="s">
        <v>8144</v>
      </c>
      <c r="E150" s="43" t="s">
        <v>7750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8063</v>
      </c>
      <c r="C151" s="43">
        <v>9070599346</v>
      </c>
      <c r="D151" s="43" t="s">
        <v>8092</v>
      </c>
      <c r="E151" s="43" t="s">
        <v>8087</v>
      </c>
      <c r="F151" s="21">
        <v>46027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8050</v>
      </c>
      <c r="C152" s="43">
        <v>9070111588</v>
      </c>
      <c r="D152" s="43" t="s">
        <v>8148</v>
      </c>
      <c r="E152" s="43" t="s">
        <v>8091</v>
      </c>
      <c r="F152" s="21">
        <v>46028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8075</v>
      </c>
      <c r="C153" s="43">
        <v>6005254071</v>
      </c>
      <c r="D153" s="43" t="s">
        <v>8121</v>
      </c>
      <c r="E153" s="43" t="s">
        <v>8088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8067</v>
      </c>
      <c r="C154" s="19">
        <v>9797071432</v>
      </c>
      <c r="D154" s="19" t="s">
        <v>8123</v>
      </c>
      <c r="E154" s="19" t="s">
        <v>8089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8141</v>
      </c>
      <c r="C155" s="19">
        <v>7780804850</v>
      </c>
      <c r="D155" s="19" t="s">
        <v>8142</v>
      </c>
      <c r="E155" s="19" t="s">
        <v>8119</v>
      </c>
      <c r="F155" s="21">
        <v>46029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7711</v>
      </c>
      <c r="C156" s="19">
        <v>9622020576</v>
      </c>
      <c r="D156" s="19" t="s">
        <v>8147</v>
      </c>
      <c r="E156" s="19"/>
      <c r="F156" s="21">
        <v>46028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2915</v>
      </c>
      <c r="C157" s="19">
        <v>9596187640</v>
      </c>
      <c r="D157" s="19" t="s">
        <v>8146</v>
      </c>
      <c r="E157" s="19" t="s">
        <v>7862</v>
      </c>
      <c r="F157" s="21">
        <v>46029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8133</v>
      </c>
      <c r="C158" s="19">
        <v>7889666298</v>
      </c>
      <c r="D158" s="19" t="s">
        <v>8134</v>
      </c>
      <c r="E158" s="19" t="s">
        <v>7457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8045</v>
      </c>
      <c r="C159" s="19">
        <v>9906284454</v>
      </c>
      <c r="D159" s="19" t="s">
        <v>8135</v>
      </c>
      <c r="E159" s="19" t="s">
        <v>8086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7950</v>
      </c>
      <c r="C160" s="19">
        <v>9419004025</v>
      </c>
      <c r="D160" s="19" t="s">
        <v>8149</v>
      </c>
      <c r="E160" s="19" t="s">
        <v>8016</v>
      </c>
      <c r="F160" s="21">
        <v>46026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8007</v>
      </c>
      <c r="C161" s="19">
        <v>7889441591</v>
      </c>
      <c r="D161" s="19" t="s">
        <v>8143</v>
      </c>
      <c r="E161" s="19" t="s">
        <v>8008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2841</v>
      </c>
      <c r="C162" s="19">
        <v>7006960324</v>
      </c>
      <c r="D162" s="19" t="s">
        <v>8140</v>
      </c>
      <c r="E162" s="19" t="s">
        <v>7867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7866</v>
      </c>
      <c r="C163" s="19">
        <v>9906759399</v>
      </c>
      <c r="D163" s="19" t="s">
        <v>8139</v>
      </c>
      <c r="E163" s="19" t="s">
        <v>7868</v>
      </c>
      <c r="F163" s="21">
        <v>46029</v>
      </c>
      <c r="G163" s="21" t="s">
        <v>341</v>
      </c>
      <c r="H163" s="19" t="s">
        <v>6665</v>
      </c>
    </row>
    <row r="164" spans="1:8" ht="15.75" x14ac:dyDescent="0.25">
      <c r="A164" s="19">
        <f t="shared" si="2"/>
        <v>162</v>
      </c>
      <c r="B164" s="19" t="s">
        <v>7974</v>
      </c>
      <c r="C164" s="19">
        <v>9149592772</v>
      </c>
      <c r="D164" s="19" t="s">
        <v>8138</v>
      </c>
      <c r="E164" s="19" t="s">
        <v>7976</v>
      </c>
      <c r="F164" s="21">
        <v>46029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7990</v>
      </c>
      <c r="C165" s="19">
        <v>9596382727</v>
      </c>
      <c r="D165" s="19" t="s">
        <v>8137</v>
      </c>
      <c r="E165" s="19" t="s">
        <v>7992</v>
      </c>
      <c r="F165" s="21">
        <v>46029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4284</v>
      </c>
      <c r="C166" s="19">
        <v>8899926488</v>
      </c>
      <c r="D166" s="19" t="s">
        <v>8136</v>
      </c>
      <c r="E166" s="19" t="s">
        <v>7987</v>
      </c>
      <c r="F166" s="21">
        <v>46029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6773</v>
      </c>
      <c r="C167" s="19">
        <v>7006274587</v>
      </c>
      <c r="D167" s="19" t="s">
        <v>8175</v>
      </c>
      <c r="E167" s="19" t="s">
        <v>7730</v>
      </c>
      <c r="F167" s="21">
        <v>46029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7772</v>
      </c>
      <c r="C168" s="19">
        <v>9596336858</v>
      </c>
      <c r="D168" s="19" t="s">
        <v>8176</v>
      </c>
      <c r="E168" s="19" t="s">
        <v>7775</v>
      </c>
      <c r="F168" s="21"/>
      <c r="G168" s="21"/>
      <c r="H168" s="19" t="s">
        <v>8168</v>
      </c>
    </row>
    <row r="169" spans="1:8" ht="15.75" x14ac:dyDescent="0.25">
      <c r="A169" s="19">
        <f t="shared" si="2"/>
        <v>167</v>
      </c>
      <c r="B169" s="19" t="s">
        <v>8177</v>
      </c>
      <c r="C169" s="19">
        <v>9018734100</v>
      </c>
      <c r="D169" s="19" t="s">
        <v>8178</v>
      </c>
      <c r="E169" s="19" t="s">
        <v>8167</v>
      </c>
      <c r="F169" s="21">
        <v>46029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/>
      <c r="C170" s="19"/>
      <c r="D170" s="19"/>
      <c r="E170" s="19"/>
      <c r="F170" s="21"/>
      <c r="G170" s="21"/>
      <c r="H170" s="19"/>
    </row>
  </sheetData>
  <mergeCells count="1">
    <mergeCell ref="A1:H1"/>
  </mergeCells>
  <conditionalFormatting sqref="B103 E103 B121:E154">
    <cfRule type="expression" dxfId="5" priority="7">
      <formula>CELL("row")=ROW()</formula>
    </cfRule>
  </conditionalFormatting>
  <conditionalFormatting sqref="C103">
    <cfRule type="expression" dxfId="4" priority="6">
      <formula>CELL("row")=ROW()</formula>
    </cfRule>
  </conditionalFormatting>
  <conditionalFormatting sqref="C122">
    <cfRule type="expression" dxfId="3" priority="3">
      <formula>CELL("row")=ROW()</formula>
    </cfRule>
  </conditionalFormatting>
  <conditionalFormatting sqref="E122">
    <cfRule type="expression" dxfId="2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2026-01-07T12:39:44Z</dcterms:modified>
</cp:coreProperties>
</file>